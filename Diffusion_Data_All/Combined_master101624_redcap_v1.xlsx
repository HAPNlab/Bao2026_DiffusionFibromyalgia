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Morgan\Projects\_Martucci\DTI_Jason\"/>
    </mc:Choice>
  </mc:AlternateContent>
  <bookViews>
    <workbookView xWindow="-38136" yWindow="-816" windowWidth="27480" windowHeight="20460" activeTab="1"/>
  </bookViews>
  <sheets>
    <sheet name="Combined_master101624_raw" sheetId="2" r:id="rId1"/>
    <sheet name="Combined_withReverse_BCMapOpExc" sheetId="3" r:id="rId2"/>
    <sheet name="Combined_master101624_clean" sheetId="6"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Y14" i="3" l="1"/>
  <c r="CZ2" i="3"/>
  <c r="CY2" i="3"/>
  <c r="AEJ3" i="3"/>
  <c r="AEJ4" i="3"/>
  <c r="AEJ5" i="3"/>
  <c r="AEJ6" i="3"/>
  <c r="AEJ7" i="3"/>
  <c r="AEJ8" i="3"/>
  <c r="AEJ9" i="3"/>
  <c r="AEJ10" i="3"/>
  <c r="AEJ11" i="3"/>
  <c r="AEJ12" i="3"/>
  <c r="AEJ13" i="3"/>
  <c r="AEJ14" i="3"/>
  <c r="AEJ15" i="3"/>
  <c r="AEJ16" i="3"/>
  <c r="AEJ17" i="3"/>
  <c r="AEJ18" i="3"/>
  <c r="AEJ19" i="3"/>
  <c r="AEJ20" i="3"/>
  <c r="AEJ21" i="3"/>
  <c r="AEJ22" i="3"/>
  <c r="AEJ23" i="3"/>
  <c r="AEJ24" i="3"/>
  <c r="AEJ25" i="3"/>
  <c r="AEJ26" i="3"/>
  <c r="AEJ27" i="3"/>
  <c r="AEJ28" i="3"/>
  <c r="AEJ29" i="3"/>
  <c r="AEJ30" i="3"/>
  <c r="AEJ31" i="3"/>
  <c r="AEJ32" i="3"/>
  <c r="AEJ33" i="3"/>
  <c r="AEJ34" i="3"/>
  <c r="AEJ35" i="3"/>
  <c r="AEJ36" i="3"/>
  <c r="AEJ37" i="3"/>
  <c r="AEJ38" i="3"/>
  <c r="AEJ39" i="3"/>
  <c r="AEJ40" i="3"/>
  <c r="AEJ41" i="3"/>
  <c r="AEJ42" i="3"/>
  <c r="AEJ43" i="3"/>
  <c r="AEJ44" i="3"/>
  <c r="AEJ45" i="3"/>
  <c r="AEJ2" i="3"/>
  <c r="AEI3" i="3"/>
  <c r="AEI4" i="3"/>
  <c r="AEI5" i="3"/>
  <c r="AEI6" i="3"/>
  <c r="AEI7" i="3"/>
  <c r="AEI8" i="3"/>
  <c r="AEI9" i="3"/>
  <c r="AEI10" i="3"/>
  <c r="AEI11" i="3"/>
  <c r="AEI12" i="3"/>
  <c r="AEI13" i="3"/>
  <c r="AEI14" i="3"/>
  <c r="AEI15" i="3"/>
  <c r="AEI16" i="3"/>
  <c r="AEI17" i="3"/>
  <c r="AEI18" i="3"/>
  <c r="AEI19" i="3"/>
  <c r="AEI20" i="3"/>
  <c r="AEI21" i="3"/>
  <c r="AEI22" i="3"/>
  <c r="AEI23" i="3"/>
  <c r="AEI24" i="3"/>
  <c r="AEI25" i="3"/>
  <c r="AEI26" i="3"/>
  <c r="AEI27" i="3"/>
  <c r="AEI28" i="3"/>
  <c r="AEI29" i="3"/>
  <c r="AEI30" i="3"/>
  <c r="AEI31" i="3"/>
  <c r="AEI32" i="3"/>
  <c r="AEI33" i="3"/>
  <c r="AEI34" i="3"/>
  <c r="AEI35" i="3"/>
  <c r="AEI36" i="3"/>
  <c r="AEI37" i="3"/>
  <c r="AEI38" i="3"/>
  <c r="AEI39" i="3"/>
  <c r="AEI40" i="3"/>
  <c r="AEI41" i="3"/>
  <c r="AEI42" i="3"/>
  <c r="AEI43" i="3"/>
  <c r="AEI44" i="3"/>
  <c r="AEI45" i="3"/>
  <c r="AEG3" i="3"/>
  <c r="AEG4" i="3"/>
  <c r="AEG5" i="3"/>
  <c r="AEG6" i="3"/>
  <c r="AEG7" i="3"/>
  <c r="AEG8" i="3"/>
  <c r="AEG9" i="3"/>
  <c r="AEG10" i="3"/>
  <c r="AEG11" i="3"/>
  <c r="AEG12" i="3"/>
  <c r="AEG13" i="3"/>
  <c r="AEG14" i="3"/>
  <c r="AEG15" i="3"/>
  <c r="AEG16" i="3"/>
  <c r="AEG17" i="3"/>
  <c r="AEG18" i="3"/>
  <c r="AEG19" i="3"/>
  <c r="AEG20" i="3"/>
  <c r="AEG21" i="3"/>
  <c r="AEG22" i="3"/>
  <c r="AEG23" i="3"/>
  <c r="AEG24" i="3"/>
  <c r="AEG25" i="3"/>
  <c r="AEG26" i="3"/>
  <c r="AEG27" i="3"/>
  <c r="AEG28" i="3"/>
  <c r="AEG29" i="3"/>
  <c r="AEG30" i="3"/>
  <c r="AEG31" i="3"/>
  <c r="AEG32" i="3"/>
  <c r="AEG33" i="3"/>
  <c r="AEG34" i="3"/>
  <c r="AEG35" i="3"/>
  <c r="AEG36" i="3"/>
  <c r="AEG37" i="3"/>
  <c r="AEG38" i="3"/>
  <c r="AEG39" i="3"/>
  <c r="AEG40" i="3"/>
  <c r="AEG41" i="3"/>
  <c r="AEG42" i="3"/>
  <c r="AEG43" i="3"/>
  <c r="AEG44" i="3"/>
  <c r="AEG45" i="3"/>
  <c r="AEI2" i="3"/>
  <c r="AEG2" i="3"/>
  <c r="AEC3" i="3"/>
  <c r="AEC4" i="3"/>
  <c r="AEC5" i="3"/>
  <c r="AEC6" i="3"/>
  <c r="AEC7" i="3"/>
  <c r="AEC8" i="3"/>
  <c r="AEC9" i="3"/>
  <c r="AEC10" i="3"/>
  <c r="AEC11" i="3"/>
  <c r="AEC12" i="3"/>
  <c r="AEC13" i="3"/>
  <c r="AEC14" i="3"/>
  <c r="AEC15" i="3"/>
  <c r="AEC16" i="3"/>
  <c r="AEC17" i="3"/>
  <c r="AEC18" i="3"/>
  <c r="AEC19" i="3"/>
  <c r="AEC20" i="3"/>
  <c r="AEC21" i="3"/>
  <c r="AEC22" i="3"/>
  <c r="AEC23" i="3"/>
  <c r="AEC24" i="3"/>
  <c r="AEC25" i="3"/>
  <c r="AEC26" i="3"/>
  <c r="AEC27" i="3"/>
  <c r="AEC28" i="3"/>
  <c r="AEC29" i="3"/>
  <c r="AEC30" i="3"/>
  <c r="AEC31" i="3"/>
  <c r="AEC32" i="3"/>
  <c r="AEC33" i="3"/>
  <c r="AEC34" i="3"/>
  <c r="AEC35" i="3"/>
  <c r="AEC36" i="3"/>
  <c r="AEC37" i="3"/>
  <c r="AEC38" i="3"/>
  <c r="AEC39" i="3"/>
  <c r="AEC40" i="3"/>
  <c r="AEC41" i="3"/>
  <c r="AEC42" i="3"/>
  <c r="AEC43" i="3"/>
  <c r="AEC44" i="3"/>
  <c r="AEC45" i="3"/>
  <c r="AEC2" i="3"/>
  <c r="AEA3" i="3"/>
  <c r="AEA4" i="3"/>
  <c r="AEA5" i="3"/>
  <c r="AEA6" i="3"/>
  <c r="AEA7" i="3"/>
  <c r="AEA8" i="3"/>
  <c r="AEA9" i="3"/>
  <c r="AEA10" i="3"/>
  <c r="AEA11" i="3"/>
  <c r="AEA12" i="3"/>
  <c r="AEA13" i="3"/>
  <c r="AEA14" i="3"/>
  <c r="AEA15" i="3"/>
  <c r="AEA16" i="3"/>
  <c r="AEA17" i="3"/>
  <c r="AEA18" i="3"/>
  <c r="AEA19" i="3"/>
  <c r="AEA20" i="3"/>
  <c r="AEA21" i="3"/>
  <c r="AEA22" i="3"/>
  <c r="AEA23" i="3"/>
  <c r="AEA24" i="3"/>
  <c r="AEA25" i="3"/>
  <c r="AEA26" i="3"/>
  <c r="AEA27" i="3"/>
  <c r="AEA28" i="3"/>
  <c r="AEA29" i="3"/>
  <c r="AEA30" i="3"/>
  <c r="AEA31" i="3"/>
  <c r="AEA32" i="3"/>
  <c r="AEA33" i="3"/>
  <c r="AEA34" i="3"/>
  <c r="AEA35" i="3"/>
  <c r="AEA36" i="3"/>
  <c r="AEA37" i="3"/>
  <c r="AEA38" i="3"/>
  <c r="AEA39" i="3"/>
  <c r="AEA40" i="3"/>
  <c r="AEA41" i="3"/>
  <c r="AEA42" i="3"/>
  <c r="AEA43" i="3"/>
  <c r="AEA44" i="3"/>
  <c r="AEA45" i="3"/>
  <c r="AEA2" i="3"/>
  <c r="ADV3" i="3"/>
  <c r="ADV4" i="3"/>
  <c r="ADV5" i="3"/>
  <c r="ADV6" i="3"/>
  <c r="ADV7" i="3"/>
  <c r="ADV8" i="3"/>
  <c r="ADV9" i="3"/>
  <c r="ADV10" i="3"/>
  <c r="ADV11" i="3"/>
  <c r="ADV12" i="3"/>
  <c r="ADV13" i="3"/>
  <c r="ADV14" i="3"/>
  <c r="ADV15" i="3"/>
  <c r="ADV16" i="3"/>
  <c r="ADV17" i="3"/>
  <c r="ADV18" i="3"/>
  <c r="ADV19" i="3"/>
  <c r="ADV20" i="3"/>
  <c r="ADV21" i="3"/>
  <c r="ADV22" i="3"/>
  <c r="ADV23" i="3"/>
  <c r="ADV24" i="3"/>
  <c r="ADV25" i="3"/>
  <c r="ADV26" i="3"/>
  <c r="ADV27" i="3"/>
  <c r="ADV28" i="3"/>
  <c r="ADV29" i="3"/>
  <c r="ADV30" i="3"/>
  <c r="ADV31" i="3"/>
  <c r="ADV32" i="3"/>
  <c r="ADV33" i="3"/>
  <c r="ADV34" i="3"/>
  <c r="ADV35" i="3"/>
  <c r="ADV36" i="3"/>
  <c r="ADV37" i="3"/>
  <c r="ADV38" i="3"/>
  <c r="ADV39" i="3"/>
  <c r="ADV40" i="3"/>
  <c r="ADV41" i="3"/>
  <c r="ADV42" i="3"/>
  <c r="ADV43" i="3"/>
  <c r="ADV44" i="3"/>
  <c r="ADV45" i="3"/>
  <c r="ADV2" i="3"/>
  <c r="ADT3" i="3"/>
  <c r="ADT4" i="3"/>
  <c r="ADT5" i="3"/>
  <c r="ADT6" i="3"/>
  <c r="ADT7" i="3"/>
  <c r="ADT8" i="3"/>
  <c r="ADT9" i="3"/>
  <c r="ADT10" i="3"/>
  <c r="ADT11" i="3"/>
  <c r="ADT12" i="3"/>
  <c r="ADT13" i="3"/>
  <c r="ADT14" i="3"/>
  <c r="ADT15" i="3"/>
  <c r="ADT16" i="3"/>
  <c r="ADT17" i="3"/>
  <c r="ADT18" i="3"/>
  <c r="ADT19" i="3"/>
  <c r="ADT20" i="3"/>
  <c r="ADT21" i="3"/>
  <c r="ADT22" i="3"/>
  <c r="ADT23" i="3"/>
  <c r="ADT24" i="3"/>
  <c r="ADT25" i="3"/>
  <c r="ADT26" i="3"/>
  <c r="ADT27" i="3"/>
  <c r="ADT28" i="3"/>
  <c r="ADT29" i="3"/>
  <c r="ADT30" i="3"/>
  <c r="ADT31" i="3"/>
  <c r="ADT32" i="3"/>
  <c r="ADT33" i="3"/>
  <c r="ADT34" i="3"/>
  <c r="ADT35" i="3"/>
  <c r="ADT36" i="3"/>
  <c r="ADT37" i="3"/>
  <c r="ADT38" i="3"/>
  <c r="ADT39" i="3"/>
  <c r="ADT40" i="3"/>
  <c r="ADT41" i="3"/>
  <c r="ADT42" i="3"/>
  <c r="ADT43" i="3"/>
  <c r="ADT44" i="3"/>
  <c r="ADT45" i="3"/>
  <c r="ADT2" i="3"/>
  <c r="ADQ3" i="3"/>
  <c r="ADQ4" i="3"/>
  <c r="ADQ5" i="3"/>
  <c r="ADQ6" i="3"/>
  <c r="ADQ7" i="3"/>
  <c r="ADQ8" i="3"/>
  <c r="ADQ9" i="3"/>
  <c r="ADQ10" i="3"/>
  <c r="ADQ11" i="3"/>
  <c r="ADQ12" i="3"/>
  <c r="ADQ13" i="3"/>
  <c r="ADQ14" i="3"/>
  <c r="ADQ15" i="3"/>
  <c r="ADQ16" i="3"/>
  <c r="ADQ17" i="3"/>
  <c r="ADQ18" i="3"/>
  <c r="ADQ19" i="3"/>
  <c r="ADQ20" i="3"/>
  <c r="ADQ21" i="3"/>
  <c r="ADQ22" i="3"/>
  <c r="ADQ23" i="3"/>
  <c r="ADQ24" i="3"/>
  <c r="ADQ25" i="3"/>
  <c r="ADQ26" i="3"/>
  <c r="ADQ27" i="3"/>
  <c r="ADQ28" i="3"/>
  <c r="ADQ29" i="3"/>
  <c r="ADQ30" i="3"/>
  <c r="ADQ31" i="3"/>
  <c r="ADQ32" i="3"/>
  <c r="ADQ33" i="3"/>
  <c r="ADQ34" i="3"/>
  <c r="ADQ35" i="3"/>
  <c r="ADQ36" i="3"/>
  <c r="ADQ37" i="3"/>
  <c r="ADQ38" i="3"/>
  <c r="ADQ39" i="3"/>
  <c r="ADQ40" i="3"/>
  <c r="ADQ41" i="3"/>
  <c r="ADQ42" i="3"/>
  <c r="ADQ43" i="3"/>
  <c r="ADQ44" i="3"/>
  <c r="ADQ45" i="3"/>
  <c r="ADQ2" i="3"/>
  <c r="ADM3" i="3"/>
  <c r="ADM4" i="3"/>
  <c r="ADM5" i="3"/>
  <c r="ADM6" i="3"/>
  <c r="ADM7" i="3"/>
  <c r="ADM8" i="3"/>
  <c r="ADM9" i="3"/>
  <c r="ADM10" i="3"/>
  <c r="ADM11" i="3"/>
  <c r="ADM12" i="3"/>
  <c r="ADM13" i="3"/>
  <c r="ADM14" i="3"/>
  <c r="ADM15" i="3"/>
  <c r="ADM16" i="3"/>
  <c r="ADM17" i="3"/>
  <c r="ADM18" i="3"/>
  <c r="ADM19" i="3"/>
  <c r="ADM20" i="3"/>
  <c r="ADM21" i="3"/>
  <c r="ADM22" i="3"/>
  <c r="ADM23" i="3"/>
  <c r="ADM24" i="3"/>
  <c r="ADM25" i="3"/>
  <c r="ADM26" i="3"/>
  <c r="ADM27" i="3"/>
  <c r="ADM28" i="3"/>
  <c r="ADM29" i="3"/>
  <c r="ADM30" i="3"/>
  <c r="ADM31" i="3"/>
  <c r="ADM32" i="3"/>
  <c r="ADM33" i="3"/>
  <c r="ADM34" i="3"/>
  <c r="ADM35" i="3"/>
  <c r="ADM36" i="3"/>
  <c r="ADM37" i="3"/>
  <c r="ADM38" i="3"/>
  <c r="ADM39" i="3"/>
  <c r="ADM40" i="3"/>
  <c r="ADM41" i="3"/>
  <c r="ADM42" i="3"/>
  <c r="ADM43" i="3"/>
  <c r="ADM44" i="3"/>
  <c r="ADM45" i="3"/>
  <c r="ADM2" i="3"/>
  <c r="ADI3" i="3"/>
  <c r="ADI4" i="3"/>
  <c r="ADI5" i="3"/>
  <c r="ADI6" i="3"/>
  <c r="ADI7" i="3"/>
  <c r="ADI8" i="3"/>
  <c r="ADI9" i="3"/>
  <c r="ADI10" i="3"/>
  <c r="ADI11" i="3"/>
  <c r="ADI12" i="3"/>
  <c r="ADI13" i="3"/>
  <c r="ADI14" i="3"/>
  <c r="ADI15" i="3"/>
  <c r="ADI16" i="3"/>
  <c r="ADI17" i="3"/>
  <c r="ADI18" i="3"/>
  <c r="ADI19" i="3"/>
  <c r="ADI20" i="3"/>
  <c r="ADI21" i="3"/>
  <c r="ADI22" i="3"/>
  <c r="ADI23" i="3"/>
  <c r="ADI24" i="3"/>
  <c r="ADI25" i="3"/>
  <c r="ADI26" i="3"/>
  <c r="ADI27" i="3"/>
  <c r="ADI28" i="3"/>
  <c r="ADI29" i="3"/>
  <c r="ADI30" i="3"/>
  <c r="ADI31" i="3"/>
  <c r="ADI32" i="3"/>
  <c r="ADI33" i="3"/>
  <c r="ADI34" i="3"/>
  <c r="ADI35" i="3"/>
  <c r="ADI36" i="3"/>
  <c r="ADI37" i="3"/>
  <c r="ADI38" i="3"/>
  <c r="ADI39" i="3"/>
  <c r="ADI40" i="3"/>
  <c r="ADI41" i="3"/>
  <c r="ADI42" i="3"/>
  <c r="ADI43" i="3"/>
  <c r="ADI44" i="3"/>
  <c r="ADI45" i="3"/>
  <c r="ADI2" i="3"/>
  <c r="ADG3" i="3"/>
  <c r="ADG4" i="3"/>
  <c r="ADG5" i="3"/>
  <c r="ADG6" i="3"/>
  <c r="ADG7" i="3"/>
  <c r="ADG8" i="3"/>
  <c r="ADG9" i="3"/>
  <c r="ADG10" i="3"/>
  <c r="ADG11" i="3"/>
  <c r="ADG12" i="3"/>
  <c r="ADG13" i="3"/>
  <c r="ADG14" i="3"/>
  <c r="ADG15" i="3"/>
  <c r="ADG16" i="3"/>
  <c r="ADG17" i="3"/>
  <c r="ADG18" i="3"/>
  <c r="ADG19" i="3"/>
  <c r="ADG20" i="3"/>
  <c r="ADG21" i="3"/>
  <c r="ADG22" i="3"/>
  <c r="ADG23" i="3"/>
  <c r="ADG24" i="3"/>
  <c r="ADG25" i="3"/>
  <c r="ADG26" i="3"/>
  <c r="ADG27" i="3"/>
  <c r="ADG28" i="3"/>
  <c r="ADG29" i="3"/>
  <c r="ADG30" i="3"/>
  <c r="ADG31" i="3"/>
  <c r="ADG32" i="3"/>
  <c r="ADG33" i="3"/>
  <c r="ADG34" i="3"/>
  <c r="ADG35" i="3"/>
  <c r="ADG36" i="3"/>
  <c r="ADG37" i="3"/>
  <c r="ADG38" i="3"/>
  <c r="ADG39" i="3"/>
  <c r="ADG40" i="3"/>
  <c r="ADG41" i="3"/>
  <c r="ADG42" i="3"/>
  <c r="ADG43" i="3"/>
  <c r="ADG44" i="3"/>
  <c r="ADG45" i="3"/>
  <c r="ADG2" i="3"/>
  <c r="ADB3" i="3"/>
  <c r="ADB4" i="3"/>
  <c r="ADB5" i="3"/>
  <c r="ADB6" i="3"/>
  <c r="ADB7" i="3"/>
  <c r="ADB8" i="3"/>
  <c r="ADB9" i="3"/>
  <c r="ADB10" i="3"/>
  <c r="ADB11" i="3"/>
  <c r="ADB12" i="3"/>
  <c r="ADB13" i="3"/>
  <c r="ADB14" i="3"/>
  <c r="ADB15" i="3"/>
  <c r="ADB16" i="3"/>
  <c r="ADB17" i="3"/>
  <c r="ADB18" i="3"/>
  <c r="ADB19" i="3"/>
  <c r="ADB20" i="3"/>
  <c r="ADB21" i="3"/>
  <c r="ADB22" i="3"/>
  <c r="ADB23" i="3"/>
  <c r="ADB24" i="3"/>
  <c r="ADB25" i="3"/>
  <c r="ADB26" i="3"/>
  <c r="ADB27" i="3"/>
  <c r="ADB28" i="3"/>
  <c r="ADB29" i="3"/>
  <c r="ADB30" i="3"/>
  <c r="ADB31" i="3"/>
  <c r="ADB32" i="3"/>
  <c r="ADB33" i="3"/>
  <c r="ADB34" i="3"/>
  <c r="ADB35" i="3"/>
  <c r="ADB36" i="3"/>
  <c r="ADB37" i="3"/>
  <c r="ADB38" i="3"/>
  <c r="ADB39" i="3"/>
  <c r="ADB40" i="3"/>
  <c r="ADB41" i="3"/>
  <c r="ADB42" i="3"/>
  <c r="ADB43" i="3"/>
  <c r="ADB44" i="3"/>
  <c r="ADB45" i="3"/>
  <c r="ADB2" i="3"/>
  <c r="ADA3" i="3"/>
  <c r="ADA4" i="3"/>
  <c r="ADA5" i="3"/>
  <c r="ADA6" i="3"/>
  <c r="ADA7" i="3"/>
  <c r="ADA8" i="3"/>
  <c r="ADA9" i="3"/>
  <c r="ADA10" i="3"/>
  <c r="ADA11" i="3"/>
  <c r="ADA12" i="3"/>
  <c r="ADA13" i="3"/>
  <c r="ADA14" i="3"/>
  <c r="ADA15" i="3"/>
  <c r="ADA16" i="3"/>
  <c r="ADA17" i="3"/>
  <c r="ADA18" i="3"/>
  <c r="ADA19" i="3"/>
  <c r="ADA20" i="3"/>
  <c r="ADA21" i="3"/>
  <c r="ADA22" i="3"/>
  <c r="ADA23" i="3"/>
  <c r="ADA24" i="3"/>
  <c r="ADA25" i="3"/>
  <c r="ADA26" i="3"/>
  <c r="ADA27" i="3"/>
  <c r="ADA28" i="3"/>
  <c r="ADA29" i="3"/>
  <c r="ADA30" i="3"/>
  <c r="ADA31" i="3"/>
  <c r="ADA32" i="3"/>
  <c r="ADA33" i="3"/>
  <c r="ADA34" i="3"/>
  <c r="ADA35" i="3"/>
  <c r="ADA36" i="3"/>
  <c r="ADA37" i="3"/>
  <c r="ADA38" i="3"/>
  <c r="ADA39" i="3"/>
  <c r="ADA40" i="3"/>
  <c r="ADA41" i="3"/>
  <c r="ADA42" i="3"/>
  <c r="ADA43" i="3"/>
  <c r="ADA44" i="3"/>
  <c r="ADA45" i="3"/>
  <c r="ADA2" i="3"/>
  <c r="ACZ3" i="3"/>
  <c r="ACZ4" i="3"/>
  <c r="ACZ5" i="3"/>
  <c r="ACZ6" i="3"/>
  <c r="ACZ7" i="3"/>
  <c r="ACZ8" i="3"/>
  <c r="ACZ9" i="3"/>
  <c r="ACZ10" i="3"/>
  <c r="ACZ11" i="3"/>
  <c r="ACZ12" i="3"/>
  <c r="ACZ13" i="3"/>
  <c r="ACZ14" i="3"/>
  <c r="ACZ15" i="3"/>
  <c r="ACZ16" i="3"/>
  <c r="ACZ17" i="3"/>
  <c r="ACZ18" i="3"/>
  <c r="ACZ19" i="3"/>
  <c r="ACZ20" i="3"/>
  <c r="ACZ21" i="3"/>
  <c r="ACZ22" i="3"/>
  <c r="ACZ23" i="3"/>
  <c r="ACZ24" i="3"/>
  <c r="ACZ25" i="3"/>
  <c r="ACZ26" i="3"/>
  <c r="ACZ27" i="3"/>
  <c r="ACZ28" i="3"/>
  <c r="ACZ29" i="3"/>
  <c r="ACZ30" i="3"/>
  <c r="ACZ31" i="3"/>
  <c r="ACZ32" i="3"/>
  <c r="ACZ33" i="3"/>
  <c r="ACZ34" i="3"/>
  <c r="ACZ35" i="3"/>
  <c r="ACZ36" i="3"/>
  <c r="ACZ37" i="3"/>
  <c r="ACZ38" i="3"/>
  <c r="ACZ39" i="3"/>
  <c r="ACZ40" i="3"/>
  <c r="ACZ41" i="3"/>
  <c r="ACZ42" i="3"/>
  <c r="ACZ43" i="3"/>
  <c r="ACZ44" i="3"/>
  <c r="ACZ45" i="3"/>
  <c r="ACZ2" i="3"/>
  <c r="ACY4" i="3"/>
  <c r="ACY3" i="3"/>
  <c r="ACY5" i="3"/>
  <c r="ACY6" i="3"/>
  <c r="ACY7" i="3"/>
  <c r="ACY8" i="3"/>
  <c r="ACY9" i="3"/>
  <c r="ACY10" i="3"/>
  <c r="ACY11" i="3"/>
  <c r="ACY12" i="3"/>
  <c r="ACY13" i="3"/>
  <c r="ACY14" i="3"/>
  <c r="ACY15" i="3"/>
  <c r="ACY16" i="3"/>
  <c r="ACY17" i="3"/>
  <c r="ACY18" i="3"/>
  <c r="ACY19" i="3"/>
  <c r="ACY20" i="3"/>
  <c r="ACY21" i="3"/>
  <c r="ACY22" i="3"/>
  <c r="ACY23" i="3"/>
  <c r="ACY24" i="3"/>
  <c r="ACY25" i="3"/>
  <c r="ACY26" i="3"/>
  <c r="ACY27" i="3"/>
  <c r="ACY28" i="3"/>
  <c r="ACY29" i="3"/>
  <c r="ACY30" i="3"/>
  <c r="ACY31" i="3"/>
  <c r="ACY32" i="3"/>
  <c r="ACY33" i="3"/>
  <c r="ACY34" i="3"/>
  <c r="ACY35" i="3"/>
  <c r="ACY36" i="3"/>
  <c r="ACY37" i="3"/>
  <c r="ACY38" i="3"/>
  <c r="ACY39" i="3"/>
  <c r="ACY40" i="3"/>
  <c r="ACY41" i="3"/>
  <c r="ACY42" i="3"/>
  <c r="ACY43" i="3"/>
  <c r="ACY44" i="3"/>
  <c r="ACY45" i="3"/>
  <c r="ACY2" i="3"/>
  <c r="ACX3" i="3"/>
  <c r="ACX4" i="3"/>
  <c r="ACX5" i="3"/>
  <c r="ACX6" i="3"/>
  <c r="ACX7" i="3"/>
  <c r="ACX8" i="3"/>
  <c r="ACX9" i="3"/>
  <c r="ACX10" i="3"/>
  <c r="ACX11" i="3"/>
  <c r="ACX12" i="3"/>
  <c r="ACX13" i="3"/>
  <c r="ACX14" i="3"/>
  <c r="ACX15" i="3"/>
  <c r="ACX16" i="3"/>
  <c r="ACX17" i="3"/>
  <c r="ACX18" i="3"/>
  <c r="ACX19" i="3"/>
  <c r="ACX20" i="3"/>
  <c r="ACX21" i="3"/>
  <c r="ACX22" i="3"/>
  <c r="ACX23" i="3"/>
  <c r="ACX24" i="3"/>
  <c r="ACX25" i="3"/>
  <c r="ACX26" i="3"/>
  <c r="ACX27" i="3"/>
  <c r="ACX28" i="3"/>
  <c r="ACX29" i="3"/>
  <c r="ACX30" i="3"/>
  <c r="ACX31" i="3"/>
  <c r="ACX32" i="3"/>
  <c r="ACX33" i="3"/>
  <c r="ACX34" i="3"/>
  <c r="ACX35" i="3"/>
  <c r="ACX36" i="3"/>
  <c r="ACX37" i="3"/>
  <c r="ACX38" i="3"/>
  <c r="ACX39" i="3"/>
  <c r="ACX40" i="3"/>
  <c r="ACX41" i="3"/>
  <c r="ACX42" i="3"/>
  <c r="ACX43" i="3"/>
  <c r="ACX44" i="3"/>
  <c r="ACX45" i="3"/>
  <c r="ACX2" i="3"/>
  <c r="ACW11" i="3"/>
  <c r="ACW3" i="3"/>
  <c r="ACW4" i="3"/>
  <c r="ACW5" i="3"/>
  <c r="ACW6" i="3"/>
  <c r="ACW7" i="3"/>
  <c r="ACW8" i="3"/>
  <c r="ACW9" i="3"/>
  <c r="ACW10" i="3"/>
  <c r="ACW12" i="3"/>
  <c r="ACW13" i="3"/>
  <c r="ACW14" i="3"/>
  <c r="ACW15" i="3"/>
  <c r="ACW16" i="3"/>
  <c r="ACW17" i="3"/>
  <c r="ACW18" i="3"/>
  <c r="ACW19" i="3"/>
  <c r="ACW20" i="3"/>
  <c r="ACW21" i="3"/>
  <c r="ACW22" i="3"/>
  <c r="ACW23" i="3"/>
  <c r="ACW24" i="3"/>
  <c r="ACW25" i="3"/>
  <c r="ACW26" i="3"/>
  <c r="ACW27" i="3"/>
  <c r="ACW28" i="3"/>
  <c r="ACW29" i="3"/>
  <c r="ACW30" i="3"/>
  <c r="ACW31" i="3"/>
  <c r="ACW32" i="3"/>
  <c r="ACW33" i="3"/>
  <c r="ACW34" i="3"/>
  <c r="ACW35" i="3"/>
  <c r="ACW36" i="3"/>
  <c r="ACW37" i="3"/>
  <c r="ACW38" i="3"/>
  <c r="ACW39" i="3"/>
  <c r="ACW40" i="3"/>
  <c r="ACW41" i="3"/>
  <c r="ACW42" i="3"/>
  <c r="ACW43" i="3"/>
  <c r="ACW44" i="3"/>
  <c r="ACW45" i="3"/>
  <c r="ACW2" i="3"/>
  <c r="ABP40" i="3"/>
  <c r="ABP33" i="3"/>
  <c r="ABP26" i="3"/>
  <c r="ABP8" i="3"/>
  <c r="ABP9" i="3"/>
  <c r="ABP10" i="3"/>
  <c r="ABP11" i="3"/>
  <c r="ABP12" i="3"/>
  <c r="ABP13" i="3"/>
  <c r="ABP14" i="3"/>
  <c r="ABP15" i="3"/>
  <c r="ABP16" i="3"/>
  <c r="ABP17" i="3"/>
  <c r="ABP18" i="3"/>
  <c r="ABP19" i="3"/>
  <c r="ABP20" i="3"/>
  <c r="ABP21" i="3"/>
  <c r="ABP22" i="3"/>
  <c r="ABP3" i="3"/>
  <c r="ABP4" i="3"/>
  <c r="ABP5" i="3"/>
  <c r="ABP6" i="3"/>
  <c r="ABP7" i="3"/>
  <c r="ABP2" i="3"/>
  <c r="ABO33" i="3"/>
  <c r="ABO26" i="3"/>
  <c r="ABO40" i="3"/>
  <c r="ABO3" i="3"/>
  <c r="ABO4" i="3"/>
  <c r="ABO5" i="3"/>
  <c r="ABO6" i="3"/>
  <c r="ABO7" i="3"/>
  <c r="ABO8" i="3"/>
  <c r="ABO9" i="3"/>
  <c r="ABO10" i="3"/>
  <c r="ABO11" i="3"/>
  <c r="ABO12" i="3"/>
  <c r="ABO13" i="3"/>
  <c r="ABO14" i="3"/>
  <c r="ABO15" i="3"/>
  <c r="ABO16" i="3"/>
  <c r="ABO17" i="3"/>
  <c r="ABO18" i="3"/>
  <c r="ABO19" i="3"/>
  <c r="ABO20" i="3"/>
  <c r="ABO21" i="3"/>
  <c r="ABO22" i="3"/>
  <c r="ABO2" i="3"/>
  <c r="AAW3" i="3"/>
  <c r="AAW4" i="3"/>
  <c r="AAW5" i="3"/>
  <c r="AAW6" i="3"/>
  <c r="AAW7" i="3"/>
  <c r="AAW8" i="3"/>
  <c r="AAW9" i="3"/>
  <c r="AAW10" i="3"/>
  <c r="AAW11" i="3"/>
  <c r="AAW12" i="3"/>
  <c r="AAW13" i="3"/>
  <c r="AAW14" i="3"/>
  <c r="AAW15" i="3"/>
  <c r="AAW16" i="3"/>
  <c r="AAW17" i="3"/>
  <c r="AAW18" i="3"/>
  <c r="AAW19" i="3"/>
  <c r="AAW20" i="3"/>
  <c r="AAW21" i="3"/>
  <c r="AAW22" i="3"/>
  <c r="AAW23" i="3"/>
  <c r="AAW24" i="3"/>
  <c r="AAW25" i="3"/>
  <c r="AAW26" i="3"/>
  <c r="AAW27" i="3"/>
  <c r="AAW28" i="3"/>
  <c r="AAW29" i="3"/>
  <c r="AAW30" i="3"/>
  <c r="AAW31" i="3"/>
  <c r="AAW32" i="3"/>
  <c r="AAW33" i="3"/>
  <c r="AAW34" i="3"/>
  <c r="AAW35" i="3"/>
  <c r="AAW36" i="3"/>
  <c r="AAW37" i="3"/>
  <c r="AAW38" i="3"/>
  <c r="AAW39" i="3"/>
  <c r="AAW40" i="3"/>
  <c r="AAW41" i="3"/>
  <c r="AAW42" i="3"/>
  <c r="AAW43" i="3"/>
  <c r="AAW44" i="3"/>
  <c r="AAW45" i="3"/>
  <c r="AAW2" i="3"/>
  <c r="AAV3" i="3"/>
  <c r="AAV4" i="3"/>
  <c r="AAV5" i="3"/>
  <c r="AAV6" i="3"/>
  <c r="AAV7" i="3"/>
  <c r="AAV8" i="3"/>
  <c r="AAV9" i="3"/>
  <c r="AAV10" i="3"/>
  <c r="AAV11" i="3"/>
  <c r="AAV12" i="3"/>
  <c r="AAV13" i="3"/>
  <c r="AAV14" i="3"/>
  <c r="AAV15" i="3"/>
  <c r="AAV16" i="3"/>
  <c r="AAV17" i="3"/>
  <c r="AAV18" i="3"/>
  <c r="AAV19" i="3"/>
  <c r="AAV20" i="3"/>
  <c r="AAV21" i="3"/>
  <c r="AAV22" i="3"/>
  <c r="AAV23" i="3"/>
  <c r="AAV24" i="3"/>
  <c r="AAV25" i="3"/>
  <c r="AAV26" i="3"/>
  <c r="AAV27" i="3"/>
  <c r="AAV28" i="3"/>
  <c r="AAV29" i="3"/>
  <c r="AAV30" i="3"/>
  <c r="AAV31" i="3"/>
  <c r="AAV32" i="3"/>
  <c r="AAV33" i="3"/>
  <c r="AAV34" i="3"/>
  <c r="AAV35" i="3"/>
  <c r="AAV36" i="3"/>
  <c r="AAV37" i="3"/>
  <c r="AAV38" i="3"/>
  <c r="AAV39" i="3"/>
  <c r="AAV40" i="3"/>
  <c r="AAV41" i="3"/>
  <c r="AAV42" i="3"/>
  <c r="AAV43" i="3"/>
  <c r="AAV44" i="3"/>
  <c r="AAV45" i="3"/>
  <c r="AAV2" i="3"/>
  <c r="AAU3" i="3"/>
  <c r="AAU4" i="3"/>
  <c r="AAU5" i="3"/>
  <c r="AAU6" i="3"/>
  <c r="AAU7" i="3"/>
  <c r="AAU8" i="3"/>
  <c r="AAU9" i="3"/>
  <c r="AAU10" i="3"/>
  <c r="AAU11" i="3"/>
  <c r="AAU12" i="3"/>
  <c r="AAU13" i="3"/>
  <c r="AAU14" i="3"/>
  <c r="AAU15" i="3"/>
  <c r="AAU16" i="3"/>
  <c r="AAU17" i="3"/>
  <c r="AAU18" i="3"/>
  <c r="AAU19" i="3"/>
  <c r="AAU20" i="3"/>
  <c r="AAU21" i="3"/>
  <c r="AAU22" i="3"/>
  <c r="AAU23" i="3"/>
  <c r="AAU24" i="3"/>
  <c r="AAU25" i="3"/>
  <c r="AAU26" i="3"/>
  <c r="AAU27" i="3"/>
  <c r="AAU28" i="3"/>
  <c r="AAU29" i="3"/>
  <c r="AAU30" i="3"/>
  <c r="AAU31" i="3"/>
  <c r="AAU32" i="3"/>
  <c r="AAU33" i="3"/>
  <c r="AAU34" i="3"/>
  <c r="AAU35" i="3"/>
  <c r="AAU36" i="3"/>
  <c r="AAU37" i="3"/>
  <c r="AAU38" i="3"/>
  <c r="AAU39" i="3"/>
  <c r="AAU40" i="3"/>
  <c r="AAU41" i="3"/>
  <c r="AAU42" i="3"/>
  <c r="AAU43" i="3"/>
  <c r="AAU44" i="3"/>
  <c r="AAU45" i="3"/>
  <c r="AAU2" i="3"/>
  <c r="AAT3" i="3"/>
  <c r="AAT4" i="3"/>
  <c r="AAT5" i="3"/>
  <c r="AAT6" i="3"/>
  <c r="AAT7" i="3"/>
  <c r="AAT8" i="3"/>
  <c r="AAT9" i="3"/>
  <c r="AAT10" i="3"/>
  <c r="AAT11" i="3"/>
  <c r="AAT12" i="3"/>
  <c r="AAT13" i="3"/>
  <c r="AAT14" i="3"/>
  <c r="AAT15" i="3"/>
  <c r="AAT16" i="3"/>
  <c r="AAT17" i="3"/>
  <c r="AAT18" i="3"/>
  <c r="AAT19" i="3"/>
  <c r="AAT20" i="3"/>
  <c r="AAT21" i="3"/>
  <c r="AAT22" i="3"/>
  <c r="AAT23" i="3"/>
  <c r="AAT24" i="3"/>
  <c r="AAT25" i="3"/>
  <c r="AAT26" i="3"/>
  <c r="AAT27" i="3"/>
  <c r="AAT28" i="3"/>
  <c r="AAT29" i="3"/>
  <c r="AAT30" i="3"/>
  <c r="AAT31" i="3"/>
  <c r="AAT32" i="3"/>
  <c r="AAT33" i="3"/>
  <c r="AAT34" i="3"/>
  <c r="AAT35" i="3"/>
  <c r="AAT36" i="3"/>
  <c r="AAT37" i="3"/>
  <c r="AAT38" i="3"/>
  <c r="AAT39" i="3"/>
  <c r="AAT40" i="3"/>
  <c r="AAT41" i="3"/>
  <c r="AAT42" i="3"/>
  <c r="AAT43" i="3"/>
  <c r="AAT44" i="3"/>
  <c r="AAT45" i="3"/>
  <c r="AAT2" i="3"/>
  <c r="ZY3" i="3"/>
  <c r="ZY4" i="3"/>
  <c r="ZY5" i="3"/>
  <c r="ZY6" i="3"/>
  <c r="ZY7" i="3"/>
  <c r="ZY8" i="3"/>
  <c r="ZY9" i="3"/>
  <c r="ZY10" i="3"/>
  <c r="ZY11" i="3"/>
  <c r="ZY12" i="3"/>
  <c r="ZY13" i="3"/>
  <c r="ZY14" i="3"/>
  <c r="ZY15" i="3"/>
  <c r="ZY16" i="3"/>
  <c r="ZY17" i="3"/>
  <c r="ZY18" i="3"/>
  <c r="ZY19" i="3"/>
  <c r="ZY20" i="3"/>
  <c r="ZY21" i="3"/>
  <c r="ZY22" i="3"/>
  <c r="ZY23" i="3"/>
  <c r="ZY24" i="3"/>
  <c r="ZY25" i="3"/>
  <c r="ZY26" i="3"/>
  <c r="ZY27" i="3"/>
  <c r="ZY28" i="3"/>
  <c r="ZY29" i="3"/>
  <c r="ZY30" i="3"/>
  <c r="ZY31" i="3"/>
  <c r="ZY32" i="3"/>
  <c r="ZY33" i="3"/>
  <c r="ZY34" i="3"/>
  <c r="ZY35" i="3"/>
  <c r="ZY36" i="3"/>
  <c r="ZY37" i="3"/>
  <c r="ZY38" i="3"/>
  <c r="ZY39" i="3"/>
  <c r="ZY40" i="3"/>
  <c r="ZY41" i="3"/>
  <c r="ZY42" i="3"/>
  <c r="ZY43" i="3"/>
  <c r="ZY44" i="3"/>
  <c r="ZY45" i="3"/>
  <c r="ZY2" i="3"/>
  <c r="ZX3" i="3"/>
  <c r="ZX4" i="3"/>
  <c r="ZX5" i="3"/>
  <c r="ZX6" i="3"/>
  <c r="ZX7" i="3"/>
  <c r="ZX8" i="3"/>
  <c r="ZX9" i="3"/>
  <c r="ZX10" i="3"/>
  <c r="ZX11" i="3"/>
  <c r="ZX12" i="3"/>
  <c r="ZX13" i="3"/>
  <c r="ZX14" i="3"/>
  <c r="ZX15" i="3"/>
  <c r="ZX16" i="3"/>
  <c r="ZX17" i="3"/>
  <c r="ZX18" i="3"/>
  <c r="ZX19" i="3"/>
  <c r="ZX20" i="3"/>
  <c r="ZX21" i="3"/>
  <c r="ZX22" i="3"/>
  <c r="ZX23" i="3"/>
  <c r="ZX24" i="3"/>
  <c r="ZX25" i="3"/>
  <c r="ZX26" i="3"/>
  <c r="ZX27" i="3"/>
  <c r="ZX28" i="3"/>
  <c r="ZX29" i="3"/>
  <c r="ZX30" i="3"/>
  <c r="ZX31" i="3"/>
  <c r="ZX32" i="3"/>
  <c r="ZX33" i="3"/>
  <c r="ZX34" i="3"/>
  <c r="ZX35" i="3"/>
  <c r="ZX36" i="3"/>
  <c r="ZX37" i="3"/>
  <c r="ZX38" i="3"/>
  <c r="ZX39" i="3"/>
  <c r="ZX40" i="3"/>
  <c r="ZX41" i="3"/>
  <c r="ZX42" i="3"/>
  <c r="ZX43" i="3"/>
  <c r="ZX44" i="3"/>
  <c r="ZX45" i="3"/>
  <c r="ZX2" i="3"/>
  <c r="ADC4" i="3" l="1"/>
  <c r="ADC42" i="3"/>
  <c r="ADC34" i="3"/>
  <c r="ADC26" i="3"/>
  <c r="ADC18" i="3"/>
  <c r="ADC29" i="3"/>
  <c r="ADC13" i="3"/>
  <c r="ADC21" i="3"/>
  <c r="ADC44" i="3"/>
  <c r="ADC36" i="3"/>
  <c r="ADC28" i="3"/>
  <c r="ADC20" i="3"/>
  <c r="ADC12" i="3"/>
  <c r="ADC37" i="3"/>
  <c r="ADC39" i="3"/>
  <c r="ADC31" i="3"/>
  <c r="ADC23" i="3"/>
  <c r="ADC15" i="3"/>
  <c r="ADC6" i="3"/>
  <c r="ADC7" i="3"/>
  <c r="ADC45" i="3"/>
  <c r="ADC43" i="3"/>
  <c r="ADC35" i="3"/>
  <c r="ADC27" i="3"/>
  <c r="ADC19" i="3"/>
  <c r="ADC10" i="3"/>
  <c r="ADC11" i="3"/>
  <c r="ADC3" i="3"/>
  <c r="ADC41" i="3"/>
  <c r="ADC33" i="3"/>
  <c r="ADC25" i="3"/>
  <c r="ADC17" i="3"/>
  <c r="ADC8" i="3"/>
  <c r="ADC9" i="3"/>
  <c r="ADC40" i="3"/>
  <c r="ADC32" i="3"/>
  <c r="ADC24" i="3"/>
  <c r="ADC16" i="3"/>
  <c r="ADC2" i="3"/>
  <c r="ADC38" i="3"/>
  <c r="ADC30" i="3"/>
  <c r="ADC22" i="3"/>
  <c r="ADC14" i="3"/>
  <c r="ADC5" i="3"/>
  <c r="KC3" i="3" l="1"/>
  <c r="KC4" i="3"/>
  <c r="KC5" i="3"/>
  <c r="KC6" i="3"/>
  <c r="KC7" i="3"/>
  <c r="KC8" i="3"/>
  <c r="KC9" i="3"/>
  <c r="KC10" i="3"/>
  <c r="KC11" i="3"/>
  <c r="KC12" i="3"/>
  <c r="KC13" i="3"/>
  <c r="KC14" i="3"/>
  <c r="KC15" i="3"/>
  <c r="KC16" i="3"/>
  <c r="KC17" i="3"/>
  <c r="KC18" i="3"/>
  <c r="KC19" i="3"/>
  <c r="KC20" i="3"/>
  <c r="KC21" i="3"/>
  <c r="KC22" i="3"/>
  <c r="KC23" i="3"/>
  <c r="KC24" i="3"/>
  <c r="KC25" i="3"/>
  <c r="KC26" i="3"/>
  <c r="KC27" i="3"/>
  <c r="KC28" i="3"/>
  <c r="KC29" i="3"/>
  <c r="KC30" i="3"/>
  <c r="KC31" i="3"/>
  <c r="KC32" i="3"/>
  <c r="KC33" i="3"/>
  <c r="KC34" i="3"/>
  <c r="KC35" i="3"/>
  <c r="KC36" i="3"/>
  <c r="KC37" i="3"/>
  <c r="KC38" i="3"/>
  <c r="KC39" i="3"/>
  <c r="KC40" i="3"/>
  <c r="KC41" i="3"/>
  <c r="KC42" i="3"/>
  <c r="KC43" i="3"/>
  <c r="KC44" i="3"/>
  <c r="KC45" i="3"/>
  <c r="KC2" i="3"/>
  <c r="JV7" i="3"/>
  <c r="JW7" i="3"/>
  <c r="JW5" i="3"/>
  <c r="JW40" i="3"/>
  <c r="JW39" i="3"/>
  <c r="JW34" i="3"/>
  <c r="JW33" i="3"/>
  <c r="JW26" i="3"/>
  <c r="JW3" i="3"/>
  <c r="JW4" i="3"/>
  <c r="JW6" i="3"/>
  <c r="JW8" i="3"/>
  <c r="JW9" i="3"/>
  <c r="JW10" i="3"/>
  <c r="JW11" i="3"/>
  <c r="JW12" i="3"/>
  <c r="JW13" i="3"/>
  <c r="JW14" i="3"/>
  <c r="JW15" i="3"/>
  <c r="JW16" i="3"/>
  <c r="JW17" i="3"/>
  <c r="JW18" i="3"/>
  <c r="JW19" i="3"/>
  <c r="JW20" i="3"/>
  <c r="JW21" i="3"/>
  <c r="JW22" i="3"/>
  <c r="JW23" i="3"/>
  <c r="JW2" i="3"/>
  <c r="JV40" i="3"/>
  <c r="JV39" i="3"/>
  <c r="JV34" i="3"/>
  <c r="JV33" i="3"/>
  <c r="JV26" i="3"/>
  <c r="JV2" i="3"/>
  <c r="JV3" i="3"/>
  <c r="JV4" i="3"/>
  <c r="JV5" i="3"/>
  <c r="JV6" i="3"/>
  <c r="JV8" i="3"/>
  <c r="JV9" i="3"/>
  <c r="JV10" i="3"/>
  <c r="JV11" i="3"/>
  <c r="JV12" i="3"/>
  <c r="JV13" i="3"/>
  <c r="JV14" i="3"/>
  <c r="JV15" i="3"/>
  <c r="JV16" i="3"/>
  <c r="JV17" i="3"/>
  <c r="JV18" i="3"/>
  <c r="JV19" i="3"/>
  <c r="JV20" i="3"/>
  <c r="JV21" i="3"/>
  <c r="JV22" i="3"/>
  <c r="JV23" i="3"/>
  <c r="JT3" i="3"/>
  <c r="JT4" i="3"/>
  <c r="JT5" i="3"/>
  <c r="JT6" i="3"/>
  <c r="JT7" i="3"/>
  <c r="JT8" i="3"/>
  <c r="JT9" i="3"/>
  <c r="JT10" i="3"/>
  <c r="JT11" i="3"/>
  <c r="JT12" i="3"/>
  <c r="JT13" i="3"/>
  <c r="JT14" i="3"/>
  <c r="JT15" i="3"/>
  <c r="JT16" i="3"/>
  <c r="JT17" i="3"/>
  <c r="JT18" i="3"/>
  <c r="JT19" i="3"/>
  <c r="JT20" i="3"/>
  <c r="JT21" i="3"/>
  <c r="JT22" i="3"/>
  <c r="JT23" i="3"/>
  <c r="JT24" i="3"/>
  <c r="JT25" i="3"/>
  <c r="JT26" i="3"/>
  <c r="JT27" i="3"/>
  <c r="JT28" i="3"/>
  <c r="JT29" i="3"/>
  <c r="JT30" i="3"/>
  <c r="JT31" i="3"/>
  <c r="JT32" i="3"/>
  <c r="JT33" i="3"/>
  <c r="JT34" i="3"/>
  <c r="JT35" i="3"/>
  <c r="JT36" i="3"/>
  <c r="JT37" i="3"/>
  <c r="JT38" i="3"/>
  <c r="JT39" i="3"/>
  <c r="JT40" i="3"/>
  <c r="JT41" i="3"/>
  <c r="JT42" i="3"/>
  <c r="JT43" i="3"/>
  <c r="JT44" i="3"/>
  <c r="JT45" i="3"/>
  <c r="JT2" i="3"/>
  <c r="IN3" i="3"/>
  <c r="IN4" i="3"/>
  <c r="IN5" i="3"/>
  <c r="IN6" i="3"/>
  <c r="IN7" i="3"/>
  <c r="IN8" i="3"/>
  <c r="IN9" i="3"/>
  <c r="IN10" i="3"/>
  <c r="IN11" i="3"/>
  <c r="IN12" i="3"/>
  <c r="IN13" i="3"/>
  <c r="IN14" i="3"/>
  <c r="IN15" i="3"/>
  <c r="IN16" i="3"/>
  <c r="IN17" i="3"/>
  <c r="IN18" i="3"/>
  <c r="IN19" i="3"/>
  <c r="IN20" i="3"/>
  <c r="IN21" i="3"/>
  <c r="IN22" i="3"/>
  <c r="IN23" i="3"/>
  <c r="IN24" i="3"/>
  <c r="IN25" i="3"/>
  <c r="IN26" i="3"/>
  <c r="IN27" i="3"/>
  <c r="IN28" i="3"/>
  <c r="IN29" i="3"/>
  <c r="IN30" i="3"/>
  <c r="IN31" i="3"/>
  <c r="IN32" i="3"/>
  <c r="IN33" i="3"/>
  <c r="IN34" i="3"/>
  <c r="IN35" i="3"/>
  <c r="IN36" i="3"/>
  <c r="IN37" i="3"/>
  <c r="IN38" i="3"/>
  <c r="IN39" i="3"/>
  <c r="IN40" i="3"/>
  <c r="IN41" i="3"/>
  <c r="IN42" i="3"/>
  <c r="IN43" i="3"/>
  <c r="IN44" i="3"/>
  <c r="IN45" i="3"/>
  <c r="IN2" i="3"/>
  <c r="HG3" i="3"/>
  <c r="HG4" i="3"/>
  <c r="HG5" i="3"/>
  <c r="HG6" i="3"/>
  <c r="HG7" i="3"/>
  <c r="HG8" i="3"/>
  <c r="HG9" i="3"/>
  <c r="HG10" i="3"/>
  <c r="HG11" i="3"/>
  <c r="HG12" i="3"/>
  <c r="HG13" i="3"/>
  <c r="HG14" i="3"/>
  <c r="HG15" i="3"/>
  <c r="HG16" i="3"/>
  <c r="HG17" i="3"/>
  <c r="HG18" i="3"/>
  <c r="HG19" i="3"/>
  <c r="HG20" i="3"/>
  <c r="HG21" i="3"/>
  <c r="HG22" i="3"/>
  <c r="HB3" i="3"/>
  <c r="HI3" i="3" s="1"/>
  <c r="HB4" i="3"/>
  <c r="HI4" i="3" s="1"/>
  <c r="HB5" i="3"/>
  <c r="HI5" i="3" s="1"/>
  <c r="HB6" i="3"/>
  <c r="HI6" i="3" s="1"/>
  <c r="HB7" i="3"/>
  <c r="HI7" i="3" s="1"/>
  <c r="HB8" i="3"/>
  <c r="HI8" i="3" s="1"/>
  <c r="HB9" i="3"/>
  <c r="HI9" i="3" s="1"/>
  <c r="HB10" i="3"/>
  <c r="HI10" i="3" s="1"/>
  <c r="HB11" i="3"/>
  <c r="HI11" i="3" s="1"/>
  <c r="HB12" i="3"/>
  <c r="HI12" i="3" s="1"/>
  <c r="HB13" i="3"/>
  <c r="HI13" i="3" s="1"/>
  <c r="HB14" i="3"/>
  <c r="HI14" i="3" s="1"/>
  <c r="HB15" i="3"/>
  <c r="HI15" i="3" s="1"/>
  <c r="HB16" i="3"/>
  <c r="HI16" i="3" s="1"/>
  <c r="HB17" i="3"/>
  <c r="HI17" i="3" s="1"/>
  <c r="HB18" i="3"/>
  <c r="HI18" i="3" s="1"/>
  <c r="HB19" i="3"/>
  <c r="HI19" i="3" s="1"/>
  <c r="HB20" i="3"/>
  <c r="HI20" i="3" s="1"/>
  <c r="HB21" i="3"/>
  <c r="HI21" i="3" s="1"/>
  <c r="HB22" i="3"/>
  <c r="HI22" i="3" s="1"/>
  <c r="GW3" i="3"/>
  <c r="GW4" i="3"/>
  <c r="GW5" i="3"/>
  <c r="GW6" i="3"/>
  <c r="GW7" i="3"/>
  <c r="GW8" i="3"/>
  <c r="GW9" i="3"/>
  <c r="GW10" i="3"/>
  <c r="GW11" i="3"/>
  <c r="GW12" i="3"/>
  <c r="GW13" i="3"/>
  <c r="GW14" i="3"/>
  <c r="GW15" i="3"/>
  <c r="GW16" i="3"/>
  <c r="GW17" i="3"/>
  <c r="GW18" i="3"/>
  <c r="GW19" i="3"/>
  <c r="GW20" i="3"/>
  <c r="GW21" i="3"/>
  <c r="GW22" i="3"/>
  <c r="HG37" i="3"/>
  <c r="HG26" i="3"/>
  <c r="HB37" i="3"/>
  <c r="HB26" i="3"/>
  <c r="HG2" i="3"/>
  <c r="HB2" i="3"/>
  <c r="HI2" i="3" s="1"/>
  <c r="GW37" i="3"/>
  <c r="GW26" i="3"/>
  <c r="GW2" i="3"/>
  <c r="GR37" i="3"/>
  <c r="GR26" i="3"/>
  <c r="GR3" i="3"/>
  <c r="GR4" i="3"/>
  <c r="GR5" i="3"/>
  <c r="GR6" i="3"/>
  <c r="GR7" i="3"/>
  <c r="GR8" i="3"/>
  <c r="GR9" i="3"/>
  <c r="GR10" i="3"/>
  <c r="GR11" i="3"/>
  <c r="GR12" i="3"/>
  <c r="GR13" i="3"/>
  <c r="GR14" i="3"/>
  <c r="GR15" i="3"/>
  <c r="GR16" i="3"/>
  <c r="GR17" i="3"/>
  <c r="GR18" i="3"/>
  <c r="GR19" i="3"/>
  <c r="GR20" i="3"/>
  <c r="GR21" i="3"/>
  <c r="GR22" i="3"/>
  <c r="GR2" i="3"/>
  <c r="GJ3" i="3"/>
  <c r="GJ4" i="3"/>
  <c r="GJ5" i="3"/>
  <c r="GJ6" i="3"/>
  <c r="GJ7" i="3"/>
  <c r="GJ8" i="3"/>
  <c r="GJ9" i="3"/>
  <c r="GJ10" i="3"/>
  <c r="GJ11" i="3"/>
  <c r="GJ12" i="3"/>
  <c r="GJ13" i="3"/>
  <c r="GJ14" i="3"/>
  <c r="GJ15" i="3"/>
  <c r="GJ16" i="3"/>
  <c r="GJ17" i="3"/>
  <c r="GJ18" i="3"/>
  <c r="GJ19" i="3"/>
  <c r="GJ20" i="3"/>
  <c r="GJ21" i="3"/>
  <c r="GJ22" i="3"/>
  <c r="GJ23" i="3"/>
  <c r="GJ24" i="3"/>
  <c r="GJ25" i="3"/>
  <c r="GJ26" i="3"/>
  <c r="GJ27" i="3"/>
  <c r="GJ28" i="3"/>
  <c r="GJ29" i="3"/>
  <c r="GJ30" i="3"/>
  <c r="GJ31" i="3"/>
  <c r="GJ32" i="3"/>
  <c r="GJ33" i="3"/>
  <c r="GJ34" i="3"/>
  <c r="GJ35" i="3"/>
  <c r="GJ36" i="3"/>
  <c r="GJ37" i="3"/>
  <c r="GJ38" i="3"/>
  <c r="GJ39" i="3"/>
  <c r="GJ40" i="3"/>
  <c r="GJ41" i="3"/>
  <c r="GJ42" i="3"/>
  <c r="GJ43" i="3"/>
  <c r="GJ44" i="3"/>
  <c r="GJ45" i="3"/>
  <c r="GJ2" i="3"/>
  <c r="CX2" i="3"/>
  <c r="CX3" i="3"/>
  <c r="CX4" i="3"/>
  <c r="CX5" i="3"/>
  <c r="CX6" i="3"/>
  <c r="CX7" i="3"/>
  <c r="CX8" i="3"/>
  <c r="CX9" i="3"/>
  <c r="CX10" i="3"/>
  <c r="CX11" i="3"/>
  <c r="CX12" i="3"/>
  <c r="CX13" i="3"/>
  <c r="CX14" i="3"/>
  <c r="CX15" i="3"/>
  <c r="CX16" i="3"/>
  <c r="CX17" i="3"/>
  <c r="CX18" i="3"/>
  <c r="CX19" i="3"/>
  <c r="CX20" i="3"/>
  <c r="CX21" i="3"/>
  <c r="CX22" i="3"/>
  <c r="CX23" i="3"/>
  <c r="CX24" i="3"/>
  <c r="CX25" i="3"/>
  <c r="CX26" i="3"/>
  <c r="CX27" i="3"/>
  <c r="CX28" i="3"/>
  <c r="CX29" i="3"/>
  <c r="CX30" i="3"/>
  <c r="CX31" i="3"/>
  <c r="CX32" i="3"/>
  <c r="CX33" i="3"/>
  <c r="CX34" i="3"/>
  <c r="CX35" i="3"/>
  <c r="CX36" i="3"/>
  <c r="CX37" i="3"/>
  <c r="CX38" i="3"/>
  <c r="CX39" i="3"/>
  <c r="CX40" i="3"/>
  <c r="CX41" i="3"/>
  <c r="CX42" i="3"/>
  <c r="CX43" i="3"/>
  <c r="CX44" i="3"/>
  <c r="CX45" i="3"/>
  <c r="CV31" i="3"/>
  <c r="CW31" i="3"/>
  <c r="CW8" i="3"/>
  <c r="CW9" i="3"/>
  <c r="CW10" i="3"/>
  <c r="CW11" i="3"/>
  <c r="CW12" i="3"/>
  <c r="CW13" i="3"/>
  <c r="CW14" i="3"/>
  <c r="CW15" i="3"/>
  <c r="CW16" i="3"/>
  <c r="CW17" i="3"/>
  <c r="CW18" i="3"/>
  <c r="CW19" i="3"/>
  <c r="CW20" i="3"/>
  <c r="CW21" i="3"/>
  <c r="CW22" i="3"/>
  <c r="CW23" i="3"/>
  <c r="CW24" i="3"/>
  <c r="CW25" i="3"/>
  <c r="CW26" i="3"/>
  <c r="CW27" i="3"/>
  <c r="CW28" i="3"/>
  <c r="CW29" i="3"/>
  <c r="CW30" i="3"/>
  <c r="CW32" i="3"/>
  <c r="CW33" i="3"/>
  <c r="CW34" i="3"/>
  <c r="CW35" i="3"/>
  <c r="CW36" i="3"/>
  <c r="CW37" i="3"/>
  <c r="CW38" i="3"/>
  <c r="CW39" i="3"/>
  <c r="CW40" i="3"/>
  <c r="CW41" i="3"/>
  <c r="CW42" i="3"/>
  <c r="CW43" i="3"/>
  <c r="CW44" i="3"/>
  <c r="CW45" i="3"/>
  <c r="CW3" i="3"/>
  <c r="CW4" i="3"/>
  <c r="CW5" i="3"/>
  <c r="CW6" i="3"/>
  <c r="CW7" i="3"/>
  <c r="CW2" i="3"/>
  <c r="CV14" i="3"/>
  <c r="CV3" i="3"/>
  <c r="CV4" i="3"/>
  <c r="CV5" i="3"/>
  <c r="CV6" i="3"/>
  <c r="CV7" i="3"/>
  <c r="CV8" i="3"/>
  <c r="CV9" i="3"/>
  <c r="CV10" i="3"/>
  <c r="CV11" i="3"/>
  <c r="CV12" i="3"/>
  <c r="CV13" i="3"/>
  <c r="CV15" i="3"/>
  <c r="CY15" i="3" s="1"/>
  <c r="CV16" i="3"/>
  <c r="CY16" i="3" s="1"/>
  <c r="CV17" i="3"/>
  <c r="CY17" i="3" s="1"/>
  <c r="CV18" i="3"/>
  <c r="CY18" i="3" s="1"/>
  <c r="CV19" i="3"/>
  <c r="CY19" i="3" s="1"/>
  <c r="CV20" i="3"/>
  <c r="CY20" i="3" s="1"/>
  <c r="CV21" i="3"/>
  <c r="CY21" i="3" s="1"/>
  <c r="CV22" i="3"/>
  <c r="CV23" i="3"/>
  <c r="CY23" i="3" s="1"/>
  <c r="CV24" i="3"/>
  <c r="CV25" i="3"/>
  <c r="CY25" i="3" s="1"/>
  <c r="CV26" i="3"/>
  <c r="CY26" i="3" s="1"/>
  <c r="CV27" i="3"/>
  <c r="CV28" i="3"/>
  <c r="CY28" i="3" s="1"/>
  <c r="CV29" i="3"/>
  <c r="CY29" i="3" s="1"/>
  <c r="CV30" i="3"/>
  <c r="CV32" i="3"/>
  <c r="CV33" i="3"/>
  <c r="CV34" i="3"/>
  <c r="CV35" i="3"/>
  <c r="CV36" i="3"/>
  <c r="CV37" i="3"/>
  <c r="CV38" i="3"/>
  <c r="CV39" i="3"/>
  <c r="CV40" i="3"/>
  <c r="CV41" i="3"/>
  <c r="CV42" i="3"/>
  <c r="CV43" i="3"/>
  <c r="CV44" i="3"/>
  <c r="CV45" i="3"/>
  <c r="CV2" i="3"/>
  <c r="CS3" i="3"/>
  <c r="CS4" i="3"/>
  <c r="CS5" i="3"/>
  <c r="CS6" i="3"/>
  <c r="CS7" i="3"/>
  <c r="CS8" i="3"/>
  <c r="CS9" i="3"/>
  <c r="CS10" i="3"/>
  <c r="CS11" i="3"/>
  <c r="CS12" i="3"/>
  <c r="CS13" i="3"/>
  <c r="CS14" i="3"/>
  <c r="CS15" i="3"/>
  <c r="CS16" i="3"/>
  <c r="CS17" i="3"/>
  <c r="CS18" i="3"/>
  <c r="CS19" i="3"/>
  <c r="CS20" i="3"/>
  <c r="CS21" i="3"/>
  <c r="CS22" i="3"/>
  <c r="CS23" i="3"/>
  <c r="CS24" i="3"/>
  <c r="CS25" i="3"/>
  <c r="CS26" i="3"/>
  <c r="CS27" i="3"/>
  <c r="CS28" i="3"/>
  <c r="CS29" i="3"/>
  <c r="CS30" i="3"/>
  <c r="CS31" i="3"/>
  <c r="CS32" i="3"/>
  <c r="CS33" i="3"/>
  <c r="CS34" i="3"/>
  <c r="CS35" i="3"/>
  <c r="CS36" i="3"/>
  <c r="CS37" i="3"/>
  <c r="CS38" i="3"/>
  <c r="CS39" i="3"/>
  <c r="CS40" i="3"/>
  <c r="CS41" i="3"/>
  <c r="CS42" i="3"/>
  <c r="CS43" i="3"/>
  <c r="CS44" i="3"/>
  <c r="CS45" i="3"/>
  <c r="CS2" i="3"/>
  <c r="CM3" i="3"/>
  <c r="CM4" i="3"/>
  <c r="CM5" i="3"/>
  <c r="CM6" i="3"/>
  <c r="CM7" i="3"/>
  <c r="CM8" i="3"/>
  <c r="CM9" i="3"/>
  <c r="CM10" i="3"/>
  <c r="CM11" i="3"/>
  <c r="CM12" i="3"/>
  <c r="CM13" i="3"/>
  <c r="CM14" i="3"/>
  <c r="CM15" i="3"/>
  <c r="CM16" i="3"/>
  <c r="CM17" i="3"/>
  <c r="CM18" i="3"/>
  <c r="CM19" i="3"/>
  <c r="CM20" i="3"/>
  <c r="CM21" i="3"/>
  <c r="CM22" i="3"/>
  <c r="CM23" i="3"/>
  <c r="CM24" i="3"/>
  <c r="CM25" i="3"/>
  <c r="CM26" i="3"/>
  <c r="CM27" i="3"/>
  <c r="CM28" i="3"/>
  <c r="CM29" i="3"/>
  <c r="CM30" i="3"/>
  <c r="CM31" i="3"/>
  <c r="CM32" i="3"/>
  <c r="CM33" i="3"/>
  <c r="CM34" i="3"/>
  <c r="CM35" i="3"/>
  <c r="CM36" i="3"/>
  <c r="CM37" i="3"/>
  <c r="CM38" i="3"/>
  <c r="CM39" i="3"/>
  <c r="CM40" i="3"/>
  <c r="CM41" i="3"/>
  <c r="CM42" i="3"/>
  <c r="CM43" i="3"/>
  <c r="CM44" i="3"/>
  <c r="CM45" i="3"/>
  <c r="CM2" i="3"/>
  <c r="AW3" i="3"/>
  <c r="AW4" i="3"/>
  <c r="AW5" i="3"/>
  <c r="AW6" i="3"/>
  <c r="AW7" i="3"/>
  <c r="AW8" i="3"/>
  <c r="AW9" i="3"/>
  <c r="AW10" i="3"/>
  <c r="AW11" i="3"/>
  <c r="AW12" i="3"/>
  <c r="AW13" i="3"/>
  <c r="AW14" i="3"/>
  <c r="AW15" i="3"/>
  <c r="AW16" i="3"/>
  <c r="AW17" i="3"/>
  <c r="AW18" i="3"/>
  <c r="AW19" i="3"/>
  <c r="AW20" i="3"/>
  <c r="AW21" i="3"/>
  <c r="AW22" i="3"/>
  <c r="AW23" i="3"/>
  <c r="AW24" i="3"/>
  <c r="AW25" i="3"/>
  <c r="AW26" i="3"/>
  <c r="AW27" i="3"/>
  <c r="AW28" i="3"/>
  <c r="AW29" i="3"/>
  <c r="AW30" i="3"/>
  <c r="AW31" i="3"/>
  <c r="AW32" i="3"/>
  <c r="AW33" i="3"/>
  <c r="AW34" i="3"/>
  <c r="AW35" i="3"/>
  <c r="AW36" i="3"/>
  <c r="AW37" i="3"/>
  <c r="AW38" i="3"/>
  <c r="AW39" i="3"/>
  <c r="AW40" i="3"/>
  <c r="AW41" i="3"/>
  <c r="AW42" i="3"/>
  <c r="AW43" i="3"/>
  <c r="AW44" i="3"/>
  <c r="AW45" i="3"/>
  <c r="AW2" i="3"/>
  <c r="BF3" i="3"/>
  <c r="BF4" i="3"/>
  <c r="BF5" i="3"/>
  <c r="BF6" i="3"/>
  <c r="BF7" i="3"/>
  <c r="BF8" i="3"/>
  <c r="BF9" i="3"/>
  <c r="BF10" i="3"/>
  <c r="BF11" i="3"/>
  <c r="BF12" i="3"/>
  <c r="BF13" i="3"/>
  <c r="BF14" i="3"/>
  <c r="BF15" i="3"/>
  <c r="BF16" i="3"/>
  <c r="BF17" i="3"/>
  <c r="BF18" i="3"/>
  <c r="BF19" i="3"/>
  <c r="BF20" i="3"/>
  <c r="BF21" i="3"/>
  <c r="BF22" i="3"/>
  <c r="BF23" i="3"/>
  <c r="BF24" i="3"/>
  <c r="BF25" i="3"/>
  <c r="BF26" i="3"/>
  <c r="BF27" i="3"/>
  <c r="BF28" i="3"/>
  <c r="BF29" i="3"/>
  <c r="BF30" i="3"/>
  <c r="BF31" i="3"/>
  <c r="BF32" i="3"/>
  <c r="BF33" i="3"/>
  <c r="BF34" i="3"/>
  <c r="BF35" i="3"/>
  <c r="BF36" i="3"/>
  <c r="BF37" i="3"/>
  <c r="BF38" i="3"/>
  <c r="BF39" i="3"/>
  <c r="BF40" i="3"/>
  <c r="BF41" i="3"/>
  <c r="BF42" i="3"/>
  <c r="BF43" i="3"/>
  <c r="BF44" i="3"/>
  <c r="BF45" i="3"/>
  <c r="BF2" i="3"/>
  <c r="BB3" i="3"/>
  <c r="BB4" i="3"/>
  <c r="BB5" i="3"/>
  <c r="BB6" i="3"/>
  <c r="BB7" i="3"/>
  <c r="BB8" i="3"/>
  <c r="BB9" i="3"/>
  <c r="BB10" i="3"/>
  <c r="BB11" i="3"/>
  <c r="BB12" i="3"/>
  <c r="BB13" i="3"/>
  <c r="BB14" i="3"/>
  <c r="BB15" i="3"/>
  <c r="BB16" i="3"/>
  <c r="BB17" i="3"/>
  <c r="BB18" i="3"/>
  <c r="BB19" i="3"/>
  <c r="BB20" i="3"/>
  <c r="BB21" i="3"/>
  <c r="BB22" i="3"/>
  <c r="BB23" i="3"/>
  <c r="BB24" i="3"/>
  <c r="BB25" i="3"/>
  <c r="BB26" i="3"/>
  <c r="BB27" i="3"/>
  <c r="BB28" i="3"/>
  <c r="BB29" i="3"/>
  <c r="BB30" i="3"/>
  <c r="BB31" i="3"/>
  <c r="BB32" i="3"/>
  <c r="BB33" i="3"/>
  <c r="BB34" i="3"/>
  <c r="BB35" i="3"/>
  <c r="BB36" i="3"/>
  <c r="BB37" i="3"/>
  <c r="BB38" i="3"/>
  <c r="BB39" i="3"/>
  <c r="BB40" i="3"/>
  <c r="BB41" i="3"/>
  <c r="BB42" i="3"/>
  <c r="BB43" i="3"/>
  <c r="BB44" i="3"/>
  <c r="BB45" i="3"/>
  <c r="BB2" i="3"/>
  <c r="AY3" i="3"/>
  <c r="AY4" i="3"/>
  <c r="AY5" i="3"/>
  <c r="AY6" i="3"/>
  <c r="AY7" i="3"/>
  <c r="AY8" i="3"/>
  <c r="AY9" i="3"/>
  <c r="AY10" i="3"/>
  <c r="AY11" i="3"/>
  <c r="AY12" i="3"/>
  <c r="AY13" i="3"/>
  <c r="AY14" i="3"/>
  <c r="AY15" i="3"/>
  <c r="AY16" i="3"/>
  <c r="AY17" i="3"/>
  <c r="AY18" i="3"/>
  <c r="AY19" i="3"/>
  <c r="AY20" i="3"/>
  <c r="AY21" i="3"/>
  <c r="AY22" i="3"/>
  <c r="AY23" i="3"/>
  <c r="AY24" i="3"/>
  <c r="AY25" i="3"/>
  <c r="AY26" i="3"/>
  <c r="AY27" i="3"/>
  <c r="AY28" i="3"/>
  <c r="AY29" i="3"/>
  <c r="AY30" i="3"/>
  <c r="AY31" i="3"/>
  <c r="AY32" i="3"/>
  <c r="AY33" i="3"/>
  <c r="AY34" i="3"/>
  <c r="AY35" i="3"/>
  <c r="AY36" i="3"/>
  <c r="AY37" i="3"/>
  <c r="AY38" i="3"/>
  <c r="AY39" i="3"/>
  <c r="AY40" i="3"/>
  <c r="AY41" i="3"/>
  <c r="AY42" i="3"/>
  <c r="AY43" i="3"/>
  <c r="AY44" i="3"/>
  <c r="AY45" i="3"/>
  <c r="AY2" i="3"/>
  <c r="AS3" i="3"/>
  <c r="AS4" i="3"/>
  <c r="AS5" i="3"/>
  <c r="AS6" i="3"/>
  <c r="AS7" i="3"/>
  <c r="AS8" i="3"/>
  <c r="AS9" i="3"/>
  <c r="AS10" i="3"/>
  <c r="AS11" i="3"/>
  <c r="AS12" i="3"/>
  <c r="AS13" i="3"/>
  <c r="AS14" i="3"/>
  <c r="AS15" i="3"/>
  <c r="AS16" i="3"/>
  <c r="AS17" i="3"/>
  <c r="AS18" i="3"/>
  <c r="AS19" i="3"/>
  <c r="AS20" i="3"/>
  <c r="AS21" i="3"/>
  <c r="AS22" i="3"/>
  <c r="AS23" i="3"/>
  <c r="AS24" i="3"/>
  <c r="AS25" i="3"/>
  <c r="AS26" i="3"/>
  <c r="AS27" i="3"/>
  <c r="AS28" i="3"/>
  <c r="AS29" i="3"/>
  <c r="AS30" i="3"/>
  <c r="AS31" i="3"/>
  <c r="AS32" i="3"/>
  <c r="AS33" i="3"/>
  <c r="AS34" i="3"/>
  <c r="AS35" i="3"/>
  <c r="AS36" i="3"/>
  <c r="AS37" i="3"/>
  <c r="AS38" i="3"/>
  <c r="AS39" i="3"/>
  <c r="AS40" i="3"/>
  <c r="AS41" i="3"/>
  <c r="AS42" i="3"/>
  <c r="AS43" i="3"/>
  <c r="AS44" i="3"/>
  <c r="AS45" i="3"/>
  <c r="AS2" i="3"/>
  <c r="AO3" i="3"/>
  <c r="AO4" i="3"/>
  <c r="AO5" i="3"/>
  <c r="AO6" i="3"/>
  <c r="AO7" i="3"/>
  <c r="AO8" i="3"/>
  <c r="AO9" i="3"/>
  <c r="AO10" i="3"/>
  <c r="AO11" i="3"/>
  <c r="AO12" i="3"/>
  <c r="AO13" i="3"/>
  <c r="AO14" i="3"/>
  <c r="AO15" i="3"/>
  <c r="AO16" i="3"/>
  <c r="AO17" i="3"/>
  <c r="AO18" i="3"/>
  <c r="AO19" i="3"/>
  <c r="AO20" i="3"/>
  <c r="AO21" i="3"/>
  <c r="AO22" i="3"/>
  <c r="AO23" i="3"/>
  <c r="AO24" i="3"/>
  <c r="AO25" i="3"/>
  <c r="AO26" i="3"/>
  <c r="AO27" i="3"/>
  <c r="AO28" i="3"/>
  <c r="AO29" i="3"/>
  <c r="AO30" i="3"/>
  <c r="AO31" i="3"/>
  <c r="AO32" i="3"/>
  <c r="AO33" i="3"/>
  <c r="AO34" i="3"/>
  <c r="AO35" i="3"/>
  <c r="AO36" i="3"/>
  <c r="AO37" i="3"/>
  <c r="AO38" i="3"/>
  <c r="AO39" i="3"/>
  <c r="AO40" i="3"/>
  <c r="AO41" i="3"/>
  <c r="AO42" i="3"/>
  <c r="AO43" i="3"/>
  <c r="AO44" i="3"/>
  <c r="AO45" i="3"/>
  <c r="AO2" i="3"/>
  <c r="AM3" i="3"/>
  <c r="AM4" i="3"/>
  <c r="AM5" i="3"/>
  <c r="AM6" i="3"/>
  <c r="AM7" i="3"/>
  <c r="AM8" i="3"/>
  <c r="AM9" i="3"/>
  <c r="AM10" i="3"/>
  <c r="AM11" i="3"/>
  <c r="AM12" i="3"/>
  <c r="AM13" i="3"/>
  <c r="AM14" i="3"/>
  <c r="AM15" i="3"/>
  <c r="AM16" i="3"/>
  <c r="AM17" i="3"/>
  <c r="AM18" i="3"/>
  <c r="AM19" i="3"/>
  <c r="AM20" i="3"/>
  <c r="AM21" i="3"/>
  <c r="AM22" i="3"/>
  <c r="AM23" i="3"/>
  <c r="AM24" i="3"/>
  <c r="AM25" i="3"/>
  <c r="AM26" i="3"/>
  <c r="AM27" i="3"/>
  <c r="AM28" i="3"/>
  <c r="AM29" i="3"/>
  <c r="AM30" i="3"/>
  <c r="AM31" i="3"/>
  <c r="AM32" i="3"/>
  <c r="AM33" i="3"/>
  <c r="AM34" i="3"/>
  <c r="AM35" i="3"/>
  <c r="AM36" i="3"/>
  <c r="AM37" i="3"/>
  <c r="AM38" i="3"/>
  <c r="AM39" i="3"/>
  <c r="AM40" i="3"/>
  <c r="AM41" i="3"/>
  <c r="AM42" i="3"/>
  <c r="AM43" i="3"/>
  <c r="AM44" i="3"/>
  <c r="AM45" i="3"/>
  <c r="AM2" i="3"/>
  <c r="AI3" i="3"/>
  <c r="AI4" i="3"/>
  <c r="AI5" i="3"/>
  <c r="AI6" i="3"/>
  <c r="AI7" i="3"/>
  <c r="AI8" i="3"/>
  <c r="AI9" i="3"/>
  <c r="AI10" i="3"/>
  <c r="AI11" i="3"/>
  <c r="AI12" i="3"/>
  <c r="AI13" i="3"/>
  <c r="AI14" i="3"/>
  <c r="AI15" i="3"/>
  <c r="AI16" i="3"/>
  <c r="AI17" i="3"/>
  <c r="AI18" i="3"/>
  <c r="AI19" i="3"/>
  <c r="AI20" i="3"/>
  <c r="AI21" i="3"/>
  <c r="AI22" i="3"/>
  <c r="AI23" i="3"/>
  <c r="AI24" i="3"/>
  <c r="AI25" i="3"/>
  <c r="AI26" i="3"/>
  <c r="AI27" i="3"/>
  <c r="AI28" i="3"/>
  <c r="AI29" i="3"/>
  <c r="AI30" i="3"/>
  <c r="AI31" i="3"/>
  <c r="AI32" i="3"/>
  <c r="AI33" i="3"/>
  <c r="AI34" i="3"/>
  <c r="AI35" i="3"/>
  <c r="AI36" i="3"/>
  <c r="AI37" i="3"/>
  <c r="AI38" i="3"/>
  <c r="AI39" i="3"/>
  <c r="AI40" i="3"/>
  <c r="AI41" i="3"/>
  <c r="AI42" i="3"/>
  <c r="AI43" i="3"/>
  <c r="AI44" i="3"/>
  <c r="AI45" i="3"/>
  <c r="AI2" i="3"/>
  <c r="AF3" i="3"/>
  <c r="AF4" i="3"/>
  <c r="AF5" i="3"/>
  <c r="AF6" i="3"/>
  <c r="AF7" i="3"/>
  <c r="AF8" i="3"/>
  <c r="AF9" i="3"/>
  <c r="AF10" i="3"/>
  <c r="AF11" i="3"/>
  <c r="AF12" i="3"/>
  <c r="AF13" i="3"/>
  <c r="AF14" i="3"/>
  <c r="AF15" i="3"/>
  <c r="AF16" i="3"/>
  <c r="AF17" i="3"/>
  <c r="AF18" i="3"/>
  <c r="AF19" i="3"/>
  <c r="AF20" i="3"/>
  <c r="AF21" i="3"/>
  <c r="AF22" i="3"/>
  <c r="AF23" i="3"/>
  <c r="AF24" i="3"/>
  <c r="AF25" i="3"/>
  <c r="AF26" i="3"/>
  <c r="AF27" i="3"/>
  <c r="AF28" i="3"/>
  <c r="AF29" i="3"/>
  <c r="AF30" i="3"/>
  <c r="AF31" i="3"/>
  <c r="AF32" i="3"/>
  <c r="AF33" i="3"/>
  <c r="AF34" i="3"/>
  <c r="AF35" i="3"/>
  <c r="AF36" i="3"/>
  <c r="AF37" i="3"/>
  <c r="AF38" i="3"/>
  <c r="AF39" i="3"/>
  <c r="AF40" i="3"/>
  <c r="AF41" i="3"/>
  <c r="AF42" i="3"/>
  <c r="AF43" i="3"/>
  <c r="AF44" i="3"/>
  <c r="AF45" i="3"/>
  <c r="AF2" i="3"/>
  <c r="CY22" i="3" l="1"/>
  <c r="CY30" i="3"/>
  <c r="CY24" i="3"/>
  <c r="CY27" i="3"/>
  <c r="HJ22" i="3"/>
  <c r="HJ14" i="3"/>
  <c r="HJ6" i="3"/>
  <c r="CZ43" i="3"/>
  <c r="CZ35" i="3"/>
  <c r="CZ27" i="3"/>
  <c r="CZ19" i="3"/>
  <c r="CZ11" i="3"/>
  <c r="CZ3" i="3"/>
  <c r="HJ15" i="3"/>
  <c r="HJ7" i="3"/>
  <c r="HJ4" i="3"/>
  <c r="HJ18" i="3"/>
  <c r="HJ10" i="3"/>
  <c r="HJ26" i="3"/>
  <c r="CY10" i="3"/>
  <c r="HJ12" i="3"/>
  <c r="HK19" i="3"/>
  <c r="HK11" i="3"/>
  <c r="HK3" i="3"/>
  <c r="HK2" i="3"/>
  <c r="HK37" i="3"/>
  <c r="HK17" i="3"/>
  <c r="HK9" i="3"/>
  <c r="HJ17" i="3"/>
  <c r="HJ9" i="3"/>
  <c r="HJ37" i="3"/>
  <c r="HJ16" i="3"/>
  <c r="HJ8" i="3"/>
  <c r="CY12" i="3"/>
  <c r="HK22" i="3"/>
  <c r="HK14" i="3"/>
  <c r="HK6" i="3"/>
  <c r="HJ21" i="3"/>
  <c r="HJ13" i="3"/>
  <c r="HJ5" i="3"/>
  <c r="HK20" i="3"/>
  <c r="HK12" i="3"/>
  <c r="HK4" i="3"/>
  <c r="HK26" i="3"/>
  <c r="HK18" i="3"/>
  <c r="HK10" i="3"/>
  <c r="HJ20" i="3"/>
  <c r="HJ11" i="3"/>
  <c r="HK16" i="3"/>
  <c r="HK8" i="3"/>
  <c r="HK15" i="3"/>
  <c r="HK7" i="3"/>
  <c r="HJ2" i="3"/>
  <c r="CZ6" i="3"/>
  <c r="HI26" i="3"/>
  <c r="CZ45" i="3"/>
  <c r="CZ37" i="3"/>
  <c r="CZ29" i="3"/>
  <c r="CZ21" i="3"/>
  <c r="CZ13" i="3"/>
  <c r="CZ5" i="3"/>
  <c r="HI37" i="3"/>
  <c r="HK21" i="3"/>
  <c r="HK13" i="3"/>
  <c r="HK5" i="3"/>
  <c r="HJ19" i="3"/>
  <c r="HJ3" i="3"/>
  <c r="CY40" i="3"/>
  <c r="CY32" i="3"/>
  <c r="CY6" i="3"/>
  <c r="CY43" i="3"/>
  <c r="CY35" i="3"/>
  <c r="CZ42" i="3"/>
  <c r="CZ34" i="3"/>
  <c r="CZ26" i="3"/>
  <c r="CZ18" i="3"/>
  <c r="CZ10" i="3"/>
  <c r="CY42" i="3"/>
  <c r="CY34" i="3"/>
  <c r="CY8" i="3"/>
  <c r="CY41" i="3"/>
  <c r="CY33" i="3"/>
  <c r="CZ41" i="3"/>
  <c r="CZ33" i="3"/>
  <c r="CZ25" i="3"/>
  <c r="CZ17" i="3"/>
  <c r="CZ9" i="3"/>
  <c r="CZ40" i="3"/>
  <c r="CZ32" i="3"/>
  <c r="CZ24" i="3"/>
  <c r="CZ16" i="3"/>
  <c r="CZ8" i="3"/>
  <c r="CY39" i="3"/>
  <c r="CY13" i="3"/>
  <c r="CY5" i="3"/>
  <c r="CY31" i="3"/>
  <c r="CY38" i="3"/>
  <c r="CY7" i="3"/>
  <c r="CZ39" i="3"/>
  <c r="CZ31" i="3"/>
  <c r="CZ23" i="3"/>
  <c r="CZ15" i="3"/>
  <c r="CZ7" i="3"/>
  <c r="CZ38" i="3"/>
  <c r="CZ30" i="3"/>
  <c r="CZ22" i="3"/>
  <c r="CZ14" i="3"/>
  <c r="CY45" i="3"/>
  <c r="CY37" i="3"/>
  <c r="CY11" i="3"/>
  <c r="CY3" i="3"/>
  <c r="CY44" i="3"/>
  <c r="CY36" i="3"/>
  <c r="CY4" i="3"/>
  <c r="BH8" i="3"/>
  <c r="CZ44" i="3"/>
  <c r="CZ36" i="3"/>
  <c r="CZ28" i="3"/>
  <c r="CZ20" i="3"/>
  <c r="CZ12" i="3"/>
  <c r="CZ4" i="3"/>
  <c r="CY9" i="3"/>
  <c r="BH34" i="3"/>
  <c r="BH26" i="3"/>
  <c r="BH18" i="3"/>
  <c r="BH2" i="3"/>
  <c r="BH38" i="3"/>
  <c r="BH30" i="3"/>
  <c r="BH22" i="3"/>
  <c r="BH14" i="3"/>
  <c r="BH33" i="3"/>
  <c r="BH25" i="3"/>
  <c r="BH17" i="3"/>
  <c r="BH9" i="3"/>
  <c r="BH42" i="3"/>
  <c r="BH10" i="3"/>
  <c r="BH7" i="3"/>
  <c r="BH6" i="3"/>
  <c r="BH41" i="3"/>
  <c r="BH37" i="3"/>
  <c r="BH21" i="3"/>
  <c r="BH5" i="3"/>
  <c r="BH44" i="3"/>
  <c r="BH36" i="3"/>
  <c r="BH28" i="3"/>
  <c r="BH20" i="3"/>
  <c r="BH12" i="3"/>
  <c r="BH4" i="3"/>
  <c r="BH40" i="3"/>
  <c r="BH32" i="3"/>
  <c r="BH24" i="3"/>
  <c r="BH16" i="3"/>
  <c r="BH45" i="3"/>
  <c r="BH29" i="3"/>
  <c r="BH13" i="3"/>
  <c r="BH43" i="3"/>
  <c r="BH35" i="3"/>
  <c r="BH27" i="3"/>
  <c r="BH19" i="3"/>
  <c r="BH11" i="3"/>
  <c r="BH3" i="3"/>
  <c r="BH39" i="3"/>
  <c r="BH31" i="3"/>
  <c r="BH23" i="3"/>
  <c r="BH15" i="3"/>
</calcChain>
</file>

<file path=xl/sharedStrings.xml><?xml version="1.0" encoding="utf-8"?>
<sst xmlns="http://schemas.openxmlformats.org/spreadsheetml/2006/main" count="2694" uniqueCount="1228">
  <si>
    <t>Record ID</t>
  </si>
  <si>
    <t>Event Name</t>
  </si>
  <si>
    <t>Subject ID</t>
  </si>
  <si>
    <t>sex</t>
  </si>
  <si>
    <t>handedness</t>
  </si>
  <si>
    <t>age</t>
  </si>
  <si>
    <t>height</t>
  </si>
  <si>
    <t>weight</t>
  </si>
  <si>
    <t>demographics_ethnicity</t>
  </si>
  <si>
    <t>ethnicity</t>
  </si>
  <si>
    <t>other</t>
  </si>
  <si>
    <t>occupation</t>
  </si>
  <si>
    <t>demographics_complete</t>
  </si>
  <si>
    <t>education</t>
  </si>
  <si>
    <t>work_comp</t>
  </si>
  <si>
    <t>work_comp_1</t>
  </si>
  <si>
    <t>employ_stat___1</t>
  </si>
  <si>
    <t>employ_stat___2</t>
  </si>
  <si>
    <t>employ_stat___3</t>
  </si>
  <si>
    <t>employ_stat___4</t>
  </si>
  <si>
    <t>employ_stat___5</t>
  </si>
  <si>
    <t>employ_stat___6</t>
  </si>
  <si>
    <t>employ_stat___7</t>
  </si>
  <si>
    <t>employ_stat___8</t>
  </si>
  <si>
    <t>employ_stat___9</t>
  </si>
  <si>
    <t>employ_stat___10</t>
  </si>
  <si>
    <t>employ_stat___11</t>
  </si>
  <si>
    <t>marital_status</t>
  </si>
  <si>
    <t>demographics_continued_complete</t>
  </si>
  <si>
    <t>pleasant</t>
  </si>
  <si>
    <t>nervous</t>
  </si>
  <si>
    <t>satisfied</t>
  </si>
  <si>
    <t>wish_happy</t>
  </si>
  <si>
    <t>failure</t>
  </si>
  <si>
    <t>rested</t>
  </si>
  <si>
    <t>calm_cool</t>
  </si>
  <si>
    <t>piling_difficulties</t>
  </si>
  <si>
    <t>worry</t>
  </si>
  <si>
    <t>happy</t>
  </si>
  <si>
    <t>disturbing_thoughts</t>
  </si>
  <si>
    <t>lack_confidence</t>
  </si>
  <si>
    <t>secure</t>
  </si>
  <si>
    <t>decide</t>
  </si>
  <si>
    <t>inadequate</t>
  </si>
  <si>
    <t>content</t>
  </si>
  <si>
    <t>unimportant_thoughts</t>
  </si>
  <si>
    <t>disappointment</t>
  </si>
  <si>
    <t>steady</t>
  </si>
  <si>
    <t>tension</t>
  </si>
  <si>
    <t>stai_trait_sum</t>
  </si>
  <si>
    <t>stai_trait_complete</t>
  </si>
  <si>
    <t>mhq_first_age</t>
  </si>
  <si>
    <t>mhq_first_age_choices</t>
  </si>
  <si>
    <t>mhq_cycle</t>
  </si>
  <si>
    <t>mhq_other</t>
  </si>
  <si>
    <t>mhq_surgery</t>
  </si>
  <si>
    <t>mhq_medication</t>
  </si>
  <si>
    <t>mhq_last_period</t>
  </si>
  <si>
    <t>mhq_stop_age</t>
  </si>
  <si>
    <t>mhq_menopause_symptoms</t>
  </si>
  <si>
    <t>mhq_menopause_age</t>
  </si>
  <si>
    <t>mhq_days</t>
  </si>
  <si>
    <t>mhq_length</t>
  </si>
  <si>
    <t>mhq_regular</t>
  </si>
  <si>
    <t>Are you currently using a form of birth control? If yes, please select which form of birth control you are currently using: (choice=I am not taking birth control)</t>
  </si>
  <si>
    <t>Are you currently using a form of birth control? If yes, please select which form of birth control you are currently using: (choice=Birth control pill)</t>
  </si>
  <si>
    <t>Are you currently using a form of birth control? If yes, please select which form of birth control you are currently using: (choice=IUD (intrauterine device))</t>
  </si>
  <si>
    <t>Are you currently using a form of birth control? If yes, please select which form of birth control you are currently using: (choice=Birth control arm implant (e.g., Nexplanon))</t>
  </si>
  <si>
    <t>Are you currently using a form of birth control? If yes, please select which form of birth control you are currently using: (choice=Birth control patch)</t>
  </si>
  <si>
    <t>Are you currently using a form of birth control? If yes, please select which form of birth control you are currently using: (choice=Birth control vaginal ring)</t>
  </si>
  <si>
    <t>Are you currently using a form of birth control? If yes, please select which form of birth control you are currently using: (choice=Birth control shot)</t>
  </si>
  <si>
    <t>Are you currently using a form of birth control? If yes, please select which form of birth control you are currently using: (choice=Other)</t>
  </si>
  <si>
    <t>Please specify the name of birth control you are currently using:</t>
  </si>
  <si>
    <t>mhq_complete</t>
  </si>
  <si>
    <t>bisbas1</t>
  </si>
  <si>
    <t>bisbas2</t>
  </si>
  <si>
    <t>bisbas3</t>
  </si>
  <si>
    <t>bisbas4</t>
  </si>
  <si>
    <t>bisbas5</t>
  </si>
  <si>
    <t>bisbas6</t>
  </si>
  <si>
    <t>bisbas7</t>
  </si>
  <si>
    <t>bisbas8</t>
  </si>
  <si>
    <t>bisbas9</t>
  </si>
  <si>
    <t>bisbas10</t>
  </si>
  <si>
    <t>bisbas11</t>
  </si>
  <si>
    <t>bisbas12</t>
  </si>
  <si>
    <t>bisbas13</t>
  </si>
  <si>
    <t>bisbas14</t>
  </si>
  <si>
    <t>bisbas15</t>
  </si>
  <si>
    <t>bisbas16</t>
  </si>
  <si>
    <t>bisbas17</t>
  </si>
  <si>
    <t>bisbas18</t>
  </si>
  <si>
    <t>bisbas19</t>
  </si>
  <si>
    <t>bisbas20</t>
  </si>
  <si>
    <t>BAS drive</t>
  </si>
  <si>
    <t>BAS fun-seeking</t>
  </si>
  <si>
    <t>BAS reward-responsiveness</t>
  </si>
  <si>
    <t>BAS total</t>
  </si>
  <si>
    <t>BIS</t>
  </si>
  <si>
    <t>bisbas_complete</t>
  </si>
  <si>
    <t>natural_disaster___4</t>
  </si>
  <si>
    <t>natural_disaster___3</t>
  </si>
  <si>
    <t>natural_disaster___2</t>
  </si>
  <si>
    <t>natural_disaster___1</t>
  </si>
  <si>
    <t>natural_disaster___0</t>
  </si>
  <si>
    <t>fire___4</t>
  </si>
  <si>
    <t>fire___3</t>
  </si>
  <si>
    <t>fire___2</t>
  </si>
  <si>
    <t>fire___1</t>
  </si>
  <si>
    <t>fire___0</t>
  </si>
  <si>
    <t>transportation___4</t>
  </si>
  <si>
    <t>transportation___3</t>
  </si>
  <si>
    <t>transportation___2</t>
  </si>
  <si>
    <t>transportation___1</t>
  </si>
  <si>
    <t>transportation___0</t>
  </si>
  <si>
    <t>work___4</t>
  </si>
  <si>
    <t>work___3</t>
  </si>
  <si>
    <t>work___2</t>
  </si>
  <si>
    <t>work___1</t>
  </si>
  <si>
    <t>work___0</t>
  </si>
  <si>
    <t>toxic___4</t>
  </si>
  <si>
    <t>toxic___3</t>
  </si>
  <si>
    <t>toxic___2</t>
  </si>
  <si>
    <t>toxic___1</t>
  </si>
  <si>
    <t>toxic___0</t>
  </si>
  <si>
    <t>assault___4</t>
  </si>
  <si>
    <t>assault___3</t>
  </si>
  <si>
    <t>assault___2</t>
  </si>
  <si>
    <t>assault___1</t>
  </si>
  <si>
    <t>assault___0</t>
  </si>
  <si>
    <t>weapon___4</t>
  </si>
  <si>
    <t>weapon___3</t>
  </si>
  <si>
    <t>weapon___2</t>
  </si>
  <si>
    <t>weapon___1</t>
  </si>
  <si>
    <t>weapon___0</t>
  </si>
  <si>
    <t>sexual_assault___4</t>
  </si>
  <si>
    <t>sexual_assault___3</t>
  </si>
  <si>
    <t>sexual_assault___2</t>
  </si>
  <si>
    <t>sexual_assault___1</t>
  </si>
  <si>
    <t>sexual_assault___0</t>
  </si>
  <si>
    <t>sexual_other___4</t>
  </si>
  <si>
    <t>sexual_other___3</t>
  </si>
  <si>
    <t>sexual_other___2</t>
  </si>
  <si>
    <t>sexual_other___1</t>
  </si>
  <si>
    <t>sexual_other___0</t>
  </si>
  <si>
    <t>combat___4</t>
  </si>
  <si>
    <t>combat___3</t>
  </si>
  <si>
    <t>combat___2</t>
  </si>
  <si>
    <t>combat___1</t>
  </si>
  <si>
    <t>combat___0</t>
  </si>
  <si>
    <t>captivity___4</t>
  </si>
  <si>
    <t>captivity___3</t>
  </si>
  <si>
    <t>captivity___2</t>
  </si>
  <si>
    <t>captivity___1</t>
  </si>
  <si>
    <t>captivity___0</t>
  </si>
  <si>
    <t>illness___4</t>
  </si>
  <si>
    <t>illness___3</t>
  </si>
  <si>
    <t>illness___2</t>
  </si>
  <si>
    <t>illness___1</t>
  </si>
  <si>
    <t>illness___0</t>
  </si>
  <si>
    <t>suffering___4</t>
  </si>
  <si>
    <t>suffering___3</t>
  </si>
  <si>
    <t>suffering___2</t>
  </si>
  <si>
    <t>suffering___1</t>
  </si>
  <si>
    <t>suffering___0</t>
  </si>
  <si>
    <t>death_violent___4</t>
  </si>
  <si>
    <t>death_violent___3</t>
  </si>
  <si>
    <t>death_violent___2</t>
  </si>
  <si>
    <t>death_violent___1</t>
  </si>
  <si>
    <t>death_violent___0</t>
  </si>
  <si>
    <t>death_sudden___4</t>
  </si>
  <si>
    <t>death_sudden___3</t>
  </si>
  <si>
    <t>death_sudden___2</t>
  </si>
  <si>
    <t>death_sudden___1</t>
  </si>
  <si>
    <t>death_sudden___0</t>
  </si>
  <si>
    <t>harm_caused___4</t>
  </si>
  <si>
    <t>harm_caused___3</t>
  </si>
  <si>
    <t>harm_caused___2</t>
  </si>
  <si>
    <t>harm_caused___1</t>
  </si>
  <si>
    <t>harm_caused___0</t>
  </si>
  <si>
    <t>lec_other___4</t>
  </si>
  <si>
    <t>lec_other___3</t>
  </si>
  <si>
    <t>lec_other___2</t>
  </si>
  <si>
    <t>lec_other___1</t>
  </si>
  <si>
    <t>lec_other___0</t>
  </si>
  <si>
    <t>lec_complete</t>
  </si>
  <si>
    <t>Complete?</t>
  </si>
  <si>
    <t>Headache</t>
  </si>
  <si>
    <t>1. Have you ever taken opioid medications?</t>
  </si>
  <si>
    <t>2. Have you ever taken non-opioid pain medications (Ibuprofen, Tylenol, etc.)?</t>
  </si>
  <si>
    <t>1. How much do  opioid  medications benefit you? (For participants not currently taking opioids: If you've  ever  taken opioids, how much did they benefit you?)</t>
  </si>
  <si>
    <t>2 What is your typical pain level  when taking your opioid medications (i.e., when they are working)?</t>
  </si>
  <si>
    <t>3. What is your typical pain level when you are not taking your opioid medications (i.e., after they wear off)?</t>
  </si>
  <si>
    <t>4. For what condition(s) do you take opioids?(For participants not currently taking opioids: recall from previous use)</t>
  </si>
  <si>
    <t>5. When was the last time you took opioid medication?</t>
  </si>
  <si>
    <t>6. If opioid medications benefit you, what symptoms do opioids help you with? (For participants not currently taking opioids: recall from previous use)</t>
  </si>
  <si>
    <t>7. Do you experience any side effects from opioid medications?(For participants not currently taking opioids: recall from previous use)</t>
  </si>
  <si>
    <t>8. Side effects you experience from opioid medications:</t>
  </si>
  <si>
    <t>1. How much do  non-opioid  pain medications benefit you (Ibuprofen, Tylenol, etc.)?</t>
  </si>
  <si>
    <t>2. What is your typical pain level when taking your non-opioid pain medications (i.e., when they are working)?</t>
  </si>
  <si>
    <t>3. What is your typical pain level when you are not taking your non-opioid pain medications (i.e., after they wear off)?</t>
  </si>
  <si>
    <t>4. For what condition(s) do you take non-opioid pain medications?</t>
  </si>
  <si>
    <t>5. If non-opioid pain medications benefit you, what symptoms do non-opioid pain medications help you with?</t>
  </si>
  <si>
    <t>6. Do you experience any side effects from non-opioid pain medications?</t>
  </si>
  <si>
    <t>7. Side effects you experience from non-opioid pain medications:</t>
  </si>
  <si>
    <t>Pre Visit 1</t>
  </si>
  <si>
    <t>HCS302_DTI</t>
  </si>
  <si>
    <t>Project Manager</t>
  </si>
  <si>
    <t>N/A</t>
  </si>
  <si>
    <t>Uterus only</t>
  </si>
  <si>
    <t>No</t>
  </si>
  <si>
    <t>Complete</t>
  </si>
  <si>
    <t>Yes</t>
  </si>
  <si>
    <t>After surgery</t>
  </si>
  <si>
    <t>Pain</t>
  </si>
  <si>
    <t>Headache and general body aches</t>
  </si>
  <si>
    <t>Minor head pains and aching joints and muscles</t>
  </si>
  <si>
    <t>HCS305_DTI</t>
  </si>
  <si>
    <t>Office assistant</t>
  </si>
  <si>
    <t>0 (No Pain)</t>
  </si>
  <si>
    <t>Headaches, sore muscles</t>
  </si>
  <si>
    <t>Tight musles</t>
  </si>
  <si>
    <t>HCS314_DTI</t>
  </si>
  <si>
    <t>Software QA</t>
  </si>
  <si>
    <t>Essure</t>
  </si>
  <si>
    <t>15 years off and on</t>
  </si>
  <si>
    <t xml:space="preserve">Hot flashes (menopause), </t>
  </si>
  <si>
    <t>None</t>
  </si>
  <si>
    <t>I was prescribed them post surgery</t>
  </si>
  <si>
    <t>Post surgery pain so bad I couldn't sleep.  They helped make it comfortable enough that I did fall asleep.</t>
  </si>
  <si>
    <t>Made me feel 'seasick'</t>
  </si>
  <si>
    <t>Post run aches, sore back from sitting at a desk all day, occasional headaches</t>
  </si>
  <si>
    <t>Aches &amp; headaches</t>
  </si>
  <si>
    <t>FMN308_DTI</t>
  </si>
  <si>
    <t>Pharmacist</t>
  </si>
  <si>
    <t>Stiff neck, numbness in fingers, pain in feet</t>
  </si>
  <si>
    <t>High blood pressure, high cholesterol, anxiety, PTSD, Hypermobile Ehlers-Danlos Syndrome, Cervical Spondylosis, L5-S1 Spondylolisthesis, L5 Spondylolisis.</t>
  </si>
  <si>
    <t>Kidney stone, post-surgical pain</t>
  </si>
  <si>
    <t>3 yrs ago?</t>
  </si>
  <si>
    <t>Blocking the severe pain (kidney stone moving, suture / incision pain</t>
  </si>
  <si>
    <t>Constipation, nausea, dizziness, sedation</t>
  </si>
  <si>
    <t>Joint pain, arthritis, headache, muscle aches, neck stiffness</t>
  </si>
  <si>
    <t>Muscle pain and stiffness, headache pain</t>
  </si>
  <si>
    <t>Bruising, bleeding</t>
  </si>
  <si>
    <t>HCS316_DTI</t>
  </si>
  <si>
    <t>preschool teacher</t>
  </si>
  <si>
    <t>NONE</t>
  </si>
  <si>
    <t>NO</t>
  </si>
  <si>
    <t>BIRTH OF FIRST CHILD</t>
  </si>
  <si>
    <t>PAIN FROM CHILDBIRTH AND EPISIOTOMY STITCHES</t>
  </si>
  <si>
    <t>THROAT PAIN DURING STREP THROAT INFECTION, OCCASIONAL MUSCLE PAIN OR HEADACHE</t>
  </si>
  <si>
    <t>STREP THROAT, MUSCLE PAIN, HEADACHE</t>
  </si>
  <si>
    <t>FMN328_DTI</t>
  </si>
  <si>
    <t>Dietitian/Human Performance Director</t>
  </si>
  <si>
    <t>Ocella</t>
  </si>
  <si>
    <t>Subclinical hypothyroidism</t>
  </si>
  <si>
    <t>Back pain, headaches, other pain</t>
  </si>
  <si>
    <t>Jittery</t>
  </si>
  <si>
    <t>FMN318_DTI</t>
  </si>
  <si>
    <t>Realtor</t>
  </si>
  <si>
    <t>Off and on for over 15 years</t>
  </si>
  <si>
    <t>Neck, back, hip pain, jaw tightness and pain, arthritis pain, Achilles tendinitis</t>
  </si>
  <si>
    <t>Migraine without aura, TMJ, benign joint Hypermobility syndrome, obstructive sleep apnea</t>
  </si>
  <si>
    <t>Migraine, muscle pain/spasms</t>
  </si>
  <si>
    <t>Headache pain, muscle pain/spasms</t>
  </si>
  <si>
    <t>HCS306_DTI</t>
  </si>
  <si>
    <t xml:space="preserve">Clinical Research Specialist </t>
  </si>
  <si>
    <t>Headaches, period cramps</t>
  </si>
  <si>
    <t>HCS319_DTI</t>
  </si>
  <si>
    <t>Supply Chain Sr Mgr</t>
  </si>
  <si>
    <t>General headache or muscle soreness</t>
  </si>
  <si>
    <t>Pain and inflammation</t>
  </si>
  <si>
    <t>HCS323_DTI</t>
  </si>
  <si>
    <t xml:space="preserve">Research in Associate </t>
  </si>
  <si>
    <t>28-30</t>
  </si>
  <si>
    <t xml:space="preserve"> 5-7</t>
  </si>
  <si>
    <t>A headache</t>
  </si>
  <si>
    <t>HCS322_DTI</t>
  </si>
  <si>
    <t>Postal Clerk</t>
  </si>
  <si>
    <t>10 (Worst Pain Imaginable)</t>
  </si>
  <si>
    <t xml:space="preserve">Headache </t>
  </si>
  <si>
    <t>FMN339_DTI</t>
  </si>
  <si>
    <t>Order Administrator</t>
  </si>
  <si>
    <t>Tubal litigation</t>
  </si>
  <si>
    <t>Sensitivity to touch, uncomfortable sitting or being in a position too long</t>
  </si>
  <si>
    <t>MCAS</t>
  </si>
  <si>
    <t>0 (No Benefit At All)</t>
  </si>
  <si>
    <t>Herniated disc in hospital setting</t>
  </si>
  <si>
    <t>Years ago at ER visit</t>
  </si>
  <si>
    <t>Took pain away did not outweighs side effects</t>
  </si>
  <si>
    <t>Non stop vomiting and flushing</t>
  </si>
  <si>
    <t xml:space="preserve">Fibromyalgia </t>
  </si>
  <si>
    <t>Headaches, muscle aches, generalized pain</t>
  </si>
  <si>
    <t>FMN344_DTI</t>
  </si>
  <si>
    <t>reseller</t>
  </si>
  <si>
    <t>The same day as the study visit</t>
  </si>
  <si>
    <t>1 hour or less before study visit</t>
  </si>
  <si>
    <t>Surgery</t>
  </si>
  <si>
    <t>I don't remember</t>
  </si>
  <si>
    <t>Fatigue dizziness</t>
  </si>
  <si>
    <t>PAIN</t>
  </si>
  <si>
    <t>Stomach issues</t>
  </si>
  <si>
    <t>FMN347_DTI</t>
  </si>
  <si>
    <t>registered nurse</t>
  </si>
  <si>
    <t>Uterus and both ovaries</t>
  </si>
  <si>
    <t>Muscle cramping, joint stiffness, migraines, severe muscle fatigue with repetitive motions (ex. chewing, sweeping, etc)</t>
  </si>
  <si>
    <t>Type I diabetes, hypothyroidism</t>
  </si>
  <si>
    <t>Severe</t>
  </si>
  <si>
    <t>Dental procedures, acute pain from MVAs, severe migraines, trigeminal neuralgia</t>
  </si>
  <si>
    <t>Approximately 2 years ago</t>
  </si>
  <si>
    <t>Acute pain, chronic pain, relieved tension associated with acute pain</t>
  </si>
  <si>
    <t>Nausea</t>
  </si>
  <si>
    <t>Headaches, migraines, arthritis, muscle pain and injury</t>
  </si>
  <si>
    <t>Reduce pain levels and make them a little more manageable</t>
  </si>
  <si>
    <t>Stomach discomfort, tinnitus</t>
  </si>
  <si>
    <t>FMN349_DTI</t>
  </si>
  <si>
    <t>Project Administrator</t>
  </si>
  <si>
    <t>INSOMNIA; ANXIETY; LACK OF FOCUS; FATIGUE</t>
  </si>
  <si>
    <t>FIBROMYALGIA; ASTHMA; IBS</t>
  </si>
  <si>
    <t>CHRONIC NECK AND WIDESPREAD PAIN</t>
  </si>
  <si>
    <t>FIBROMYALGIA</t>
  </si>
  <si>
    <t>FMN337_DTI</t>
  </si>
  <si>
    <t xml:space="preserve">Human </t>
  </si>
  <si>
    <t xml:space="preserve">Medical Reimbursement Speicalist </t>
  </si>
  <si>
    <t>20 yrs</t>
  </si>
  <si>
    <t xml:space="preserve">Acute Fibromyalgia flares </t>
  </si>
  <si>
    <t xml:space="preserve">Hypothyroidism </t>
  </si>
  <si>
    <t>Inflammation (sesamoid bone), sinus headache,</t>
  </si>
  <si>
    <t xml:space="preserve">Non fibromyalgia pain like sinus headache, sore throat, etc. </t>
  </si>
  <si>
    <t>FMN309_DTI</t>
  </si>
  <si>
    <t xml:space="preserve">college student and private tutor </t>
  </si>
  <si>
    <t>28-31</t>
  </si>
  <si>
    <t xml:space="preserve">0.9 years </t>
  </si>
  <si>
    <t xml:space="preserve">Knee pain (osteoarthritis), nerve pain from nerve damage in entire abdomen, headaches from concussion, vertigo from BPPV </t>
  </si>
  <si>
    <t xml:space="preserve">Osteoarthritis right knee, ACNES (anterior cutaneous nerve entrapment syndrome), BPPV, post concussive syndrome, fibromyalgia </t>
  </si>
  <si>
    <t>Very severe</t>
  </si>
  <si>
    <t xml:space="preserve">Not currently taking, but in January 2023 I took it immediately after my emergency surgery since it was prescribed to me </t>
  </si>
  <si>
    <t>Late January 2023</t>
  </si>
  <si>
    <t xml:space="preserve">Abdominal pain but it made it worse after 3 days of use, and I started having tachycardia and chest pain </t>
  </si>
  <si>
    <t xml:space="preserve">Extreme abdominal and chest pain and tachycardia </t>
  </si>
  <si>
    <t>Migraines, knee pain, abdominal pain (neuropathic) from post concussive syndrome, osteoarthritis and ACNES syndrome</t>
  </si>
  <si>
    <t xml:space="preserve">Headaches, vertigo, nausea, neuropathic pain, knee pain </t>
  </si>
  <si>
    <t>Tachycardia, dryness of mouth, chest pain</t>
  </si>
  <si>
    <t>HCS324_DTI</t>
  </si>
  <si>
    <t xml:space="preserve">Doctor </t>
  </si>
  <si>
    <t>10 (Completely Benefit)</t>
  </si>
  <si>
    <t>AFTER SURGERY</t>
  </si>
  <si>
    <t>KNEE PAIN, HEADACHE</t>
  </si>
  <si>
    <t>FMN320_DTI</t>
  </si>
  <si>
    <t>Teacher</t>
  </si>
  <si>
    <t>Blisovi FE 1/20</t>
  </si>
  <si>
    <t>11 years</t>
  </si>
  <si>
    <t>Fatigue, brain fog, achiness</t>
  </si>
  <si>
    <t xml:space="preserve">Fibromyalgia, POTS, MCAS, GERD, Inappropriate Sinus Tachycardia </t>
  </si>
  <si>
    <t>During recovery from surgeries</t>
  </si>
  <si>
    <t>No benefit</t>
  </si>
  <si>
    <t>Nausea, dizziness, headache</t>
  </si>
  <si>
    <t>Fibromyalgia</t>
  </si>
  <si>
    <t>Aches</t>
  </si>
  <si>
    <t>FMN302_DTI</t>
  </si>
  <si>
    <t xml:space="preserve">Graduate Student </t>
  </si>
  <si>
    <t xml:space="preserve">Kurtelo </t>
  </si>
  <si>
    <t>2 years</t>
  </si>
  <si>
    <t xml:space="preserve">After surgery </t>
  </si>
  <si>
    <t xml:space="preserve">Pain after surgery </t>
  </si>
  <si>
    <t xml:space="preserve">Constipation, and drowsiness </t>
  </si>
  <si>
    <t xml:space="preserve">Headaches </t>
  </si>
  <si>
    <t xml:space="preserve">Pain associated with headaches </t>
  </si>
  <si>
    <t>FMN312_DTI</t>
  </si>
  <si>
    <t xml:space="preserve">Pharmacy technician </t>
  </si>
  <si>
    <t>25-30</t>
  </si>
  <si>
    <t xml:space="preserve"> 7-10</t>
  </si>
  <si>
    <t>7 years</t>
  </si>
  <si>
    <t>Chronic fatigue, anxiety, restless legs</t>
  </si>
  <si>
    <t>Passive suicidal ideation and possible bi-polar 2</t>
  </si>
  <si>
    <t>Fibromyalgia, joint pain, headaches</t>
  </si>
  <si>
    <t>Small pains, small headaches</t>
  </si>
  <si>
    <t>HCS320_DTI</t>
  </si>
  <si>
    <t>mixed</t>
  </si>
  <si>
    <t>nurse</t>
  </si>
  <si>
    <t>Tension headaches</t>
  </si>
  <si>
    <t>Headaches</t>
  </si>
  <si>
    <t>HCS313_DTI</t>
  </si>
  <si>
    <t>Student</t>
  </si>
  <si>
    <t>2 days before the study visit</t>
  </si>
  <si>
    <t>FMN341_DTI</t>
  </si>
  <si>
    <t>PhD Student</t>
  </si>
  <si>
    <t>Mirena</t>
  </si>
  <si>
    <t>Generalized Migraine Disorder</t>
  </si>
  <si>
    <t>Generalized migraine disorder, menstruation</t>
  </si>
  <si>
    <t>Headache, menstrual cramps</t>
  </si>
  <si>
    <t>FMN306_DTI</t>
  </si>
  <si>
    <t>Instructional Media Producer; VR Developer</t>
  </si>
  <si>
    <t>23?</t>
  </si>
  <si>
    <t>Copper iud</t>
  </si>
  <si>
    <t xml:space="preserve">Tension, knots and inflammation. Insomnia. Painful subluxations due to Hypermobility. </t>
  </si>
  <si>
    <t>Hypermobility / ehlers danlos, scoliosis</t>
  </si>
  <si>
    <t>1 day before the study visit</t>
  </si>
  <si>
    <t>Vape</t>
  </si>
  <si>
    <t>Never smoker, vaped past year</t>
  </si>
  <si>
    <t>Chronic back pain from scoliosis</t>
  </si>
  <si>
    <t>About a week ago</t>
  </si>
  <si>
    <t>Relieve enough of the pain that I can stop tensing up, allowing the knots in my back to mellow out, which allows me to move just enough to get my rib subluxations back into place and hold a better posture, which improves pain levels for the following week. It interrupts the triggered pain &gt; tension &gt; pain cycle</t>
  </si>
  <si>
    <t>Chronic back pain, but they are ineffective</t>
  </si>
  <si>
    <t xml:space="preserve">They do not. </t>
  </si>
  <si>
    <t>FMN335_DTI</t>
  </si>
  <si>
    <t>Curriculum Designer</t>
  </si>
  <si>
    <t>10 years</t>
  </si>
  <si>
    <t>N/a</t>
  </si>
  <si>
    <t>Hemochromatosis, ehler's danlos syndrome, carpal tunnel, autism, ocd</t>
  </si>
  <si>
    <t>Post-surgery pain</t>
  </si>
  <si>
    <t>Constipation, irritability</t>
  </si>
  <si>
    <t>Headaches, joint pain, general achiness</t>
  </si>
  <si>
    <t>HCS254_DTI</t>
  </si>
  <si>
    <t xml:space="preserve">Volunteer </t>
  </si>
  <si>
    <t>3 days</t>
  </si>
  <si>
    <t>Incomplete</t>
  </si>
  <si>
    <t>HCS255_DTI</t>
  </si>
  <si>
    <t>HCS256_DTI</t>
  </si>
  <si>
    <t>Nurse</t>
  </si>
  <si>
    <t>FMN258_DTI</t>
  </si>
  <si>
    <t xml:space="preserve">Retired </t>
  </si>
  <si>
    <t>3 years</t>
  </si>
  <si>
    <t>HCS260_DTI</t>
  </si>
  <si>
    <t>n/a</t>
  </si>
  <si>
    <t>Just being sleepy and more irritable</t>
  </si>
  <si>
    <t>HCS261_DTI</t>
  </si>
  <si>
    <t>Birth control</t>
  </si>
  <si>
    <t>FMN260_DTI</t>
  </si>
  <si>
    <t>not applicable</t>
  </si>
  <si>
    <t>IBS-M, Migraine</t>
  </si>
  <si>
    <t>HCS262_DTI</t>
  </si>
  <si>
    <t xml:space="preserve">homeschool parent </t>
  </si>
  <si>
    <t>HCS263_DTI</t>
  </si>
  <si>
    <t>FMN261_DTI</t>
  </si>
  <si>
    <t>unemployed</t>
  </si>
  <si>
    <t>Pain in hips and down legs</t>
  </si>
  <si>
    <t>IBS</t>
  </si>
  <si>
    <t>HCS264_DTI</t>
  </si>
  <si>
    <t xml:space="preserve">disabled </t>
  </si>
  <si>
    <t>28 - 30</t>
  </si>
  <si>
    <t xml:space="preserve"> 7-9</t>
  </si>
  <si>
    <t>FMN262_DTI</t>
  </si>
  <si>
    <t xml:space="preserve">Unknown </t>
  </si>
  <si>
    <t xml:space="preserve">Veterinary assistant </t>
  </si>
  <si>
    <t>12 years</t>
  </si>
  <si>
    <t>Pain on the surface of my skin. Made worse by touch or the rubbing of my clothes on my skin. It's everywhere except my face, palms of my hands and bottom of my feet. I do also experience a tingling sensation on my hands and feet.</t>
  </si>
  <si>
    <t>Raynoud's  Migraines  Thrombocytosis  IBS</t>
  </si>
  <si>
    <t>HCS267_DTI</t>
  </si>
  <si>
    <t>HCS268_DTI</t>
  </si>
  <si>
    <t xml:space="preserve">Membership professional </t>
  </si>
  <si>
    <t>IUD stopped periods</t>
  </si>
  <si>
    <t>HCS269_DTI</t>
  </si>
  <si>
    <t>Graduate Student, Duke University</t>
  </si>
  <si>
    <t>none other than tension headaches in my shoulders/head</t>
  </si>
  <si>
    <t>FMN263_DTI</t>
  </si>
  <si>
    <t xml:space="preserve">Cashier </t>
  </si>
  <si>
    <t>20 years</t>
  </si>
  <si>
    <t>Irregular Sleep pattern, Grinding Teeth</t>
  </si>
  <si>
    <t>Mixed Connective Tissue Disease, Type 2 Diabetes, Hypertension, High Cholesterol, Depression, Asthma</t>
  </si>
  <si>
    <t>HCS270_DTI</t>
  </si>
  <si>
    <t>Senior Program Director</t>
  </si>
  <si>
    <t xml:space="preserve"> 5-6</t>
  </si>
  <si>
    <t>Intermittent tech neck</t>
  </si>
  <si>
    <t>FMN264_DTI</t>
  </si>
  <si>
    <t>disabled</t>
  </si>
  <si>
    <t xml:space="preserve">I experience pain all day every day. I have get sharp pain going from my back down each leg to my feet that feel like shocking sensations, and pins and needles along with spasms. I feel stiff even though I take medicine for these symptoms. I have back pain daily. Normal level daily pain is 8-9. I have feelings in my feet that make it feel like my toes are curling and they aren't. </t>
  </si>
  <si>
    <t xml:space="preserve">Sciatica, Bulging and Degenerative discs from my neck to my buttocks. Fibromyalgia, Restless leg Syndrome. Type two Diabetes, Hypertension, Mild Asthma, Osteoarthritis, Bursitis, Low Thyroid. </t>
  </si>
  <si>
    <t>redo - need to do sum</t>
  </si>
  <si>
    <t>ts_pain</t>
  </si>
  <si>
    <t>ts_fear</t>
  </si>
  <si>
    <t>ts_overcome</t>
  </si>
  <si>
    <t>ts_wrong</t>
  </si>
  <si>
    <t>ts_relieved</t>
  </si>
  <si>
    <t>ts_condition</t>
  </si>
  <si>
    <t>ts_accident</t>
  </si>
  <si>
    <t>ts_injured</t>
  </si>
  <si>
    <t>ts_aggravate</t>
  </si>
  <si>
    <t>ts_might_injure</t>
  </si>
  <si>
    <t>ts_careful</t>
  </si>
  <si>
    <t>ts_dangerous</t>
  </si>
  <si>
    <t>ts_active</t>
  </si>
  <si>
    <t>ts_stop</t>
  </si>
  <si>
    <t>ts_safe</t>
  </si>
  <si>
    <t>ts_easy</t>
  </si>
  <si>
    <t>ts_pain_danger</t>
  </si>
  <si>
    <t>ts_exercise</t>
  </si>
  <si>
    <t>tsk_complete</t>
  </si>
  <si>
    <t>tsk_aa_sum</t>
  </si>
  <si>
    <t>tsk_sf_sum</t>
  </si>
  <si>
    <t>tsk_total_sum</t>
  </si>
  <si>
    <t>safe4_income</t>
  </si>
  <si>
    <t>safe15</t>
  </si>
  <si>
    <t>safe22</t>
  </si>
  <si>
    <t>safe_complete</t>
  </si>
  <si>
    <t>demographics_continued_timestamp</t>
  </si>
  <si>
    <t>stai_trait_timestamp</t>
  </si>
  <si>
    <t>mhq_timestamp</t>
  </si>
  <si>
    <t>bisbas_timestamp</t>
  </si>
  <si>
    <t>lec_timestamp</t>
  </si>
  <si>
    <t>tsk_timestamp</t>
  </si>
  <si>
    <t>safe_timestamp</t>
  </si>
  <si>
    <t>bdi_timestamp</t>
  </si>
  <si>
    <t>q1</t>
  </si>
  <si>
    <t>q2</t>
  </si>
  <si>
    <t>q3</t>
  </si>
  <si>
    <t>q4</t>
  </si>
  <si>
    <t>q5</t>
  </si>
  <si>
    <t>q6</t>
  </si>
  <si>
    <t>q7</t>
  </si>
  <si>
    <t>q8</t>
  </si>
  <si>
    <t>q9</t>
  </si>
  <si>
    <t>q10</t>
  </si>
  <si>
    <t>q11</t>
  </si>
  <si>
    <t>q12</t>
  </si>
  <si>
    <t>q13</t>
  </si>
  <si>
    <t>q14</t>
  </si>
  <si>
    <t>q15</t>
  </si>
  <si>
    <t>q16</t>
  </si>
  <si>
    <t>q17</t>
  </si>
  <si>
    <t>q18</t>
  </si>
  <si>
    <t>q19</t>
  </si>
  <si>
    <t>q20</t>
  </si>
  <si>
    <t>q21</t>
  </si>
  <si>
    <t>bdi_sum</t>
  </si>
  <si>
    <t>bdi_complete</t>
  </si>
  <si>
    <t>fas_timestamp</t>
  </si>
  <si>
    <t>pain_areas___1</t>
  </si>
  <si>
    <t>pain_areas___2</t>
  </si>
  <si>
    <t>pain_areas___3</t>
  </si>
  <si>
    <t>pain_areas___4</t>
  </si>
  <si>
    <t>pain_areas___5</t>
  </si>
  <si>
    <t>pain_areas___6</t>
  </si>
  <si>
    <t>pain_areas___7</t>
  </si>
  <si>
    <t>pain_areas___8</t>
  </si>
  <si>
    <t>pain_areas___9</t>
  </si>
  <si>
    <t>pain_areas___10</t>
  </si>
  <si>
    <t>pain_areas___11</t>
  </si>
  <si>
    <t>pain_areas___12</t>
  </si>
  <si>
    <t>pain_areas___13</t>
  </si>
  <si>
    <t>pain_areas___14</t>
  </si>
  <si>
    <t>pain_areas___15</t>
  </si>
  <si>
    <t>pain_areas___16</t>
  </si>
  <si>
    <t>pain_areas___17</t>
  </si>
  <si>
    <t>pain_areas___18</t>
  </si>
  <si>
    <t>pain_areas___19</t>
  </si>
  <si>
    <t>pain_areas___20</t>
  </si>
  <si>
    <t>years</t>
  </si>
  <si>
    <t>fatigue</t>
  </si>
  <si>
    <t>thinking</t>
  </si>
  <si>
    <t>unrefreshed</t>
  </si>
  <si>
    <t>cramps</t>
  </si>
  <si>
    <t>depression</t>
  </si>
  <si>
    <t>headache</t>
  </si>
  <si>
    <t>symptoms</t>
  </si>
  <si>
    <t>diagnoses</t>
  </si>
  <si>
    <t>fas_pain_areas_total</t>
  </si>
  <si>
    <t>fas_cognitive_total</t>
  </si>
  <si>
    <t>fas_comorbid_total</t>
  </si>
  <si>
    <t>fas_complete</t>
  </si>
  <si>
    <t>ocs_timestamp</t>
  </si>
  <si>
    <t>ocs_crave</t>
  </si>
  <si>
    <t>osc_desire</t>
  </si>
  <si>
    <t>ocs_environment</t>
  </si>
  <si>
    <t>ocs_total</t>
  </si>
  <si>
    <t>ocs_complete</t>
  </si>
  <si>
    <t>promis_bank_v10_fatigue_3fb9_timestamp</t>
  </si>
  <si>
    <t>promis_bank_v10_fatigue_3fb9_tscore</t>
  </si>
  <si>
    <t>promis_bank_v10_fatigue_3fb9_std_error</t>
  </si>
  <si>
    <t>promis_fatimp1_e2b46d</t>
  </si>
  <si>
    <t>promis_fatimp1_tscore_f6c7c0</t>
  </si>
  <si>
    <t>promis_fatimp1_stderror_81ece5</t>
  </si>
  <si>
    <t>promis_fatimp1_qposition_c5fb77</t>
  </si>
  <si>
    <t>promis_fatimp2_672fca</t>
  </si>
  <si>
    <t>promis_fatimp2_tscore_787d5a</t>
  </si>
  <si>
    <t>promis_fatimp2_stderror_bc6b83</t>
  </si>
  <si>
    <t>promis_fatimp2_qposition_69a2d8</t>
  </si>
  <si>
    <t>promis_fatimp3_678926</t>
  </si>
  <si>
    <t>promis_fatimp3_tscore_4d64c5</t>
  </si>
  <si>
    <t>promis_fatimp3_stderror_d4eb4c</t>
  </si>
  <si>
    <t>promis_fatimp3_qposition_575323</t>
  </si>
  <si>
    <t>promis_fatimp4_21e903</t>
  </si>
  <si>
    <t>promis_fatimp4_tscore_0477b2</t>
  </si>
  <si>
    <t>promis_fatimp4_stderror_688648</t>
  </si>
  <si>
    <t>promis_fatimp4_qposition_bcb5af</t>
  </si>
  <si>
    <t>promis_fatimp5_fdf919</t>
  </si>
  <si>
    <t>promis_fatimp5_tscore_c9b88f</t>
  </si>
  <si>
    <t>promis_fatimp5_stderror_f8f2e8</t>
  </si>
  <si>
    <t>promis_fatimp5_qposition_956128</t>
  </si>
  <si>
    <t>promis_fatimp6_d27b92</t>
  </si>
  <si>
    <t>promis_fatimp6_tscore_74c167</t>
  </si>
  <si>
    <t>promis_fatimp6_stderror_8188a4</t>
  </si>
  <si>
    <t>promis_fatimp6_qposition_fa0e09</t>
  </si>
  <si>
    <t>promis_fatimp8_da2e09</t>
  </si>
  <si>
    <t>promis_fatimp8_tscore_9c0b9d</t>
  </si>
  <si>
    <t>promis_fatimp8_stderror_d1c614</t>
  </si>
  <si>
    <t>promis_fatimp8_qposition_6cc8de</t>
  </si>
  <si>
    <t>promis_fatimp9_41143f</t>
  </si>
  <si>
    <t>promis_fatimp9_tscore_445c46</t>
  </si>
  <si>
    <t>promis_fatimp9_stderror_abf2ea</t>
  </si>
  <si>
    <t>promis_fatimp9_qposition_1daf81</t>
  </si>
  <si>
    <t>promis_fatimp10_f68c85</t>
  </si>
  <si>
    <t>promis_fatimp10_tscore_2a710f</t>
  </si>
  <si>
    <t>promis_fatimp10_stderror_27e1b6</t>
  </si>
  <si>
    <t>promis_fatimp10_qposition_8a9259</t>
  </si>
  <si>
    <t>promis_fatimp11_ea92b2</t>
  </si>
  <si>
    <t>promis_fatimp11_tscore_b8a45e</t>
  </si>
  <si>
    <t>promis_fatimp11_stderror_b032e3</t>
  </si>
  <si>
    <t>promis_fatimp11_qposition_378e9a</t>
  </si>
  <si>
    <t>promis_fatimp13_4eaf8f</t>
  </si>
  <si>
    <t>promis_fatimp13_tscore_400573</t>
  </si>
  <si>
    <t>promis_fatimp13_stderror_0f9f6f</t>
  </si>
  <si>
    <t>promis_fatimp13_qposition_ebe383</t>
  </si>
  <si>
    <t>promis_fatimp14_3932ec</t>
  </si>
  <si>
    <t>promis_fatimp14_tscore_4a4818</t>
  </si>
  <si>
    <t>promis_fatimp14_stderror_4fc3f9</t>
  </si>
  <si>
    <t>promis_fatimp14_qposition_0e2dec</t>
  </si>
  <si>
    <t>promis_fatimp15_5440df</t>
  </si>
  <si>
    <t>promis_fatimp15_tscore_a82b6f</t>
  </si>
  <si>
    <t>promis_fatimp15_stderror_3116bb</t>
  </si>
  <si>
    <t>promis_fatimp15_qposition_a2dd58</t>
  </si>
  <si>
    <t>promis_fatimp16_db7677</t>
  </si>
  <si>
    <t>promis_fatimp16_tscore_e01041</t>
  </si>
  <si>
    <t>promis_fatimp16_stderror_cc4584</t>
  </si>
  <si>
    <t>promis_fatimp16_qposition_6ae7ac</t>
  </si>
  <si>
    <t>promis_fatimp17_7f2a49</t>
  </si>
  <si>
    <t>promis_fatimp17_tscore_feb50b</t>
  </si>
  <si>
    <t>promis_fatimp17_stderror_1db0ba</t>
  </si>
  <si>
    <t>promis_fatimp17_qposition_33569f</t>
  </si>
  <si>
    <t>promis_fatimp18_e23102</t>
  </si>
  <si>
    <t>promis_fatimp18_tscore_155252</t>
  </si>
  <si>
    <t>promis_fatimp18_stderror_9325cb</t>
  </si>
  <si>
    <t>promis_fatimp18_qposition_ac8f17</t>
  </si>
  <si>
    <t>promis_fatimp19_86737f</t>
  </si>
  <si>
    <t>promis_fatimp19_tscore_13e622</t>
  </si>
  <si>
    <t>promis_fatimp19_stderror_d0118b</t>
  </si>
  <si>
    <t>promis_fatimp19_qposition_ee4936</t>
  </si>
  <si>
    <t>promis_fatimp20_ef1f53</t>
  </si>
  <si>
    <t>promis_fatimp20_tscore_d8da04</t>
  </si>
  <si>
    <t>promis_fatimp20_stderror_7c5683</t>
  </si>
  <si>
    <t>promis_fatimp20_qposition_b3e2fe</t>
  </si>
  <si>
    <t>promis_fatimp21_583092</t>
  </si>
  <si>
    <t>promis_fatimp21_tscore_51c7ba</t>
  </si>
  <si>
    <t>promis_fatimp21_stderror_e6c4a8</t>
  </si>
  <si>
    <t>promis_fatimp21_qposition_3ad8cb</t>
  </si>
  <si>
    <t>promis_fatimp22_bb2987</t>
  </si>
  <si>
    <t>promis_fatimp22_tscore_cdbc56</t>
  </si>
  <si>
    <t>promis_fatimp22_stderror_1da2ef</t>
  </si>
  <si>
    <t>promis_fatimp22_qposition_422b3c</t>
  </si>
  <si>
    <t>promis_fatimp24_c6ca69</t>
  </si>
  <si>
    <t>promis_fatimp24_tscore_737135</t>
  </si>
  <si>
    <t>promis_fatimp24_stderror_e34932</t>
  </si>
  <si>
    <t>promis_fatimp24_qposition_00ef72</t>
  </si>
  <si>
    <t>promis_fatimp25_69af19</t>
  </si>
  <si>
    <t>promis_fatimp25_tscore_b06a73</t>
  </si>
  <si>
    <t>promis_fatimp25_stderror_e81d42</t>
  </si>
  <si>
    <t>promis_fatimp25_qposition_9c6fa5</t>
  </si>
  <si>
    <t>promis_fatimp26_1d79e2</t>
  </si>
  <si>
    <t>promis_fatimp26_tscore_9fe30d</t>
  </si>
  <si>
    <t>promis_fatimp26_stderror_367b13</t>
  </si>
  <si>
    <t>promis_fatimp26_qposition_14cb0a</t>
  </si>
  <si>
    <t>promis_fatimp27_cd23fd</t>
  </si>
  <si>
    <t>promis_fatimp27_tscore_5d24f2</t>
  </si>
  <si>
    <t>promis_fatimp27_stderror_2df1f7</t>
  </si>
  <si>
    <t>promis_fatimp27_qposition_85c347</t>
  </si>
  <si>
    <t>promis_fatimp28_253d89</t>
  </si>
  <si>
    <t>promis_fatimp28_tscore_bbc6dd</t>
  </si>
  <si>
    <t>promis_fatimp28_stderror_a6a240</t>
  </si>
  <si>
    <t>promis_fatimp28_qposition_44a4f3</t>
  </si>
  <si>
    <t>promis_fatimp29_f16f99</t>
  </si>
  <si>
    <t>promis_fatimp29_tscore_723b5e</t>
  </si>
  <si>
    <t>promis_fatimp29_stderror_2fa23e</t>
  </si>
  <si>
    <t>promis_fatimp29_qposition_df238f</t>
  </si>
  <si>
    <t>promis_fatimp30_1042b3</t>
  </si>
  <si>
    <t>promis_fatimp30_tscore_676a66</t>
  </si>
  <si>
    <t>promis_fatimp30_stderror_8af11c</t>
  </si>
  <si>
    <t>promis_fatimp30_qposition_716345</t>
  </si>
  <si>
    <t>promis_fatimp33_ee01c0</t>
  </si>
  <si>
    <t>promis_fatimp33_tscore_3fb868</t>
  </si>
  <si>
    <t>promis_fatimp33_stderror_b7d031</t>
  </si>
  <si>
    <t>promis_fatimp33_qposition_ddaa61</t>
  </si>
  <si>
    <t>promis_fatimp34_20bda0</t>
  </si>
  <si>
    <t>promis_fatimp34_tscore_266b1c</t>
  </si>
  <si>
    <t>promis_fatimp34_stderror_2b6bb6</t>
  </si>
  <si>
    <t>promis_fatimp34_qposition_65a155</t>
  </si>
  <si>
    <t>promis_fatimp35_d18c94</t>
  </si>
  <si>
    <t>promis_fatimp35_tscore_1df02a</t>
  </si>
  <si>
    <t>promis_fatimp35_stderror_af7f52</t>
  </si>
  <si>
    <t>promis_fatimp35_qposition_d4f527</t>
  </si>
  <si>
    <t>promis_fatimp36_3e3dc3</t>
  </si>
  <si>
    <t>promis_fatimp36_tscore_052961</t>
  </si>
  <si>
    <t>promis_fatimp36_stderror_ae2dcf</t>
  </si>
  <si>
    <t>promis_fatimp36_qposition_cf61ba</t>
  </si>
  <si>
    <t>promis_fatimp37_f152d0</t>
  </si>
  <si>
    <t>promis_fatimp37_tscore_faa5ec</t>
  </si>
  <si>
    <t>promis_fatimp37_stderror_07eda9</t>
  </si>
  <si>
    <t>promis_fatimp37_qposition_480e81</t>
  </si>
  <si>
    <t>promis_fatimp38_acd36e</t>
  </si>
  <si>
    <t>promis_fatimp38_tscore_c2a033</t>
  </si>
  <si>
    <t>promis_fatimp38_stderror_3b11e9</t>
  </si>
  <si>
    <t>promis_fatimp38_qposition_469fc3</t>
  </si>
  <si>
    <t>promis_fatimp40_61563d</t>
  </si>
  <si>
    <t>promis_fatimp40_tscore_7cbed6</t>
  </si>
  <si>
    <t>promis_fatimp40_stderror_a39c04</t>
  </si>
  <si>
    <t>promis_fatimp40_qposition_8a9e4a</t>
  </si>
  <si>
    <t>promis_fatimp42_bb0708</t>
  </si>
  <si>
    <t>promis_fatimp42_tscore_6e8e40</t>
  </si>
  <si>
    <t>promis_fatimp42_stderror_841b4b</t>
  </si>
  <si>
    <t>promis_fatimp42_qposition_032ecf</t>
  </si>
  <si>
    <t>promis_fatimp43_f4c920</t>
  </si>
  <si>
    <t>promis_fatimp43_tscore_54b394</t>
  </si>
  <si>
    <t>promis_fatimp43_stderror_9abe03</t>
  </si>
  <si>
    <t>promis_fatimp43_qposition_82ab87</t>
  </si>
  <si>
    <t>promis_fatimp44_cb9052</t>
  </si>
  <si>
    <t>promis_fatimp44_tscore_6ad1bb</t>
  </si>
  <si>
    <t>promis_fatimp44_stderror_cfdd17</t>
  </si>
  <si>
    <t>promis_fatimp44_qposition_46b7b7</t>
  </si>
  <si>
    <t>promis_fatimp45_d9b74a</t>
  </si>
  <si>
    <t>promis_fatimp45_tscore_1748b9</t>
  </si>
  <si>
    <t>promis_fatimp45_stderror_d8ded0</t>
  </si>
  <si>
    <t>promis_fatimp45_qposition_2bcbb3</t>
  </si>
  <si>
    <t>promis_fatimp47_202900</t>
  </si>
  <si>
    <t>promis_fatimp47_tscore_d154b2</t>
  </si>
  <si>
    <t>promis_fatimp47_stderror_aeb258</t>
  </si>
  <si>
    <t>promis_fatimp47_qposition_ee18ea</t>
  </si>
  <si>
    <t>promis_fatimp48_1250e6</t>
  </si>
  <si>
    <t>promis_fatimp48_tscore_486ab8</t>
  </si>
  <si>
    <t>promis_fatimp48_stderror_a835bc</t>
  </si>
  <si>
    <t>promis_fatimp48_qposition_e52067</t>
  </si>
  <si>
    <t>promis_fatimp49_5b4adc</t>
  </si>
  <si>
    <t>promis_fatimp49_tscore_ab2d22</t>
  </si>
  <si>
    <t>promis_fatimp49_stderror_34e693</t>
  </si>
  <si>
    <t>promis_fatimp49_qposition_05926b</t>
  </si>
  <si>
    <t>promis_fatimp50_ce024a</t>
  </si>
  <si>
    <t>promis_fatimp50_tscore_9a2686</t>
  </si>
  <si>
    <t>promis_fatimp50_stderror_8497a4</t>
  </si>
  <si>
    <t>promis_fatimp50_qposition_04b159</t>
  </si>
  <si>
    <t>promis_fatimp51_b0ba03</t>
  </si>
  <si>
    <t>promis_fatimp51_tscore_1965e6</t>
  </si>
  <si>
    <t>promis_fatimp51_stderror_2db1c4</t>
  </si>
  <si>
    <t>promis_fatimp51_qposition_7ce94e</t>
  </si>
  <si>
    <t>promis_fatimp52_4e1fdc</t>
  </si>
  <si>
    <t>promis_fatimp52_tscore_06fb51</t>
  </si>
  <si>
    <t>promis_fatimp52_stderror_4a0250</t>
  </si>
  <si>
    <t>promis_fatimp52_qposition_ee3b70</t>
  </si>
  <si>
    <t>promis_fatimp53_cc0636</t>
  </si>
  <si>
    <t>promis_fatimp53_tscore_96a561</t>
  </si>
  <si>
    <t>promis_fatimp53_stderror_16d851</t>
  </si>
  <si>
    <t>promis_fatimp53_qposition_44923e</t>
  </si>
  <si>
    <t>promis_fatimp55_13574f</t>
  </si>
  <si>
    <t>promis_fatimp55_tscore_b1631f</t>
  </si>
  <si>
    <t>promis_fatimp55_stderror_40313e</t>
  </si>
  <si>
    <t>promis_fatimp55_qposition_964a80</t>
  </si>
  <si>
    <t>promis_fatimp56_6a7d1f</t>
  </si>
  <si>
    <t>promis_fatimp56_tscore_ee5c0e</t>
  </si>
  <si>
    <t>promis_fatimp56_stderror_9d3207</t>
  </si>
  <si>
    <t>promis_fatimp56_qposition_c8423f</t>
  </si>
  <si>
    <t>promis_fatexp2_7d38a3</t>
  </si>
  <si>
    <t>promis_fatexp2_tscore_247fc1</t>
  </si>
  <si>
    <t>promis_fatexp2_stderror_750c9a</t>
  </si>
  <si>
    <t>promis_fatexp2_qposition_91af94</t>
  </si>
  <si>
    <t>promis_fatexp5_4e67b2</t>
  </si>
  <si>
    <t>promis_fatexp5_tscore_97fd32</t>
  </si>
  <si>
    <t>promis_fatexp5_stderror_91bada</t>
  </si>
  <si>
    <t>promis_fatexp5_qposition_ac2e56</t>
  </si>
  <si>
    <t>promis_fatexp6_e197da</t>
  </si>
  <si>
    <t>promis_fatexp6_tscore_9dae34</t>
  </si>
  <si>
    <t>promis_fatexp6_stderror_38132d</t>
  </si>
  <si>
    <t>promis_fatexp6_qposition_7c3ffe</t>
  </si>
  <si>
    <t>promis_fatexp7_30f128</t>
  </si>
  <si>
    <t>promis_fatexp7_tscore_5a3d3b</t>
  </si>
  <si>
    <t>promis_fatexp7_stderror_069c6e</t>
  </si>
  <si>
    <t>promis_fatexp7_qposition_5d5443</t>
  </si>
  <si>
    <t>promis_fatexp12_37205a</t>
  </si>
  <si>
    <t>promis_fatexp12_tscore_06c670</t>
  </si>
  <si>
    <t>promis_fatexp12_stderror_be9bf7</t>
  </si>
  <si>
    <t>promis_fatexp12_qposition_77c9d5</t>
  </si>
  <si>
    <t>promis_fatexp13_64ad46</t>
  </si>
  <si>
    <t>promis_fatexp13_tscore_bc745e</t>
  </si>
  <si>
    <t>promis_fatexp13_stderror_415417</t>
  </si>
  <si>
    <t>promis_fatexp13_qposition_9372e9</t>
  </si>
  <si>
    <t>promis_fatexp16_cf818d</t>
  </si>
  <si>
    <t>promis_fatexp16_tscore_275ca7</t>
  </si>
  <si>
    <t>promis_fatexp16_stderror_f04948</t>
  </si>
  <si>
    <t>promis_fatexp16_qposition_2a5aae</t>
  </si>
  <si>
    <t>promis_fatexp18_d998a8</t>
  </si>
  <si>
    <t>promis_fatexp18_tscore_657360</t>
  </si>
  <si>
    <t>promis_fatexp18_stderror_61c1b5</t>
  </si>
  <si>
    <t>promis_fatexp18_qposition_06ac40</t>
  </si>
  <si>
    <t>promis_fatexp19_d8bea7</t>
  </si>
  <si>
    <t>promis_fatexp19_tscore_a6916b</t>
  </si>
  <si>
    <t>promis_fatexp19_stderror_6c9b44</t>
  </si>
  <si>
    <t>promis_fatexp19_qposition_4af9f6</t>
  </si>
  <si>
    <t>promis_fatexp20_2c833c</t>
  </si>
  <si>
    <t>promis_fatexp20_tscore_d92ed9</t>
  </si>
  <si>
    <t>promis_fatexp20_stderror_38e5b7</t>
  </si>
  <si>
    <t>promis_fatexp20_qposition_5c4d26</t>
  </si>
  <si>
    <t>promis_fatexp21_83cc14</t>
  </si>
  <si>
    <t>promis_fatexp21_tscore_6fb817</t>
  </si>
  <si>
    <t>promis_fatexp21_stderror_223fd9</t>
  </si>
  <si>
    <t>promis_fatexp21_qposition_074de2</t>
  </si>
  <si>
    <t>promis_fatexp22_6226ba</t>
  </si>
  <si>
    <t>promis_fatexp22_tscore_418480</t>
  </si>
  <si>
    <t>promis_fatexp22_stderror_19429a</t>
  </si>
  <si>
    <t>promis_fatexp22_qposition_8aca96</t>
  </si>
  <si>
    <t>promis_fatexp24_1a43f0</t>
  </si>
  <si>
    <t>promis_fatexp24_tscore_f896b6</t>
  </si>
  <si>
    <t>promis_fatexp24_stderror_e7f059</t>
  </si>
  <si>
    <t>promis_fatexp24_qposition_972947</t>
  </si>
  <si>
    <t>promis_fatexp26_38e8b6</t>
  </si>
  <si>
    <t>promis_fatexp26_tscore_3dd076</t>
  </si>
  <si>
    <t>promis_fatexp26_stderror_feb9e6</t>
  </si>
  <si>
    <t>promis_fatexp26_qposition_709673</t>
  </si>
  <si>
    <t>promis_fatexp28_6761a9</t>
  </si>
  <si>
    <t>promis_fatexp28_tscore_ffc6f6</t>
  </si>
  <si>
    <t>promis_fatexp28_stderror_d333c7</t>
  </si>
  <si>
    <t>promis_fatexp28_qposition_414257</t>
  </si>
  <si>
    <t>promis_fatexp29_85a76f</t>
  </si>
  <si>
    <t>promis_fatexp29_tscore_47ea10</t>
  </si>
  <si>
    <t>promis_fatexp29_stderror_621e71</t>
  </si>
  <si>
    <t>promis_fatexp29_qposition_17afcf</t>
  </si>
  <si>
    <t>promis_fatexp31_5c6473</t>
  </si>
  <si>
    <t>promis_fatexp31_tscore_15972e</t>
  </si>
  <si>
    <t>promis_fatexp31_stderror_c6ee3c</t>
  </si>
  <si>
    <t>promis_fatexp31_qposition_214860</t>
  </si>
  <si>
    <t>promis_fatexp34_b6f3dd</t>
  </si>
  <si>
    <t>promis_fatexp34_tscore_4fa814</t>
  </si>
  <si>
    <t>promis_fatexp34_stderror_bfafeb</t>
  </si>
  <si>
    <t>promis_fatexp34_qposition_284eca</t>
  </si>
  <si>
    <t>promis_fatexp35_1d55d6</t>
  </si>
  <si>
    <t>promis_fatexp35_tscore_9b6ba6</t>
  </si>
  <si>
    <t>promis_fatexp35_stderror_031569</t>
  </si>
  <si>
    <t>promis_fatexp35_qposition_e76087</t>
  </si>
  <si>
    <t>promis_fatexp36_77a079</t>
  </si>
  <si>
    <t>promis_fatexp36_tscore_fcb519</t>
  </si>
  <si>
    <t>promis_fatexp36_stderror_8bfb37</t>
  </si>
  <si>
    <t>promis_fatexp36_qposition_5ecc8f</t>
  </si>
  <si>
    <t>promis_fatexp38_5961b3</t>
  </si>
  <si>
    <t>promis_fatexp38_tscore_b3634d</t>
  </si>
  <si>
    <t>promis_fatexp38_stderror_e9ca29</t>
  </si>
  <si>
    <t>promis_fatexp38_qposition_bc3904</t>
  </si>
  <si>
    <t>promis_fatexp40_a29e93</t>
  </si>
  <si>
    <t>promis_fatexp40_tscore_39ff4e</t>
  </si>
  <si>
    <t>promis_fatexp40_stderror_9ddba0</t>
  </si>
  <si>
    <t>promis_fatexp40_qposition_3e783d</t>
  </si>
  <si>
    <t>promis_fatexp41_ec7f29</t>
  </si>
  <si>
    <t>promis_fatexp41_tscore_6fdd06</t>
  </si>
  <si>
    <t>promis_fatexp41_stderror_ba56bd</t>
  </si>
  <si>
    <t>promis_fatexp41_qposition_f20aa1</t>
  </si>
  <si>
    <t>promis_fatexp42_f733d2</t>
  </si>
  <si>
    <t>promis_fatexp42_tscore_ab7b64</t>
  </si>
  <si>
    <t>promis_fatexp42_stderror_438c45</t>
  </si>
  <si>
    <t>promis_fatexp42_qposition_b73b6a</t>
  </si>
  <si>
    <t>promis_fatexp43_730a23</t>
  </si>
  <si>
    <t>promis_fatexp43_tscore_6d1acc</t>
  </si>
  <si>
    <t>promis_fatexp43_stderror_88e499</t>
  </si>
  <si>
    <t>promis_fatexp43_qposition_f1f44c</t>
  </si>
  <si>
    <t>promis_fatexp44_72e47b</t>
  </si>
  <si>
    <t>promis_fatexp44_tscore_658dda</t>
  </si>
  <si>
    <t>promis_fatexp44_stderror_215ee1</t>
  </si>
  <si>
    <t>promis_fatexp44_qposition_f2bd14</t>
  </si>
  <si>
    <t>promis_fatexp45_bc10b5</t>
  </si>
  <si>
    <t>promis_fatexp45_tscore_374c34</t>
  </si>
  <si>
    <t>promis_fatexp45_stderror_de3eb0</t>
  </si>
  <si>
    <t>promis_fatexp45_qposition_5fa2fb</t>
  </si>
  <si>
    <t>promis_fatexp46_d6a533</t>
  </si>
  <si>
    <t>promis_fatexp46_tscore_4bf89f</t>
  </si>
  <si>
    <t>promis_fatexp46_stderror_8c00b8</t>
  </si>
  <si>
    <t>promis_fatexp46_qposition_37300b</t>
  </si>
  <si>
    <t>promis_fatexp48_719304</t>
  </si>
  <si>
    <t>promis_fatexp48_tscore_57d513</t>
  </si>
  <si>
    <t>promis_fatexp48_stderror_f48dc9</t>
  </si>
  <si>
    <t>promis_fatexp48_qposition_843fe7</t>
  </si>
  <si>
    <t>promis_fatexp49_8576ab</t>
  </si>
  <si>
    <t>promis_fatexp49_tscore_151ea6</t>
  </si>
  <si>
    <t>promis_fatexp49_stderror_ae07ce</t>
  </si>
  <si>
    <t>promis_fatexp49_qposition_889e96</t>
  </si>
  <si>
    <t>promis_fatexp50_9c6af2</t>
  </si>
  <si>
    <t>promis_fatexp50_tscore_b0cdd0</t>
  </si>
  <si>
    <t>promis_fatexp50_stderror_ecbeaf</t>
  </si>
  <si>
    <t>promis_fatexp50_qposition_ddb1c0</t>
  </si>
  <si>
    <t>promis_fatexp51_891c82</t>
  </si>
  <si>
    <t>promis_fatexp51_tscore_a70210</t>
  </si>
  <si>
    <t>promis_fatexp51_stderror_216fc6</t>
  </si>
  <si>
    <t>promis_fatexp51_qposition_1ff5ca</t>
  </si>
  <si>
    <t>promis_fatexp52_7b16e6</t>
  </si>
  <si>
    <t>promis_fatexp52_tscore_df9047</t>
  </si>
  <si>
    <t>promis_fatexp52_stderror_85d519</t>
  </si>
  <si>
    <t>promis_fatexp52_qposition_edfaf4</t>
  </si>
  <si>
    <t>promis_fatexp54_a7f081</t>
  </si>
  <si>
    <t>promis_fatexp54_tscore_c52485</t>
  </si>
  <si>
    <t>promis_fatexp54_stderror_8875c8</t>
  </si>
  <si>
    <t>promis_fatexp54_qposition_245150</t>
  </si>
  <si>
    <t>promis_fatexp56_2a7315</t>
  </si>
  <si>
    <t>promis_fatexp56_tscore_9d2ecc</t>
  </si>
  <si>
    <t>promis_fatexp56_stderror_09f3e1</t>
  </si>
  <si>
    <t>promis_fatexp56_qposition_b15f60</t>
  </si>
  <si>
    <t>promis_hi7_921cf4</t>
  </si>
  <si>
    <t>promis_hi7_tscore_b73023</t>
  </si>
  <si>
    <t>promis_hi7_stderror_409822</t>
  </si>
  <si>
    <t>promis_hi7_qposition_df9096</t>
  </si>
  <si>
    <t>promis_hi12_dab63c</t>
  </si>
  <si>
    <t>promis_hi12_tscore_8bf059</t>
  </si>
  <si>
    <t>promis_hi12_stderror_f026ff</t>
  </si>
  <si>
    <t>promis_hi12_qposition_441c1c</t>
  </si>
  <si>
    <t>promis_an1_84f5af</t>
  </si>
  <si>
    <t>promis_an1_tscore_8896a3</t>
  </si>
  <si>
    <t>promis_an1_stderror_729f9e</t>
  </si>
  <si>
    <t>promis_an1_qposition_395c1e</t>
  </si>
  <si>
    <t>promis_an2_a4202b</t>
  </si>
  <si>
    <t>promis_an2_tscore_319324</t>
  </si>
  <si>
    <t>promis_an2_stderror_282df4</t>
  </si>
  <si>
    <t>promis_an2_qposition_b49747</t>
  </si>
  <si>
    <t>promis_an3_91ec6d</t>
  </si>
  <si>
    <t>promis_an3_tscore_f4eecc</t>
  </si>
  <si>
    <t>promis_an3_stderror_40a664</t>
  </si>
  <si>
    <t>promis_an3_qposition_bb4380</t>
  </si>
  <si>
    <t>promis_an4_62ba7f</t>
  </si>
  <si>
    <t>promis_an4_tscore_028efc</t>
  </si>
  <si>
    <t>promis_an4_stderror_8c893a</t>
  </si>
  <si>
    <t>promis_an4_qposition_ffc0ce</t>
  </si>
  <si>
    <t>promis_an8_5ddfb8</t>
  </si>
  <si>
    <t>promis_an8_tscore_f8c0d0</t>
  </si>
  <si>
    <t>promis_an8_stderror_0f7cbe</t>
  </si>
  <si>
    <t>promis_an8_qposition_549537</t>
  </si>
  <si>
    <t>promis_an12_efcaa6</t>
  </si>
  <si>
    <t>promis_an12_tscore_062006</t>
  </si>
  <si>
    <t>promis_an12_stderror_56ece7</t>
  </si>
  <si>
    <t>promis_an12_qposition_0b0e7b</t>
  </si>
  <si>
    <t>promis_an14_2c787a</t>
  </si>
  <si>
    <t>promis_an14_tscore_28f7c4</t>
  </si>
  <si>
    <t>promis_an14_stderror_b054e9</t>
  </si>
  <si>
    <t>promis_an14_qposition_2f93bb</t>
  </si>
  <si>
    <t>promis_an15_147830</t>
  </si>
  <si>
    <t>promis_an15_tscore_335b52</t>
  </si>
  <si>
    <t>promis_an15_stderror_fb8a44</t>
  </si>
  <si>
    <t>promis_an15_qposition_52b711</t>
  </si>
  <si>
    <t>promis_an16_6d35e2</t>
  </si>
  <si>
    <t>promis_an16_tscore_051c38</t>
  </si>
  <si>
    <t>promis_an16_stderror_fb124b</t>
  </si>
  <si>
    <t>promis_an16_qposition_52f762</t>
  </si>
  <si>
    <t>promis_an5_d15115</t>
  </si>
  <si>
    <t>promis_an5_tscore_b6fc88</t>
  </si>
  <si>
    <t>promis_an5_stderror_bf47fb</t>
  </si>
  <si>
    <t>promis_an5_qposition_79c9a4</t>
  </si>
  <si>
    <t>promis_an7_aa1029</t>
  </si>
  <si>
    <t>promis_an7_tscore_15f37e</t>
  </si>
  <si>
    <t>promis_an7_stderror_a09de6</t>
  </si>
  <si>
    <t>promis_an7_qposition_a0364e</t>
  </si>
  <si>
    <t>promis_bank_v10_fatigue_3fb9_complete</t>
  </si>
  <si>
    <t>panas_timestamp</t>
  </si>
  <si>
    <t>panas_1</t>
  </si>
  <si>
    <t>panas_2</t>
  </si>
  <si>
    <t>panas_3</t>
  </si>
  <si>
    <t>panas_4</t>
  </si>
  <si>
    <t>panas_5</t>
  </si>
  <si>
    <t>panas_6</t>
  </si>
  <si>
    <t>panas_7</t>
  </si>
  <si>
    <t>panas_8</t>
  </si>
  <si>
    <t>panas_9</t>
  </si>
  <si>
    <t>panas_10</t>
  </si>
  <si>
    <t>panas_11</t>
  </si>
  <si>
    <t>panas_12</t>
  </si>
  <si>
    <t>panas_13</t>
  </si>
  <si>
    <t>panas_14</t>
  </si>
  <si>
    <t>panas_15</t>
  </si>
  <si>
    <t>panas_16</t>
  </si>
  <si>
    <t>panas_17</t>
  </si>
  <si>
    <t>panas_18</t>
  </si>
  <si>
    <t>panas_19</t>
  </si>
  <si>
    <t>panas_20</t>
  </si>
  <si>
    <t>pas_total</t>
  </si>
  <si>
    <t>nas_total</t>
  </si>
  <si>
    <t>panas_complete</t>
  </si>
  <si>
    <t>bsi18_0b44_timestamp</t>
  </si>
  <si>
    <t>scl90r_faintness_dizziness</t>
  </si>
  <si>
    <t>scl90r_no_interest</t>
  </si>
  <si>
    <t>scl90r_nervous_shakey</t>
  </si>
  <si>
    <t>scl90r_chest_pains</t>
  </si>
  <si>
    <t>scl90r_lonely</t>
  </si>
  <si>
    <t>scl90r_tense</t>
  </si>
  <si>
    <t>scl90r_nausea</t>
  </si>
  <si>
    <t>scl90r_blue</t>
  </si>
  <si>
    <t>scl90r_scared</t>
  </si>
  <si>
    <t>scl90r_trouble_get_breath</t>
  </si>
  <si>
    <t>scl90r_worthlessness</t>
  </si>
  <si>
    <t>scl90r_terror_panic_spells</t>
  </si>
  <si>
    <t>scl90r_numbness</t>
  </si>
  <si>
    <t>scl90r_hopeless_future</t>
  </si>
  <si>
    <t>scl90r_restlessness</t>
  </si>
  <si>
    <t>scl90r_weak</t>
  </si>
  <si>
    <t>scl90r_thoughts_end_life</t>
  </si>
  <si>
    <t>scl90r_fearful</t>
  </si>
  <si>
    <t>bsi_somatization_sum</t>
  </si>
  <si>
    <t>bsi_depression_sum</t>
  </si>
  <si>
    <t>bsi_anxiety_sum</t>
  </si>
  <si>
    <t>bsi_gsi_sum</t>
  </si>
  <si>
    <t>bsi18_0b44_complete</t>
  </si>
  <si>
    <t>bpisf_timestamp</t>
  </si>
  <si>
    <t>bpi_1</t>
  </si>
  <si>
    <t>bpi_3</t>
  </si>
  <si>
    <t>bpi_4</t>
  </si>
  <si>
    <t>bpi_5</t>
  </si>
  <si>
    <t>bpi_6</t>
  </si>
  <si>
    <t>bpi_8</t>
  </si>
  <si>
    <t>bpi_9</t>
  </si>
  <si>
    <t>bpi_10</t>
  </si>
  <si>
    <t>bpi_11</t>
  </si>
  <si>
    <t>bpi_12</t>
  </si>
  <si>
    <t>bpi_13</t>
  </si>
  <si>
    <t>bpi_14</t>
  </si>
  <si>
    <t>bpi_15</t>
  </si>
  <si>
    <t>bpi_16</t>
  </si>
  <si>
    <t>bpi_17</t>
  </si>
  <si>
    <t>bpi_painseverity_avg</t>
  </si>
  <si>
    <t>bpi_paininterference_avg</t>
  </si>
  <si>
    <t>bpisf_complete</t>
  </si>
  <si>
    <t>poms_timestamp</t>
  </si>
  <si>
    <t>choir_timestamp</t>
  </si>
  <si>
    <t>choir_pain_areas__1</t>
  </si>
  <si>
    <t>choir_pain_areas__2</t>
  </si>
  <si>
    <t>choir_pain_areas__3</t>
  </si>
  <si>
    <t>choir_pain_areas__4</t>
  </si>
  <si>
    <t>choir_pain_areas__5</t>
  </si>
  <si>
    <t>choir_pain_areas__6</t>
  </si>
  <si>
    <t>choir_pain_areas__7</t>
  </si>
  <si>
    <t>choir_pain_areas__8</t>
  </si>
  <si>
    <t>choir_pain_areas__9</t>
  </si>
  <si>
    <t>choir_pain_areas__10</t>
  </si>
  <si>
    <t>choir_pain_areas__11</t>
  </si>
  <si>
    <t>choir_pain_areas__12</t>
  </si>
  <si>
    <t>choir_pain_areas__13</t>
  </si>
  <si>
    <t>choir_pain_areas__14</t>
  </si>
  <si>
    <t>choir_pain_areas__15</t>
  </si>
  <si>
    <t>choir_pain_areas__16</t>
  </si>
  <si>
    <t>choir_pain_areas__17</t>
  </si>
  <si>
    <t>choir_pain_areas__18</t>
  </si>
  <si>
    <t>choir_pain_areas__19</t>
  </si>
  <si>
    <t>choir_pain_areas__20</t>
  </si>
  <si>
    <t>choir_pain_areas__21</t>
  </si>
  <si>
    <t>choir_pain_areas__22</t>
  </si>
  <si>
    <t>choir_pain_areas__23</t>
  </si>
  <si>
    <t>choir_pain_areas__24</t>
  </si>
  <si>
    <t>choir_pain_areas__25</t>
  </si>
  <si>
    <t>choir_pain_areas__26</t>
  </si>
  <si>
    <t>choir_pain_areas__27</t>
  </si>
  <si>
    <t>choir_pain_areas__28</t>
  </si>
  <si>
    <t>choir_pain_areas__29</t>
  </si>
  <si>
    <t>choir_pain_areas__30</t>
  </si>
  <si>
    <t>choir_pain_areas__31</t>
  </si>
  <si>
    <t>choir_pain_areas__32</t>
  </si>
  <si>
    <t>choir_pain_areas__33</t>
  </si>
  <si>
    <t>choir_pain_areas__34</t>
  </si>
  <si>
    <t>choir_pain_areas__35</t>
  </si>
  <si>
    <t>choir_pain_areas__36</t>
  </si>
  <si>
    <t>choir_pain_areas__37</t>
  </si>
  <si>
    <t>choir_pain_areas__38</t>
  </si>
  <si>
    <t>choir_pain_areas__39</t>
  </si>
  <si>
    <t>choir_pain_areas__40</t>
  </si>
  <si>
    <t>choir_pain_areas__41</t>
  </si>
  <si>
    <t>choir_pain_areas__42</t>
  </si>
  <si>
    <t>choir_pain_areas__43</t>
  </si>
  <si>
    <t>choir_pain_areas__44</t>
  </si>
  <si>
    <t>choir_pain_areas__45</t>
  </si>
  <si>
    <t>choir_pain_areas__46</t>
  </si>
  <si>
    <t>choir_pain_areas__47</t>
  </si>
  <si>
    <t>choir_pain_areas__48</t>
  </si>
  <si>
    <t>choir_pain_areas__49</t>
  </si>
  <si>
    <t>choir_pain_areas__50</t>
  </si>
  <si>
    <t>choir_pain_areas__51</t>
  </si>
  <si>
    <t>choir_pain_areas__52</t>
  </si>
  <si>
    <t>choir_pain_areas__53</t>
  </si>
  <si>
    <t>choir_pain_areas__54</t>
  </si>
  <si>
    <t>choir_pain_areas__55</t>
  </si>
  <si>
    <t>choir_pain_areas__56</t>
  </si>
  <si>
    <t>choir_pain_areas__57</t>
  </si>
  <si>
    <t>choir_pain_areas__58</t>
  </si>
  <si>
    <t>choir_pain_areas__59</t>
  </si>
  <si>
    <t>choir_pain_areas__60</t>
  </si>
  <si>
    <t>choir_pain_areas__61</t>
  </si>
  <si>
    <t>choir_pain_areas__62</t>
  </si>
  <si>
    <t>choir_pain_areas__63</t>
  </si>
  <si>
    <t>choir_pain_areas__64</t>
  </si>
  <si>
    <t>choir_pain_areas__65</t>
  </si>
  <si>
    <t>choir_pain_areas__66</t>
  </si>
  <si>
    <t>choir_pain_areas__67</t>
  </si>
  <si>
    <t>choir_pain_areas__68</t>
  </si>
  <si>
    <t>choir_pain_areas__69</t>
  </si>
  <si>
    <t>choir_pain_areas__70</t>
  </si>
  <si>
    <t>choir_pain_areas__71</t>
  </si>
  <si>
    <t>choir_pain_areas__72</t>
  </si>
  <si>
    <t>choir_pain_areas__73</t>
  </si>
  <si>
    <t>choir_pain_areas__74</t>
  </si>
  <si>
    <t>choir_complete</t>
  </si>
  <si>
    <t>choir_pain_areas_total</t>
  </si>
  <si>
    <t>poms_1</t>
  </si>
  <si>
    <t>poms_2</t>
  </si>
  <si>
    <t>poms_3</t>
  </si>
  <si>
    <t>poms_4</t>
  </si>
  <si>
    <t>poms_5</t>
  </si>
  <si>
    <t>poms_6</t>
  </si>
  <si>
    <t>poms_7</t>
  </si>
  <si>
    <t>poms_8</t>
  </si>
  <si>
    <t>poms_9</t>
  </si>
  <si>
    <t>poms_10</t>
  </si>
  <si>
    <t>poms_11</t>
  </si>
  <si>
    <t>poms_12</t>
  </si>
  <si>
    <t>poms_13</t>
  </si>
  <si>
    <t>poms_14</t>
  </si>
  <si>
    <t>poms_15</t>
  </si>
  <si>
    <t>poms_16</t>
  </si>
  <si>
    <t>poms_17</t>
  </si>
  <si>
    <t>poms_18</t>
  </si>
  <si>
    <t>poms_19</t>
  </si>
  <si>
    <t>poms_20</t>
  </si>
  <si>
    <t>poms_21</t>
  </si>
  <si>
    <t>poms_22</t>
  </si>
  <si>
    <t>poms_23</t>
  </si>
  <si>
    <t>poms_24</t>
  </si>
  <si>
    <t>poms_25</t>
  </si>
  <si>
    <t>poms_26</t>
  </si>
  <si>
    <t>poms_27</t>
  </si>
  <si>
    <t>poms_28</t>
  </si>
  <si>
    <t>poms_29</t>
  </si>
  <si>
    <t>poms_30</t>
  </si>
  <si>
    <t>poms_tension_sum</t>
  </si>
  <si>
    <t>poms_depression_sum</t>
  </si>
  <si>
    <t>poms_anger_sum</t>
  </si>
  <si>
    <t>poms_fatigue_sum</t>
  </si>
  <si>
    <t>poms_confusion_sum</t>
  </si>
  <si>
    <t>poms_vigor_sum</t>
  </si>
  <si>
    <t>poms_tmd</t>
  </si>
  <si>
    <t>poms_complete</t>
  </si>
  <si>
    <t>stai_state_timestamp</t>
  </si>
  <si>
    <t>stai_state_1</t>
  </si>
  <si>
    <t>stai_state_2</t>
  </si>
  <si>
    <t>stai_state_3</t>
  </si>
  <si>
    <t>stai_state_4</t>
  </si>
  <si>
    <t>stai_state_5</t>
  </si>
  <si>
    <t>stai_state_6</t>
  </si>
  <si>
    <t>stai_state_7</t>
  </si>
  <si>
    <t>stai_state_8</t>
  </si>
  <si>
    <t>stai_state_9</t>
  </si>
  <si>
    <t>stai_state_10</t>
  </si>
  <si>
    <t>stai_state_11</t>
  </si>
  <si>
    <t>stai_state_12</t>
  </si>
  <si>
    <t>stai_state_13</t>
  </si>
  <si>
    <t>stai_state_14</t>
  </si>
  <si>
    <t>stai_state_15</t>
  </si>
  <si>
    <t>stai_state_16</t>
  </si>
  <si>
    <t>stai_state_17</t>
  </si>
  <si>
    <t>stai_state_18</t>
  </si>
  <si>
    <t>stai_state_19</t>
  </si>
  <si>
    <t>stai_state_20</t>
  </si>
  <si>
    <t>stai_state_sum</t>
  </si>
  <si>
    <t>stai_state_complete</t>
  </si>
  <si>
    <t>smoking_questionnaire_timestamp</t>
  </si>
  <si>
    <t>smoke</t>
  </si>
  <si>
    <t>smoke_last_days</t>
  </si>
  <si>
    <t>smoke_last_hours</t>
  </si>
  <si>
    <t>smoke_daily</t>
  </si>
  <si>
    <t>smoke_years</t>
  </si>
  <si>
    <t>smoke_types___1</t>
  </si>
  <si>
    <t>smoke_types___2</t>
  </si>
  <si>
    <t>smoke_types___3</t>
  </si>
  <si>
    <t>smoke_types___4</t>
  </si>
  <si>
    <t>smoke_types___5</t>
  </si>
  <si>
    <t>smoke_other_list</t>
  </si>
  <si>
    <t>smoking_questionnaire_complete</t>
  </si>
  <si>
    <t>opioid_benefit_timestamp</t>
  </si>
  <si>
    <t>HCS302</t>
  </si>
  <si>
    <t>HCS305</t>
  </si>
  <si>
    <t>HCS314</t>
  </si>
  <si>
    <t>FMN308</t>
  </si>
  <si>
    <t>HCS316</t>
  </si>
  <si>
    <t>FMN328</t>
  </si>
  <si>
    <t>FMN318</t>
  </si>
  <si>
    <t>HCS306</t>
  </si>
  <si>
    <t>HCS319</t>
  </si>
  <si>
    <t>HCS323</t>
  </si>
  <si>
    <t>HCS322</t>
  </si>
  <si>
    <t>FMN339</t>
  </si>
  <si>
    <t>FMN344</t>
  </si>
  <si>
    <t>FMN347</t>
  </si>
  <si>
    <t>FMN349</t>
  </si>
  <si>
    <t>FMN337</t>
  </si>
  <si>
    <t>FMN309</t>
  </si>
  <si>
    <t>HCS324</t>
  </si>
  <si>
    <t>FMN320</t>
  </si>
  <si>
    <t>FMN302</t>
  </si>
  <si>
    <t>FMN312</t>
  </si>
  <si>
    <t>HCS320</t>
  </si>
  <si>
    <t>HCS313</t>
  </si>
  <si>
    <t>FMN341</t>
  </si>
  <si>
    <t>FMN306</t>
  </si>
  <si>
    <t>FMN335</t>
  </si>
  <si>
    <t>HCS254</t>
  </si>
  <si>
    <t>HCS255</t>
  </si>
  <si>
    <t>HCS256</t>
  </si>
  <si>
    <t>FMN258</t>
  </si>
  <si>
    <t>HCS260</t>
  </si>
  <si>
    <t>HCS261</t>
  </si>
  <si>
    <t>FMN260</t>
  </si>
  <si>
    <t>HCS262</t>
  </si>
  <si>
    <t>HCS263</t>
  </si>
  <si>
    <t>FMN261</t>
  </si>
  <si>
    <t>HCS264</t>
  </si>
  <si>
    <t>FMN262</t>
  </si>
  <si>
    <t>HCS267</t>
  </si>
  <si>
    <t>HCS268</t>
  </si>
  <si>
    <t>HCS269</t>
  </si>
  <si>
    <t>FMN263</t>
  </si>
  <si>
    <t>HCS270</t>
  </si>
  <si>
    <t>FMN264</t>
  </si>
  <si>
    <t>reverse</t>
  </si>
  <si>
    <t>Normal</t>
  </si>
  <si>
    <t>Reversed</t>
  </si>
  <si>
    <t>basdrive_total</t>
  </si>
  <si>
    <t>basfs_total</t>
  </si>
  <si>
    <t>basrr_total</t>
  </si>
  <si>
    <t>bas_total</t>
  </si>
  <si>
    <t>bis_total</t>
  </si>
  <si>
    <t>lec_total</t>
  </si>
  <si>
    <t>pain_years_num</t>
  </si>
  <si>
    <t>promis_lastquestion</t>
  </si>
  <si>
    <t>promis_lasttscore</t>
  </si>
  <si>
    <t>promis_laststderror</t>
  </si>
  <si>
    <t>promis_lastqposition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</si>
</sst>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22" fontId="0" fillId="0" borderId="0" xfId="0" applyNumberFormat="1"/>
    <xf numFmtId="14" fontId="0" fillId="0" borderId="0" xfId="0" applyNumberFormat="1"/>
    <xf numFmtId="16" fontId="0" fillId="0" borderId="0" xfId="0" applyNumberFormat="1"/>
    <xf numFmtId="0" fontId="0" fillId="33" borderId="0" xfId="0" applyFill="1"/>
    <xf numFmtId="0" fontId="0" fillId="34" borderId="0" xfId="0" applyFill="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U46"/>
  <sheetViews>
    <sheetView zoomScale="108" workbookViewId="0">
      <selection activeCell="H17" sqref="H17"/>
    </sheetView>
  </sheetViews>
  <sheetFormatPr defaultColWidth="10.90625" defaultRowHeight="15"/>
  <sheetData>
    <row r="1" spans="1:905">
      <c r="A1" t="s">
        <v>0</v>
      </c>
      <c r="B1" t="s">
        <v>1</v>
      </c>
      <c r="C1" t="s">
        <v>2</v>
      </c>
      <c r="D1" t="s">
        <v>3</v>
      </c>
      <c r="E1" t="s">
        <v>4</v>
      </c>
      <c r="F1" t="s">
        <v>5</v>
      </c>
      <c r="G1" t="s">
        <v>6</v>
      </c>
      <c r="H1" t="s">
        <v>7</v>
      </c>
      <c r="I1" t="s">
        <v>8</v>
      </c>
      <c r="J1" t="s">
        <v>9</v>
      </c>
      <c r="K1" t="s">
        <v>10</v>
      </c>
      <c r="L1" t="s">
        <v>11</v>
      </c>
      <c r="M1" t="s">
        <v>12</v>
      </c>
      <c r="N1" t="s">
        <v>495</v>
      </c>
      <c r="O1" t="s">
        <v>13</v>
      </c>
      <c r="P1" t="s">
        <v>14</v>
      </c>
      <c r="Q1" t="s">
        <v>15</v>
      </c>
      <c r="R1" t="s">
        <v>16</v>
      </c>
      <c r="S1" t="s">
        <v>17</v>
      </c>
      <c r="T1" t="s">
        <v>18</v>
      </c>
      <c r="U1" t="s">
        <v>19</v>
      </c>
      <c r="V1" t="s">
        <v>20</v>
      </c>
      <c r="W1" t="s">
        <v>21</v>
      </c>
      <c r="X1" t="s">
        <v>22</v>
      </c>
      <c r="Y1" t="s">
        <v>23</v>
      </c>
      <c r="Z1" t="s">
        <v>24</v>
      </c>
      <c r="AA1" t="s">
        <v>25</v>
      </c>
      <c r="AB1" t="s">
        <v>26</v>
      </c>
      <c r="AC1" t="s">
        <v>27</v>
      </c>
      <c r="AD1" t="s">
        <v>28</v>
      </c>
      <c r="AE1" t="s">
        <v>496</v>
      </c>
      <c r="AF1" t="s">
        <v>29</v>
      </c>
      <c r="AG1" t="s">
        <v>30</v>
      </c>
      <c r="AH1" t="s">
        <v>31</v>
      </c>
      <c r="AI1" t="s">
        <v>32</v>
      </c>
      <c r="AJ1" t="s">
        <v>33</v>
      </c>
      <c r="AK1" t="s">
        <v>34</v>
      </c>
      <c r="AL1" t="s">
        <v>35</v>
      </c>
      <c r="AM1" t="s">
        <v>36</v>
      </c>
      <c r="AN1" t="s">
        <v>37</v>
      </c>
      <c r="AO1" t="s">
        <v>38</v>
      </c>
      <c r="AP1" t="s">
        <v>39</v>
      </c>
      <c r="AQ1" t="s">
        <v>40</v>
      </c>
      <c r="AR1" t="s">
        <v>41</v>
      </c>
      <c r="AS1" t="s">
        <v>42</v>
      </c>
      <c r="AT1" t="s">
        <v>43</v>
      </c>
      <c r="AU1" t="s">
        <v>44</v>
      </c>
      <c r="AV1" t="s">
        <v>45</v>
      </c>
      <c r="AW1" t="s">
        <v>46</v>
      </c>
      <c r="AX1" t="s">
        <v>47</v>
      </c>
      <c r="AY1" t="s">
        <v>48</v>
      </c>
      <c r="AZ1" t="s">
        <v>49</v>
      </c>
      <c r="BA1" t="s">
        <v>50</v>
      </c>
      <c r="BB1" t="s">
        <v>497</v>
      </c>
      <c r="BC1" t="s">
        <v>51</v>
      </c>
      <c r="BD1" t="s">
        <v>52</v>
      </c>
      <c r="BE1" t="s">
        <v>53</v>
      </c>
      <c r="BF1" t="s">
        <v>54</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t="s">
        <v>71</v>
      </c>
      <c r="BX1" t="s">
        <v>72</v>
      </c>
      <c r="BY1" t="s">
        <v>73</v>
      </c>
      <c r="BZ1" t="s">
        <v>498</v>
      </c>
      <c r="CA1" t="s">
        <v>74</v>
      </c>
      <c r="CB1" t="s">
        <v>75</v>
      </c>
      <c r="CC1" t="s">
        <v>76</v>
      </c>
      <c r="CD1" t="s">
        <v>77</v>
      </c>
      <c r="CE1" t="s">
        <v>78</v>
      </c>
      <c r="CF1" t="s">
        <v>79</v>
      </c>
      <c r="CG1" t="s">
        <v>80</v>
      </c>
      <c r="CH1" t="s">
        <v>81</v>
      </c>
      <c r="CI1" t="s">
        <v>82</v>
      </c>
      <c r="CJ1" t="s">
        <v>83</v>
      </c>
      <c r="CK1" t="s">
        <v>84</v>
      </c>
      <c r="CL1" t="s">
        <v>85</v>
      </c>
      <c r="CM1" t="s">
        <v>86</v>
      </c>
      <c r="CN1" t="s">
        <v>87</v>
      </c>
      <c r="CO1" t="s">
        <v>88</v>
      </c>
      <c r="CP1" t="s">
        <v>89</v>
      </c>
      <c r="CQ1" t="s">
        <v>90</v>
      </c>
      <c r="CR1" t="s">
        <v>91</v>
      </c>
      <c r="CS1" t="s">
        <v>92</v>
      </c>
      <c r="CT1" t="s">
        <v>93</v>
      </c>
      <c r="CU1" t="s">
        <v>94</v>
      </c>
      <c r="CV1" t="s">
        <v>95</v>
      </c>
      <c r="CW1" t="s">
        <v>96</v>
      </c>
      <c r="CX1" t="s">
        <v>97</v>
      </c>
      <c r="CY1" t="s">
        <v>98</v>
      </c>
      <c r="CZ1" t="s">
        <v>99</v>
      </c>
      <c r="DA1" t="s">
        <v>499</v>
      </c>
      <c r="DB1" t="s">
        <v>100</v>
      </c>
      <c r="DC1" t="s">
        <v>101</v>
      </c>
      <c r="DD1" t="s">
        <v>102</v>
      </c>
      <c r="DE1" t="s">
        <v>103</v>
      </c>
      <c r="DF1" t="s">
        <v>104</v>
      </c>
      <c r="DG1" t="s">
        <v>105</v>
      </c>
      <c r="DH1" t="s">
        <v>106</v>
      </c>
      <c r="DI1" t="s">
        <v>107</v>
      </c>
      <c r="DJ1" t="s">
        <v>108</v>
      </c>
      <c r="DK1" t="s">
        <v>109</v>
      </c>
      <c r="DL1" t="s">
        <v>110</v>
      </c>
      <c r="DM1" t="s">
        <v>111</v>
      </c>
      <c r="DN1" t="s">
        <v>112</v>
      </c>
      <c r="DO1" t="s">
        <v>113</v>
      </c>
      <c r="DP1" t="s">
        <v>114</v>
      </c>
      <c r="DQ1" t="s">
        <v>115</v>
      </c>
      <c r="DR1" t="s">
        <v>116</v>
      </c>
      <c r="DS1" t="s">
        <v>117</v>
      </c>
      <c r="DT1" t="s">
        <v>118</v>
      </c>
      <c r="DU1" t="s">
        <v>119</v>
      </c>
      <c r="DV1" t="s">
        <v>120</v>
      </c>
      <c r="DW1" t="s">
        <v>121</v>
      </c>
      <c r="DX1" t="s">
        <v>122</v>
      </c>
      <c r="DY1" t="s">
        <v>123</v>
      </c>
      <c r="DZ1" t="s">
        <v>124</v>
      </c>
      <c r="EA1" t="s">
        <v>125</v>
      </c>
      <c r="EB1" t="s">
        <v>126</v>
      </c>
      <c r="EC1" t="s">
        <v>127</v>
      </c>
      <c r="ED1" t="s">
        <v>128</v>
      </c>
      <c r="EE1" t="s">
        <v>129</v>
      </c>
      <c r="EF1" t="s">
        <v>130</v>
      </c>
      <c r="EG1" t="s">
        <v>131</v>
      </c>
      <c r="EH1" t="s">
        <v>132</v>
      </c>
      <c r="EI1" t="s">
        <v>133</v>
      </c>
      <c r="EJ1" t="s">
        <v>134</v>
      </c>
      <c r="EK1" t="s">
        <v>135</v>
      </c>
      <c r="EL1" t="s">
        <v>136</v>
      </c>
      <c r="EM1" t="s">
        <v>137</v>
      </c>
      <c r="EN1" t="s">
        <v>138</v>
      </c>
      <c r="EO1" t="s">
        <v>139</v>
      </c>
      <c r="EP1" t="s">
        <v>140</v>
      </c>
      <c r="EQ1" t="s">
        <v>141</v>
      </c>
      <c r="ER1" t="s">
        <v>142</v>
      </c>
      <c r="ES1" t="s">
        <v>143</v>
      </c>
      <c r="ET1" t="s">
        <v>144</v>
      </c>
      <c r="EU1" t="s">
        <v>145</v>
      </c>
      <c r="EV1" t="s">
        <v>146</v>
      </c>
      <c r="EW1" t="s">
        <v>147</v>
      </c>
      <c r="EX1" t="s">
        <v>148</v>
      </c>
      <c r="EY1" t="s">
        <v>149</v>
      </c>
      <c r="EZ1" t="s">
        <v>150</v>
      </c>
      <c r="FA1" t="s">
        <v>151</v>
      </c>
      <c r="FB1" t="s">
        <v>152</v>
      </c>
      <c r="FC1" t="s">
        <v>153</v>
      </c>
      <c r="FD1" t="s">
        <v>154</v>
      </c>
      <c r="FE1" t="s">
        <v>155</v>
      </c>
      <c r="FF1" t="s">
        <v>156</v>
      </c>
      <c r="FG1" t="s">
        <v>157</v>
      </c>
      <c r="FH1" t="s">
        <v>158</v>
      </c>
      <c r="FI1" t="s">
        <v>159</v>
      </c>
      <c r="FJ1" t="s">
        <v>160</v>
      </c>
      <c r="FK1" t="s">
        <v>161</v>
      </c>
      <c r="FL1" t="s">
        <v>162</v>
      </c>
      <c r="FM1" t="s">
        <v>163</v>
      </c>
      <c r="FN1" t="s">
        <v>164</v>
      </c>
      <c r="FO1" t="s">
        <v>165</v>
      </c>
      <c r="FP1" t="s">
        <v>166</v>
      </c>
      <c r="FQ1" t="s">
        <v>167</v>
      </c>
      <c r="FR1" t="s">
        <v>168</v>
      </c>
      <c r="FS1" t="s">
        <v>169</v>
      </c>
      <c r="FT1" t="s">
        <v>170</v>
      </c>
      <c r="FU1" t="s">
        <v>171</v>
      </c>
      <c r="FV1" t="s">
        <v>172</v>
      </c>
      <c r="FW1" t="s">
        <v>173</v>
      </c>
      <c r="FX1" t="s">
        <v>174</v>
      </c>
      <c r="FY1" t="s">
        <v>175</v>
      </c>
      <c r="FZ1" t="s">
        <v>176</v>
      </c>
      <c r="GA1" t="s">
        <v>177</v>
      </c>
      <c r="GB1" t="s">
        <v>178</v>
      </c>
      <c r="GC1" t="s">
        <v>179</v>
      </c>
      <c r="GD1" t="s">
        <v>180</v>
      </c>
      <c r="GE1" t="s">
        <v>181</v>
      </c>
      <c r="GF1" t="s">
        <v>182</v>
      </c>
      <c r="GG1" t="s">
        <v>183</v>
      </c>
      <c r="GH1" t="s">
        <v>184</v>
      </c>
      <c r="GI1" t="s">
        <v>185</v>
      </c>
      <c r="GJ1" t="s">
        <v>500</v>
      </c>
      <c r="GK1" t="s">
        <v>469</v>
      </c>
      <c r="GL1" t="s">
        <v>470</v>
      </c>
      <c r="GM1" t="s">
        <v>471</v>
      </c>
      <c r="GN1" t="s">
        <v>472</v>
      </c>
      <c r="GO1" t="s">
        <v>473</v>
      </c>
      <c r="GP1" t="s">
        <v>474</v>
      </c>
      <c r="GQ1" t="s">
        <v>475</v>
      </c>
      <c r="GR1" t="s">
        <v>476</v>
      </c>
      <c r="GS1" t="s">
        <v>477</v>
      </c>
      <c r="GT1" t="s">
        <v>478</v>
      </c>
      <c r="GU1" t="s">
        <v>479</v>
      </c>
      <c r="GV1" t="s">
        <v>480</v>
      </c>
      <c r="GW1" t="s">
        <v>481</v>
      </c>
      <c r="GX1" t="s">
        <v>482</v>
      </c>
      <c r="GY1" t="s">
        <v>483</v>
      </c>
      <c r="GZ1" t="s">
        <v>484</v>
      </c>
      <c r="HA1" t="s">
        <v>485</v>
      </c>
      <c r="HB1" t="s">
        <v>486</v>
      </c>
      <c r="HC1" t="s">
        <v>488</v>
      </c>
      <c r="HD1" t="s">
        <v>489</v>
      </c>
      <c r="HE1" t="s">
        <v>490</v>
      </c>
      <c r="HF1" t="s">
        <v>487</v>
      </c>
      <c r="HG1" t="s">
        <v>501</v>
      </c>
      <c r="HH1" t="s">
        <v>491</v>
      </c>
      <c r="HI1" t="s">
        <v>492</v>
      </c>
      <c r="HJ1" t="s">
        <v>493</v>
      </c>
      <c r="HK1" t="s">
        <v>494</v>
      </c>
      <c r="HL1" t="s">
        <v>502</v>
      </c>
      <c r="HM1" t="s">
        <v>503</v>
      </c>
      <c r="HN1" t="s">
        <v>504</v>
      </c>
      <c r="HO1" t="s">
        <v>505</v>
      </c>
      <c r="HP1" t="s">
        <v>506</v>
      </c>
      <c r="HQ1" t="s">
        <v>507</v>
      </c>
      <c r="HR1" t="s">
        <v>508</v>
      </c>
      <c r="HS1" t="s">
        <v>509</v>
      </c>
      <c r="HT1" t="s">
        <v>510</v>
      </c>
      <c r="HU1" t="s">
        <v>511</v>
      </c>
      <c r="HV1" t="s">
        <v>512</v>
      </c>
      <c r="HW1" t="s">
        <v>513</v>
      </c>
      <c r="HX1" t="s">
        <v>514</v>
      </c>
      <c r="HY1" t="s">
        <v>515</v>
      </c>
      <c r="HZ1" t="s">
        <v>516</v>
      </c>
      <c r="IA1" t="s">
        <v>517</v>
      </c>
      <c r="IB1" t="s">
        <v>518</v>
      </c>
      <c r="IC1" t="s">
        <v>519</v>
      </c>
      <c r="ID1" t="s">
        <v>520</v>
      </c>
      <c r="IE1" t="s">
        <v>521</v>
      </c>
      <c r="IF1" t="s">
        <v>522</v>
      </c>
      <c r="IG1" t="s">
        <v>523</v>
      </c>
      <c r="IH1" t="s">
        <v>524</v>
      </c>
      <c r="II1" t="s">
        <v>525</v>
      </c>
      <c r="IJ1" t="s">
        <v>526</v>
      </c>
      <c r="IK1" t="s">
        <v>527</v>
      </c>
      <c r="IL1" t="s">
        <v>528</v>
      </c>
      <c r="IM1" t="s">
        <v>529</v>
      </c>
      <c r="IN1" t="s">
        <v>530</v>
      </c>
      <c r="IO1" t="s">
        <v>531</v>
      </c>
      <c r="IP1" t="s">
        <v>532</v>
      </c>
      <c r="IQ1" t="s">
        <v>533</v>
      </c>
      <c r="IR1" t="s">
        <v>534</v>
      </c>
      <c r="IS1" t="s">
        <v>535</v>
      </c>
      <c r="IT1" t="s">
        <v>536</v>
      </c>
      <c r="IU1" t="s">
        <v>537</v>
      </c>
      <c r="IV1" t="s">
        <v>538</v>
      </c>
      <c r="IW1" t="s">
        <v>539</v>
      </c>
      <c r="IX1" t="s">
        <v>540</v>
      </c>
      <c r="IY1" t="s">
        <v>541</v>
      </c>
      <c r="IZ1" t="s">
        <v>542</v>
      </c>
      <c r="JA1" t="s">
        <v>543</v>
      </c>
      <c r="JB1" t="s">
        <v>544</v>
      </c>
      <c r="JC1" t="s">
        <v>545</v>
      </c>
      <c r="JD1" t="s">
        <v>546</v>
      </c>
      <c r="JE1" t="s">
        <v>547</v>
      </c>
      <c r="JF1" t="s">
        <v>548</v>
      </c>
      <c r="JG1" t="s">
        <v>549</v>
      </c>
      <c r="JH1" t="s">
        <v>550</v>
      </c>
      <c r="JI1" t="s">
        <v>551</v>
      </c>
      <c r="JJ1" t="s">
        <v>552</v>
      </c>
      <c r="JK1" t="s">
        <v>553</v>
      </c>
      <c r="JL1" t="s">
        <v>554</v>
      </c>
      <c r="JM1" t="s">
        <v>555</v>
      </c>
      <c r="JN1" t="s">
        <v>556</v>
      </c>
      <c r="JO1" t="s">
        <v>557</v>
      </c>
      <c r="JP1" t="s">
        <v>558</v>
      </c>
      <c r="JQ1" t="s">
        <v>559</v>
      </c>
      <c r="JR1" t="s">
        <v>560</v>
      </c>
      <c r="JS1" t="s">
        <v>561</v>
      </c>
      <c r="JT1" t="s">
        <v>562</v>
      </c>
      <c r="JU1" t="s">
        <v>563</v>
      </c>
      <c r="JV1" t="s">
        <v>564</v>
      </c>
      <c r="JW1" t="s">
        <v>565</v>
      </c>
      <c r="JX1" t="s">
        <v>566</v>
      </c>
      <c r="JY1" t="s">
        <v>567</v>
      </c>
      <c r="JZ1" t="s">
        <v>568</v>
      </c>
      <c r="KA1" t="s">
        <v>569</v>
      </c>
      <c r="KB1" t="s">
        <v>570</v>
      </c>
      <c r="KC1" t="s">
        <v>571</v>
      </c>
      <c r="KD1" t="s">
        <v>572</v>
      </c>
      <c r="KE1" t="s">
        <v>573</v>
      </c>
      <c r="KF1" t="s">
        <v>574</v>
      </c>
      <c r="KG1" t="s">
        <v>575</v>
      </c>
      <c r="KH1" t="s">
        <v>576</v>
      </c>
      <c r="KI1" t="s">
        <v>577</v>
      </c>
      <c r="KJ1" t="s">
        <v>578</v>
      </c>
      <c r="KK1" t="s">
        <v>579</v>
      </c>
      <c r="KL1" t="s">
        <v>580</v>
      </c>
      <c r="KM1" t="s">
        <v>581</v>
      </c>
      <c r="KN1" t="s">
        <v>582</v>
      </c>
      <c r="KO1" t="s">
        <v>583</v>
      </c>
      <c r="KP1" t="s">
        <v>584</v>
      </c>
      <c r="KQ1" t="s">
        <v>585</v>
      </c>
      <c r="KR1" t="s">
        <v>586</v>
      </c>
      <c r="KS1" t="s">
        <v>587</v>
      </c>
      <c r="KT1" t="s">
        <v>588</v>
      </c>
      <c r="KU1" t="s">
        <v>589</v>
      </c>
      <c r="KV1" t="s">
        <v>590</v>
      </c>
      <c r="KW1" t="s">
        <v>591</v>
      </c>
      <c r="KX1" t="s">
        <v>592</v>
      </c>
      <c r="KY1" t="s">
        <v>593</v>
      </c>
      <c r="KZ1" t="s">
        <v>594</v>
      </c>
      <c r="LA1" t="s">
        <v>595</v>
      </c>
      <c r="LB1" t="s">
        <v>596</v>
      </c>
      <c r="LC1" t="s">
        <v>597</v>
      </c>
      <c r="LD1" t="s">
        <v>598</v>
      </c>
      <c r="LE1" t="s">
        <v>599</v>
      </c>
      <c r="LF1" t="s">
        <v>600</v>
      </c>
      <c r="LG1" t="s">
        <v>601</v>
      </c>
      <c r="LH1" t="s">
        <v>602</v>
      </c>
      <c r="LI1" t="s">
        <v>603</v>
      </c>
      <c r="LJ1" t="s">
        <v>604</v>
      </c>
      <c r="LK1" t="s">
        <v>605</v>
      </c>
      <c r="LL1" t="s">
        <v>606</v>
      </c>
      <c r="LM1" t="s">
        <v>607</v>
      </c>
      <c r="LN1" t="s">
        <v>608</v>
      </c>
      <c r="LO1" t="s">
        <v>609</v>
      </c>
      <c r="LP1" t="s">
        <v>610</v>
      </c>
      <c r="LQ1" t="s">
        <v>611</v>
      </c>
      <c r="LR1" t="s">
        <v>612</v>
      </c>
      <c r="LS1" t="s">
        <v>613</v>
      </c>
      <c r="LT1" t="s">
        <v>614</v>
      </c>
      <c r="LU1" t="s">
        <v>615</v>
      </c>
      <c r="LV1" t="s">
        <v>616</v>
      </c>
      <c r="LW1" t="s">
        <v>617</v>
      </c>
      <c r="LX1" t="s">
        <v>618</v>
      </c>
      <c r="LY1" t="s">
        <v>619</v>
      </c>
      <c r="LZ1" t="s">
        <v>620</v>
      </c>
      <c r="MA1" t="s">
        <v>621</v>
      </c>
      <c r="MB1" t="s">
        <v>622</v>
      </c>
      <c r="MC1" t="s">
        <v>623</v>
      </c>
      <c r="MD1" t="s">
        <v>624</v>
      </c>
      <c r="ME1" t="s">
        <v>625</v>
      </c>
      <c r="MF1" t="s">
        <v>626</v>
      </c>
      <c r="MG1" t="s">
        <v>627</v>
      </c>
      <c r="MH1" t="s">
        <v>628</v>
      </c>
      <c r="MI1" t="s">
        <v>629</v>
      </c>
      <c r="MJ1" t="s">
        <v>630</v>
      </c>
      <c r="MK1" t="s">
        <v>631</v>
      </c>
      <c r="ML1" t="s">
        <v>632</v>
      </c>
      <c r="MM1" t="s">
        <v>633</v>
      </c>
      <c r="MN1" t="s">
        <v>634</v>
      </c>
      <c r="MO1" t="s">
        <v>635</v>
      </c>
      <c r="MP1" t="s">
        <v>636</v>
      </c>
      <c r="MQ1" t="s">
        <v>637</v>
      </c>
      <c r="MR1" t="s">
        <v>638</v>
      </c>
      <c r="MS1" t="s">
        <v>639</v>
      </c>
      <c r="MT1" t="s">
        <v>640</v>
      </c>
      <c r="MU1" t="s">
        <v>641</v>
      </c>
      <c r="MV1" t="s">
        <v>642</v>
      </c>
      <c r="MW1" t="s">
        <v>643</v>
      </c>
      <c r="MX1" t="s">
        <v>644</v>
      </c>
      <c r="MY1" t="s">
        <v>645</v>
      </c>
      <c r="MZ1" t="s">
        <v>646</v>
      </c>
      <c r="NA1" t="s">
        <v>647</v>
      </c>
      <c r="NB1" t="s">
        <v>648</v>
      </c>
      <c r="NC1" t="s">
        <v>649</v>
      </c>
      <c r="ND1" t="s">
        <v>650</v>
      </c>
      <c r="NE1" t="s">
        <v>651</v>
      </c>
      <c r="NF1" t="s">
        <v>652</v>
      </c>
      <c r="NG1" t="s">
        <v>653</v>
      </c>
      <c r="NH1" t="s">
        <v>654</v>
      </c>
      <c r="NI1" t="s">
        <v>655</v>
      </c>
      <c r="NJ1" t="s">
        <v>656</v>
      </c>
      <c r="NK1" t="s">
        <v>657</v>
      </c>
      <c r="NL1" t="s">
        <v>658</v>
      </c>
      <c r="NM1" t="s">
        <v>659</v>
      </c>
      <c r="NN1" t="s">
        <v>660</v>
      </c>
      <c r="NO1" t="s">
        <v>661</v>
      </c>
      <c r="NP1" t="s">
        <v>662</v>
      </c>
      <c r="NQ1" t="s">
        <v>663</v>
      </c>
      <c r="NR1" t="s">
        <v>664</v>
      </c>
      <c r="NS1" t="s">
        <v>665</v>
      </c>
      <c r="NT1" t="s">
        <v>666</v>
      </c>
      <c r="NU1" t="s">
        <v>667</v>
      </c>
      <c r="NV1" t="s">
        <v>668</v>
      </c>
      <c r="NW1" t="s">
        <v>669</v>
      </c>
      <c r="NX1" t="s">
        <v>670</v>
      </c>
      <c r="NY1" t="s">
        <v>671</v>
      </c>
      <c r="NZ1" t="s">
        <v>672</v>
      </c>
      <c r="OA1" t="s">
        <v>673</v>
      </c>
      <c r="OB1" t="s">
        <v>674</v>
      </c>
      <c r="OC1" t="s">
        <v>675</v>
      </c>
      <c r="OD1" t="s">
        <v>676</v>
      </c>
      <c r="OE1" t="s">
        <v>677</v>
      </c>
      <c r="OF1" t="s">
        <v>678</v>
      </c>
      <c r="OG1" t="s">
        <v>679</v>
      </c>
      <c r="OH1" t="s">
        <v>680</v>
      </c>
      <c r="OI1" t="s">
        <v>681</v>
      </c>
      <c r="OJ1" t="s">
        <v>682</v>
      </c>
      <c r="OK1" t="s">
        <v>683</v>
      </c>
      <c r="OL1" t="s">
        <v>684</v>
      </c>
      <c r="OM1" t="s">
        <v>685</v>
      </c>
      <c r="ON1" t="s">
        <v>686</v>
      </c>
      <c r="OO1" t="s">
        <v>687</v>
      </c>
      <c r="OP1" t="s">
        <v>688</v>
      </c>
      <c r="OQ1" t="s">
        <v>689</v>
      </c>
      <c r="OR1" t="s">
        <v>690</v>
      </c>
      <c r="OS1" t="s">
        <v>691</v>
      </c>
      <c r="OT1" t="s">
        <v>692</v>
      </c>
      <c r="OU1" t="s">
        <v>693</v>
      </c>
      <c r="OV1" t="s">
        <v>694</v>
      </c>
      <c r="OW1" t="s">
        <v>695</v>
      </c>
      <c r="OX1" t="s">
        <v>696</v>
      </c>
      <c r="OY1" t="s">
        <v>697</v>
      </c>
      <c r="OZ1" t="s">
        <v>698</v>
      </c>
      <c r="PA1" t="s">
        <v>699</v>
      </c>
      <c r="PB1" t="s">
        <v>700</v>
      </c>
      <c r="PC1" t="s">
        <v>701</v>
      </c>
      <c r="PD1" t="s">
        <v>702</v>
      </c>
      <c r="PE1" t="s">
        <v>703</v>
      </c>
      <c r="PF1" t="s">
        <v>704</v>
      </c>
      <c r="PG1" t="s">
        <v>705</v>
      </c>
      <c r="PH1" t="s">
        <v>706</v>
      </c>
      <c r="PI1" t="s">
        <v>707</v>
      </c>
      <c r="PJ1" t="s">
        <v>708</v>
      </c>
      <c r="PK1" t="s">
        <v>709</v>
      </c>
      <c r="PL1" t="s">
        <v>710</v>
      </c>
      <c r="PM1" t="s">
        <v>711</v>
      </c>
      <c r="PN1" t="s">
        <v>712</v>
      </c>
      <c r="PO1" t="s">
        <v>713</v>
      </c>
      <c r="PP1" t="s">
        <v>714</v>
      </c>
      <c r="PQ1" t="s">
        <v>715</v>
      </c>
      <c r="PR1" t="s">
        <v>716</v>
      </c>
      <c r="PS1" t="s">
        <v>717</v>
      </c>
      <c r="PT1" t="s">
        <v>718</v>
      </c>
      <c r="PU1" t="s">
        <v>719</v>
      </c>
      <c r="PV1" t="s">
        <v>720</v>
      </c>
      <c r="PW1" t="s">
        <v>721</v>
      </c>
      <c r="PX1" t="s">
        <v>722</v>
      </c>
      <c r="PY1" t="s">
        <v>723</v>
      </c>
      <c r="PZ1" t="s">
        <v>724</v>
      </c>
      <c r="QA1" t="s">
        <v>725</v>
      </c>
      <c r="QB1" t="s">
        <v>726</v>
      </c>
      <c r="QC1" t="s">
        <v>727</v>
      </c>
      <c r="QD1" t="s">
        <v>728</v>
      </c>
      <c r="QE1" t="s">
        <v>729</v>
      </c>
      <c r="QF1" t="s">
        <v>730</v>
      </c>
      <c r="QG1" t="s">
        <v>731</v>
      </c>
      <c r="QH1" t="s">
        <v>732</v>
      </c>
      <c r="QI1" t="s">
        <v>733</v>
      </c>
      <c r="QJ1" t="s">
        <v>734</v>
      </c>
      <c r="QK1" t="s">
        <v>735</v>
      </c>
      <c r="QL1" t="s">
        <v>736</v>
      </c>
      <c r="QM1" t="s">
        <v>737</v>
      </c>
      <c r="QN1" t="s">
        <v>738</v>
      </c>
      <c r="QO1" t="s">
        <v>739</v>
      </c>
      <c r="QP1" t="s">
        <v>740</v>
      </c>
      <c r="QQ1" t="s">
        <v>741</v>
      </c>
      <c r="QR1" t="s">
        <v>742</v>
      </c>
      <c r="QS1" t="s">
        <v>743</v>
      </c>
      <c r="QT1" t="s">
        <v>744</v>
      </c>
      <c r="QU1" t="s">
        <v>745</v>
      </c>
      <c r="QV1" t="s">
        <v>746</v>
      </c>
      <c r="QW1" t="s">
        <v>747</v>
      </c>
      <c r="QX1" t="s">
        <v>748</v>
      </c>
      <c r="QY1" t="s">
        <v>749</v>
      </c>
      <c r="QZ1" t="s">
        <v>750</v>
      </c>
      <c r="RA1" t="s">
        <v>751</v>
      </c>
      <c r="RB1" t="s">
        <v>752</v>
      </c>
      <c r="RC1" t="s">
        <v>753</v>
      </c>
      <c r="RD1" t="s">
        <v>754</v>
      </c>
      <c r="RE1" t="s">
        <v>755</v>
      </c>
      <c r="RF1" t="s">
        <v>756</v>
      </c>
      <c r="RG1" t="s">
        <v>757</v>
      </c>
      <c r="RH1" t="s">
        <v>758</v>
      </c>
      <c r="RI1" t="s">
        <v>759</v>
      </c>
      <c r="RJ1" t="s">
        <v>760</v>
      </c>
      <c r="RK1" t="s">
        <v>761</v>
      </c>
      <c r="RL1" t="s">
        <v>762</v>
      </c>
      <c r="RM1" t="s">
        <v>763</v>
      </c>
      <c r="RN1" t="s">
        <v>764</v>
      </c>
      <c r="RO1" t="s">
        <v>765</v>
      </c>
      <c r="RP1" t="s">
        <v>766</v>
      </c>
      <c r="RQ1" t="s">
        <v>767</v>
      </c>
      <c r="RR1" t="s">
        <v>768</v>
      </c>
      <c r="RS1" t="s">
        <v>769</v>
      </c>
      <c r="RT1" t="s">
        <v>770</v>
      </c>
      <c r="RU1" t="s">
        <v>771</v>
      </c>
      <c r="RV1" t="s">
        <v>772</v>
      </c>
      <c r="RW1" t="s">
        <v>773</v>
      </c>
      <c r="RX1" t="s">
        <v>774</v>
      </c>
      <c r="RY1" t="s">
        <v>775</v>
      </c>
      <c r="RZ1" t="s">
        <v>776</v>
      </c>
      <c r="SA1" t="s">
        <v>777</v>
      </c>
      <c r="SB1" t="s">
        <v>778</v>
      </c>
      <c r="SC1" t="s">
        <v>779</v>
      </c>
      <c r="SD1" t="s">
        <v>780</v>
      </c>
      <c r="SE1" t="s">
        <v>781</v>
      </c>
      <c r="SF1" t="s">
        <v>782</v>
      </c>
      <c r="SG1" t="s">
        <v>783</v>
      </c>
      <c r="SH1" t="s">
        <v>784</v>
      </c>
      <c r="SI1" t="s">
        <v>785</v>
      </c>
      <c r="SJ1" t="s">
        <v>786</v>
      </c>
      <c r="SK1" t="s">
        <v>787</v>
      </c>
      <c r="SL1" t="s">
        <v>788</v>
      </c>
      <c r="SM1" t="s">
        <v>789</v>
      </c>
      <c r="SN1" t="s">
        <v>790</v>
      </c>
      <c r="SO1" t="s">
        <v>791</v>
      </c>
      <c r="SP1" t="s">
        <v>792</v>
      </c>
      <c r="SQ1" t="s">
        <v>793</v>
      </c>
      <c r="SR1" t="s">
        <v>794</v>
      </c>
      <c r="SS1" t="s">
        <v>795</v>
      </c>
      <c r="ST1" t="s">
        <v>796</v>
      </c>
      <c r="SU1" t="s">
        <v>797</v>
      </c>
      <c r="SV1" t="s">
        <v>798</v>
      </c>
      <c r="SW1" t="s">
        <v>799</v>
      </c>
      <c r="SX1" t="s">
        <v>800</v>
      </c>
      <c r="SY1" t="s">
        <v>801</v>
      </c>
      <c r="SZ1" t="s">
        <v>802</v>
      </c>
      <c r="TA1" t="s">
        <v>803</v>
      </c>
      <c r="TB1" t="s">
        <v>804</v>
      </c>
      <c r="TC1" t="s">
        <v>805</v>
      </c>
      <c r="TD1" t="s">
        <v>806</v>
      </c>
      <c r="TE1" t="s">
        <v>807</v>
      </c>
      <c r="TF1" t="s">
        <v>808</v>
      </c>
      <c r="TG1" t="s">
        <v>809</v>
      </c>
      <c r="TH1" t="s">
        <v>810</v>
      </c>
      <c r="TI1" t="s">
        <v>811</v>
      </c>
      <c r="TJ1" t="s">
        <v>812</v>
      </c>
      <c r="TK1" t="s">
        <v>813</v>
      </c>
      <c r="TL1" t="s">
        <v>814</v>
      </c>
      <c r="TM1" t="s">
        <v>815</v>
      </c>
      <c r="TN1" t="s">
        <v>816</v>
      </c>
      <c r="TO1" t="s">
        <v>817</v>
      </c>
      <c r="TP1" t="s">
        <v>818</v>
      </c>
      <c r="TQ1" t="s">
        <v>819</v>
      </c>
      <c r="TR1" t="s">
        <v>820</v>
      </c>
      <c r="TS1" t="s">
        <v>821</v>
      </c>
      <c r="TT1" t="s">
        <v>822</v>
      </c>
      <c r="TU1" t="s">
        <v>823</v>
      </c>
      <c r="TV1" t="s">
        <v>824</v>
      </c>
      <c r="TW1" t="s">
        <v>825</v>
      </c>
      <c r="TX1" t="s">
        <v>826</v>
      </c>
      <c r="TY1" t="s">
        <v>827</v>
      </c>
      <c r="TZ1" t="s">
        <v>828</v>
      </c>
      <c r="UA1" t="s">
        <v>829</v>
      </c>
      <c r="UB1" t="s">
        <v>830</v>
      </c>
      <c r="UC1" t="s">
        <v>831</v>
      </c>
      <c r="UD1" t="s">
        <v>832</v>
      </c>
      <c r="UE1" t="s">
        <v>833</v>
      </c>
      <c r="UF1" t="s">
        <v>834</v>
      </c>
      <c r="UG1" t="s">
        <v>835</v>
      </c>
      <c r="UH1" t="s">
        <v>836</v>
      </c>
      <c r="UI1" t="s">
        <v>837</v>
      </c>
      <c r="UJ1" t="s">
        <v>838</v>
      </c>
      <c r="UK1" t="s">
        <v>839</v>
      </c>
      <c r="UL1" t="s">
        <v>840</v>
      </c>
      <c r="UM1" t="s">
        <v>841</v>
      </c>
      <c r="UN1" t="s">
        <v>842</v>
      </c>
      <c r="UO1" t="s">
        <v>843</v>
      </c>
      <c r="UP1" t="s">
        <v>844</v>
      </c>
      <c r="UQ1" t="s">
        <v>845</v>
      </c>
      <c r="UR1" t="s">
        <v>846</v>
      </c>
      <c r="US1" t="s">
        <v>847</v>
      </c>
      <c r="UT1" t="s">
        <v>848</v>
      </c>
      <c r="UU1" t="s">
        <v>849</v>
      </c>
      <c r="UV1" t="s">
        <v>850</v>
      </c>
      <c r="UW1" t="s">
        <v>851</v>
      </c>
      <c r="UX1" t="s">
        <v>852</v>
      </c>
      <c r="UY1" t="s">
        <v>853</v>
      </c>
      <c r="UZ1" t="s">
        <v>854</v>
      </c>
      <c r="VA1" t="s">
        <v>855</v>
      </c>
      <c r="VB1" t="s">
        <v>856</v>
      </c>
      <c r="VC1" t="s">
        <v>857</v>
      </c>
      <c r="VD1" t="s">
        <v>858</v>
      </c>
      <c r="VE1" t="s">
        <v>859</v>
      </c>
      <c r="VF1" t="s">
        <v>860</v>
      </c>
      <c r="VG1" t="s">
        <v>861</v>
      </c>
      <c r="VH1" t="s">
        <v>862</v>
      </c>
      <c r="VI1" t="s">
        <v>863</v>
      </c>
      <c r="VJ1" t="s">
        <v>864</v>
      </c>
      <c r="VK1" t="s">
        <v>865</v>
      </c>
      <c r="VL1" t="s">
        <v>866</v>
      </c>
      <c r="VM1" t="s">
        <v>867</v>
      </c>
      <c r="VN1" t="s">
        <v>868</v>
      </c>
      <c r="VO1" t="s">
        <v>869</v>
      </c>
      <c r="VP1" t="s">
        <v>870</v>
      </c>
      <c r="VQ1" t="s">
        <v>871</v>
      </c>
      <c r="VR1" t="s">
        <v>872</v>
      </c>
      <c r="VS1" t="s">
        <v>873</v>
      </c>
      <c r="VT1" t="s">
        <v>874</v>
      </c>
      <c r="VU1" t="s">
        <v>875</v>
      </c>
      <c r="VV1" t="s">
        <v>876</v>
      </c>
      <c r="VW1" t="s">
        <v>877</v>
      </c>
      <c r="VX1" t="s">
        <v>878</v>
      </c>
      <c r="VY1" t="s">
        <v>879</v>
      </c>
      <c r="VZ1" t="s">
        <v>880</v>
      </c>
      <c r="WA1" t="s">
        <v>881</v>
      </c>
      <c r="WB1" t="s">
        <v>882</v>
      </c>
      <c r="WC1" t="s">
        <v>883</v>
      </c>
      <c r="WD1" t="s">
        <v>884</v>
      </c>
      <c r="WE1" t="s">
        <v>885</v>
      </c>
      <c r="WF1" t="s">
        <v>886</v>
      </c>
      <c r="WG1" t="s">
        <v>887</v>
      </c>
      <c r="WH1" t="s">
        <v>888</v>
      </c>
      <c r="WI1" t="s">
        <v>889</v>
      </c>
      <c r="WJ1" t="s">
        <v>890</v>
      </c>
      <c r="WK1" t="s">
        <v>891</v>
      </c>
      <c r="WL1" t="s">
        <v>892</v>
      </c>
      <c r="WM1" t="s">
        <v>893</v>
      </c>
      <c r="WN1" t="s">
        <v>894</v>
      </c>
      <c r="WO1" t="s">
        <v>895</v>
      </c>
      <c r="WP1" t="s">
        <v>896</v>
      </c>
      <c r="WQ1" t="s">
        <v>897</v>
      </c>
      <c r="WR1" t="s">
        <v>898</v>
      </c>
      <c r="WS1" t="s">
        <v>899</v>
      </c>
      <c r="WT1" t="s">
        <v>900</v>
      </c>
      <c r="WU1" t="s">
        <v>901</v>
      </c>
      <c r="WV1" t="s">
        <v>902</v>
      </c>
      <c r="WW1" t="s">
        <v>903</v>
      </c>
      <c r="WX1" t="s">
        <v>904</v>
      </c>
      <c r="WY1" t="s">
        <v>905</v>
      </c>
      <c r="WZ1" t="s">
        <v>906</v>
      </c>
      <c r="XA1" t="s">
        <v>907</v>
      </c>
      <c r="XB1" t="s">
        <v>908</v>
      </c>
      <c r="XC1" t="s">
        <v>909</v>
      </c>
      <c r="XD1" t="s">
        <v>910</v>
      </c>
      <c r="XE1" t="s">
        <v>911</v>
      </c>
      <c r="XF1" t="s">
        <v>912</v>
      </c>
      <c r="XG1" t="s">
        <v>913</v>
      </c>
      <c r="XH1" t="s">
        <v>914</v>
      </c>
      <c r="XI1" t="s">
        <v>915</v>
      </c>
      <c r="XJ1" t="s">
        <v>916</v>
      </c>
      <c r="XK1" t="s">
        <v>917</v>
      </c>
      <c r="XL1" t="s">
        <v>918</v>
      </c>
      <c r="XM1" t="s">
        <v>919</v>
      </c>
      <c r="XN1" t="s">
        <v>920</v>
      </c>
      <c r="XO1" t="s">
        <v>921</v>
      </c>
      <c r="XP1" t="s">
        <v>922</v>
      </c>
      <c r="XQ1" t="s">
        <v>923</v>
      </c>
      <c r="XR1" t="s">
        <v>924</v>
      </c>
      <c r="XS1" t="s">
        <v>925</v>
      </c>
      <c r="XT1" t="s">
        <v>926</v>
      </c>
      <c r="XU1" t="s">
        <v>927</v>
      </c>
      <c r="XV1" t="s">
        <v>928</v>
      </c>
      <c r="XW1" t="s">
        <v>929</v>
      </c>
      <c r="XX1" t="s">
        <v>930</v>
      </c>
      <c r="XY1" t="s">
        <v>931</v>
      </c>
      <c r="XZ1" t="s">
        <v>932</v>
      </c>
      <c r="YA1" t="s">
        <v>933</v>
      </c>
      <c r="YB1" t="s">
        <v>934</v>
      </c>
      <c r="YC1" t="s">
        <v>935</v>
      </c>
      <c r="YD1" t="s">
        <v>936</v>
      </c>
      <c r="YE1" t="s">
        <v>937</v>
      </c>
      <c r="YF1" t="s">
        <v>938</v>
      </c>
      <c r="YG1" t="s">
        <v>939</v>
      </c>
      <c r="YH1" t="s">
        <v>940</v>
      </c>
      <c r="YI1" t="s">
        <v>941</v>
      </c>
      <c r="YJ1" t="s">
        <v>942</v>
      </c>
      <c r="YK1" t="s">
        <v>943</v>
      </c>
      <c r="YL1" t="s">
        <v>944</v>
      </c>
      <c r="YM1" t="s">
        <v>945</v>
      </c>
      <c r="YN1" t="s">
        <v>946</v>
      </c>
      <c r="YO1" t="s">
        <v>947</v>
      </c>
      <c r="YP1" t="s">
        <v>948</v>
      </c>
      <c r="YQ1" t="s">
        <v>949</v>
      </c>
      <c r="YR1" t="s">
        <v>950</v>
      </c>
      <c r="YS1" t="s">
        <v>951</v>
      </c>
      <c r="YT1" t="s">
        <v>952</v>
      </c>
      <c r="YU1" t="s">
        <v>953</v>
      </c>
      <c r="YV1" t="s">
        <v>954</v>
      </c>
      <c r="YW1" t="s">
        <v>955</v>
      </c>
      <c r="YX1" t="s">
        <v>956</v>
      </c>
      <c r="YY1" t="s">
        <v>957</v>
      </c>
      <c r="YZ1" t="s">
        <v>958</v>
      </c>
      <c r="ZA1" t="s">
        <v>959</v>
      </c>
      <c r="ZB1" t="s">
        <v>960</v>
      </c>
      <c r="ZC1" t="s">
        <v>961</v>
      </c>
      <c r="ZD1" t="s">
        <v>962</v>
      </c>
      <c r="ZE1" t="s">
        <v>963</v>
      </c>
      <c r="ZF1" t="s">
        <v>964</v>
      </c>
      <c r="ZG1" t="s">
        <v>965</v>
      </c>
      <c r="ZH1" t="s">
        <v>966</v>
      </c>
      <c r="ZI1" t="s">
        <v>967</v>
      </c>
      <c r="ZJ1" t="s">
        <v>968</v>
      </c>
      <c r="ZK1" t="s">
        <v>969</v>
      </c>
      <c r="ZL1" t="s">
        <v>970</v>
      </c>
      <c r="ZM1" t="s">
        <v>971</v>
      </c>
      <c r="ZN1" t="s">
        <v>972</v>
      </c>
      <c r="ZO1" t="s">
        <v>973</v>
      </c>
      <c r="ZP1" t="s">
        <v>974</v>
      </c>
      <c r="ZQ1" t="s">
        <v>975</v>
      </c>
      <c r="ZR1" t="s">
        <v>976</v>
      </c>
      <c r="ZS1" t="s">
        <v>977</v>
      </c>
      <c r="ZT1" t="s">
        <v>978</v>
      </c>
      <c r="ZU1" t="s">
        <v>979</v>
      </c>
      <c r="ZV1" t="s">
        <v>980</v>
      </c>
      <c r="ZW1" t="s">
        <v>981</v>
      </c>
      <c r="ZX1" t="s">
        <v>982</v>
      </c>
      <c r="ZY1" t="s">
        <v>983</v>
      </c>
      <c r="ZZ1" t="s">
        <v>984</v>
      </c>
      <c r="AAA1" t="s">
        <v>985</v>
      </c>
      <c r="AAB1" t="s">
        <v>986</v>
      </c>
      <c r="AAC1" t="s">
        <v>987</v>
      </c>
      <c r="AAD1" t="s">
        <v>988</v>
      </c>
      <c r="AAE1" t="s">
        <v>989</v>
      </c>
      <c r="AAF1" t="s">
        <v>990</v>
      </c>
      <c r="AAG1" t="s">
        <v>991</v>
      </c>
      <c r="AAH1" t="s">
        <v>992</v>
      </c>
      <c r="AAI1" t="s">
        <v>993</v>
      </c>
      <c r="AAJ1" t="s">
        <v>994</v>
      </c>
      <c r="AAK1" t="s">
        <v>995</v>
      </c>
      <c r="AAL1" t="s">
        <v>996</v>
      </c>
      <c r="AAM1" t="s">
        <v>997</v>
      </c>
      <c r="AAN1" t="s">
        <v>998</v>
      </c>
      <c r="AAO1" t="s">
        <v>999</v>
      </c>
      <c r="AAP1" t="s">
        <v>1000</v>
      </c>
      <c r="AAQ1" t="s">
        <v>1001</v>
      </c>
      <c r="AAR1" t="s">
        <v>1002</v>
      </c>
      <c r="AAS1" t="s">
        <v>1003</v>
      </c>
      <c r="AAT1" t="s">
        <v>1004</v>
      </c>
      <c r="AAU1" t="s">
        <v>1005</v>
      </c>
      <c r="AAV1" t="s">
        <v>1006</v>
      </c>
      <c r="AAW1" t="s">
        <v>1007</v>
      </c>
      <c r="AAX1" t="s">
        <v>1008</v>
      </c>
      <c r="AAY1" t="s">
        <v>1009</v>
      </c>
      <c r="AAZ1" t="s">
        <v>1010</v>
      </c>
      <c r="ABA1" t="s">
        <v>1011</v>
      </c>
      <c r="ABB1" t="s">
        <v>1012</v>
      </c>
      <c r="ABC1" t="s">
        <v>1013</v>
      </c>
      <c r="ABD1" t="s">
        <v>1014</v>
      </c>
      <c r="ABE1" t="s">
        <v>1015</v>
      </c>
      <c r="ABF1" t="s">
        <v>1016</v>
      </c>
      <c r="ABG1" t="s">
        <v>1018</v>
      </c>
      <c r="ABH1" t="s">
        <v>1019</v>
      </c>
      <c r="ABI1" t="s">
        <v>1020</v>
      </c>
      <c r="ABJ1" t="s">
        <v>1021</v>
      </c>
      <c r="ABK1" t="s">
        <v>1022</v>
      </c>
      <c r="ABL1" t="s">
        <v>1023</v>
      </c>
      <c r="ABM1" t="s">
        <v>1024</v>
      </c>
      <c r="ABN1" t="s">
        <v>1025</v>
      </c>
      <c r="ABO1" t="s">
        <v>1026</v>
      </c>
      <c r="ABP1" t="s">
        <v>1027</v>
      </c>
      <c r="ABQ1" t="s">
        <v>1028</v>
      </c>
      <c r="ABR1" t="s">
        <v>1029</v>
      </c>
      <c r="ABS1" t="s">
        <v>1030</v>
      </c>
      <c r="ABT1" t="s">
        <v>1031</v>
      </c>
      <c r="ABU1" t="s">
        <v>1032</v>
      </c>
      <c r="ABV1" t="s">
        <v>1033</v>
      </c>
      <c r="ABW1" t="s">
        <v>1034</v>
      </c>
      <c r="ABX1" t="s">
        <v>1035</v>
      </c>
      <c r="ABY1" t="s">
        <v>1036</v>
      </c>
      <c r="ABZ1" t="s">
        <v>1037</v>
      </c>
      <c r="ACA1" t="s">
        <v>1038</v>
      </c>
      <c r="ACB1" t="s">
        <v>1039</v>
      </c>
      <c r="ACC1" t="s">
        <v>1040</v>
      </c>
      <c r="ACD1" t="s">
        <v>1041</v>
      </c>
      <c r="ACE1" t="s">
        <v>1042</v>
      </c>
      <c r="ACF1" t="s">
        <v>1043</v>
      </c>
      <c r="ACG1" t="s">
        <v>1044</v>
      </c>
      <c r="ACH1" t="s">
        <v>1045</v>
      </c>
      <c r="ACI1" t="s">
        <v>1046</v>
      </c>
      <c r="ACJ1" t="s">
        <v>1047</v>
      </c>
      <c r="ACK1" t="s">
        <v>1048</v>
      </c>
      <c r="ACL1" t="s">
        <v>1049</v>
      </c>
      <c r="ACM1" t="s">
        <v>1050</v>
      </c>
      <c r="ACN1" t="s">
        <v>1051</v>
      </c>
      <c r="ACO1" t="s">
        <v>1052</v>
      </c>
      <c r="ACP1" t="s">
        <v>1053</v>
      </c>
      <c r="ACQ1" t="s">
        <v>1054</v>
      </c>
      <c r="ACR1" t="s">
        <v>1055</v>
      </c>
      <c r="ACS1" t="s">
        <v>1056</v>
      </c>
      <c r="ACT1" t="s">
        <v>1057</v>
      </c>
      <c r="ACU1" t="s">
        <v>1058</v>
      </c>
      <c r="ACV1" t="s">
        <v>1059</v>
      </c>
      <c r="ACW1" t="s">
        <v>1060</v>
      </c>
      <c r="ACX1" t="s">
        <v>1061</v>
      </c>
      <c r="ACY1" t="s">
        <v>1062</v>
      </c>
      <c r="ACZ1" t="s">
        <v>1063</v>
      </c>
      <c r="ADA1" t="s">
        <v>1064</v>
      </c>
      <c r="ADB1" t="s">
        <v>1065</v>
      </c>
      <c r="ADC1" t="s">
        <v>1066</v>
      </c>
      <c r="ADD1" t="s">
        <v>1067</v>
      </c>
      <c r="ADE1" t="s">
        <v>1068</v>
      </c>
      <c r="ADF1" t="s">
        <v>1069</v>
      </c>
      <c r="ADG1" t="s">
        <v>1070</v>
      </c>
      <c r="ADH1" t="s">
        <v>1071</v>
      </c>
      <c r="ADI1" t="s">
        <v>1072</v>
      </c>
      <c r="ADJ1" t="s">
        <v>1073</v>
      </c>
      <c r="ADK1" t="s">
        <v>1074</v>
      </c>
      <c r="ADL1" t="s">
        <v>1075</v>
      </c>
      <c r="ADM1" t="s">
        <v>1076</v>
      </c>
      <c r="ADN1" t="s">
        <v>1077</v>
      </c>
      <c r="ADO1" t="s">
        <v>1078</v>
      </c>
      <c r="ADP1" t="s">
        <v>1079</v>
      </c>
      <c r="ADQ1" t="s">
        <v>1080</v>
      </c>
      <c r="ADR1" t="s">
        <v>1081</v>
      </c>
      <c r="ADS1" t="s">
        <v>1082</v>
      </c>
      <c r="ADT1" t="s">
        <v>1083</v>
      </c>
      <c r="ADU1" t="s">
        <v>1084</v>
      </c>
      <c r="ADV1" t="s">
        <v>1085</v>
      </c>
      <c r="ADW1" t="s">
        <v>1086</v>
      </c>
      <c r="ADX1" t="s">
        <v>1087</v>
      </c>
      <c r="ADY1" t="s">
        <v>1088</v>
      </c>
      <c r="ADZ1" t="s">
        <v>1089</v>
      </c>
      <c r="AEA1" t="s">
        <v>1090</v>
      </c>
      <c r="AEB1" t="s">
        <v>1091</v>
      </c>
      <c r="AEC1" t="s">
        <v>1092</v>
      </c>
      <c r="AED1" t="s">
        <v>1094</v>
      </c>
      <c r="AEE1" t="s">
        <v>1093</v>
      </c>
      <c r="AEF1" t="s">
        <v>1017</v>
      </c>
      <c r="AEG1" t="s">
        <v>1095</v>
      </c>
      <c r="AEH1" t="s">
        <v>1096</v>
      </c>
      <c r="AEI1" t="s">
        <v>1097</v>
      </c>
      <c r="AEJ1" t="s">
        <v>1098</v>
      </c>
      <c r="AEK1" t="s">
        <v>1099</v>
      </c>
      <c r="AEL1" t="s">
        <v>1100</v>
      </c>
      <c r="AEM1" t="s">
        <v>1101</v>
      </c>
      <c r="AEN1" t="s">
        <v>1102</v>
      </c>
      <c r="AEO1" t="s">
        <v>1103</v>
      </c>
      <c r="AEP1" t="s">
        <v>1104</v>
      </c>
      <c r="AEQ1" t="s">
        <v>1105</v>
      </c>
      <c r="AER1" t="s">
        <v>1106</v>
      </c>
      <c r="AES1" t="s">
        <v>1107</v>
      </c>
      <c r="AET1" t="s">
        <v>1108</v>
      </c>
      <c r="AEU1" t="s">
        <v>1109</v>
      </c>
      <c r="AEV1" t="s">
        <v>1110</v>
      </c>
      <c r="AEW1" t="s">
        <v>1111</v>
      </c>
      <c r="AEX1" t="s">
        <v>1112</v>
      </c>
      <c r="AEY1" t="s">
        <v>1113</v>
      </c>
      <c r="AEZ1" t="s">
        <v>1114</v>
      </c>
      <c r="AFA1" t="s">
        <v>1115</v>
      </c>
      <c r="AFB1" t="s">
        <v>1116</v>
      </c>
      <c r="AFC1" t="s">
        <v>1117</v>
      </c>
      <c r="AFD1" t="s">
        <v>1118</v>
      </c>
      <c r="AFE1" t="s">
        <v>1119</v>
      </c>
      <c r="AFF1" t="s">
        <v>1120</v>
      </c>
      <c r="AFG1" t="s">
        <v>1121</v>
      </c>
      <c r="AFH1" t="s">
        <v>1122</v>
      </c>
      <c r="AFI1" t="s">
        <v>1123</v>
      </c>
      <c r="AFJ1" t="s">
        <v>1124</v>
      </c>
      <c r="AFK1" t="s">
        <v>1125</v>
      </c>
      <c r="AFL1" t="s">
        <v>1126</v>
      </c>
      <c r="AFM1" t="s">
        <v>1127</v>
      </c>
      <c r="AFN1" t="s">
        <v>1128</v>
      </c>
      <c r="AFO1" t="s">
        <v>1129</v>
      </c>
      <c r="AFP1" t="s">
        <v>1130</v>
      </c>
      <c r="AFQ1" t="s">
        <v>1131</v>
      </c>
      <c r="AFR1" t="s">
        <v>1132</v>
      </c>
      <c r="AFS1" t="s">
        <v>1133</v>
      </c>
      <c r="AFT1" t="s">
        <v>1134</v>
      </c>
      <c r="AFU1" t="s">
        <v>1135</v>
      </c>
      <c r="AFV1" t="s">
        <v>1136</v>
      </c>
      <c r="AFW1" t="s">
        <v>1137</v>
      </c>
      <c r="AFX1" t="s">
        <v>1138</v>
      </c>
      <c r="AFY1" t="s">
        <v>1139</v>
      </c>
      <c r="AFZ1" t="s">
        <v>1140</v>
      </c>
      <c r="AGA1" t="s">
        <v>1141</v>
      </c>
      <c r="AGB1" t="s">
        <v>1142</v>
      </c>
      <c r="AGC1" t="s">
        <v>1143</v>
      </c>
      <c r="AGD1" t="s">
        <v>1144</v>
      </c>
      <c r="AGE1" t="s">
        <v>1145</v>
      </c>
      <c r="AGF1" t="s">
        <v>1146</v>
      </c>
      <c r="AGG1" t="s">
        <v>1147</v>
      </c>
      <c r="AGH1" t="s">
        <v>1148</v>
      </c>
      <c r="AGI1" t="s">
        <v>1149</v>
      </c>
      <c r="AGJ1" t="s">
        <v>1150</v>
      </c>
      <c r="AGK1" t="s">
        <v>1151</v>
      </c>
      <c r="AGL1" t="s">
        <v>1152</v>
      </c>
      <c r="AGM1" t="s">
        <v>1153</v>
      </c>
      <c r="AGN1" t="s">
        <v>1154</v>
      </c>
      <c r="AGO1" t="s">
        <v>1155</v>
      </c>
      <c r="AGP1" t="s">
        <v>1156</v>
      </c>
      <c r="AGQ1" t="s">
        <v>1157</v>
      </c>
      <c r="AGR1" t="s">
        <v>1158</v>
      </c>
      <c r="AGS1" t="s">
        <v>1159</v>
      </c>
      <c r="AGT1" t="s">
        <v>1160</v>
      </c>
      <c r="AGU1" t="s">
        <v>1161</v>
      </c>
      <c r="AGV1" t="s">
        <v>1162</v>
      </c>
      <c r="AGW1" t="s">
        <v>1163</v>
      </c>
      <c r="AGX1" t="s">
        <v>1164</v>
      </c>
      <c r="AGY1" t="s">
        <v>1165</v>
      </c>
      <c r="AGZ1" t="s">
        <v>1166</v>
      </c>
      <c r="AHA1" t="s">
        <v>1167</v>
      </c>
      <c r="AHB1" t="s">
        <v>1168</v>
      </c>
      <c r="AHC1" t="s">
        <v>1169</v>
      </c>
      <c r="AHD1" t="s">
        <v>188</v>
      </c>
      <c r="AHE1" t="s">
        <v>189</v>
      </c>
      <c r="AHF1" t="s">
        <v>190</v>
      </c>
      <c r="AHG1" t="s">
        <v>191</v>
      </c>
      <c r="AHH1" t="s">
        <v>192</v>
      </c>
      <c r="AHI1" t="s">
        <v>193</v>
      </c>
      <c r="AHJ1" t="s">
        <v>194</v>
      </c>
      <c r="AHK1" t="s">
        <v>195</v>
      </c>
      <c r="AHL1" t="s">
        <v>196</v>
      </c>
      <c r="AHM1" t="s">
        <v>197</v>
      </c>
      <c r="AHN1" t="s">
        <v>198</v>
      </c>
      <c r="AHO1" t="s">
        <v>199</v>
      </c>
      <c r="AHP1" t="s">
        <v>200</v>
      </c>
      <c r="AHQ1" t="s">
        <v>201</v>
      </c>
      <c r="AHR1" t="s">
        <v>202</v>
      </c>
      <c r="AHS1" t="s">
        <v>203</v>
      </c>
      <c r="AHT1" t="s">
        <v>204</v>
      </c>
      <c r="AHU1" t="s">
        <v>186</v>
      </c>
    </row>
    <row r="2" spans="1:905">
      <c r="A2">
        <v>117</v>
      </c>
      <c r="B2" t="s">
        <v>205</v>
      </c>
      <c r="C2" t="s">
        <v>206</v>
      </c>
      <c r="D2">
        <v>2</v>
      </c>
      <c r="E2">
        <v>2</v>
      </c>
      <c r="F2">
        <v>54</v>
      </c>
      <c r="G2">
        <v>71</v>
      </c>
      <c r="H2">
        <v>210</v>
      </c>
      <c r="I2">
        <v>0</v>
      </c>
      <c r="J2">
        <v>5</v>
      </c>
      <c r="L2" t="s">
        <v>207</v>
      </c>
      <c r="M2">
        <v>2</v>
      </c>
      <c r="N2" s="1">
        <v>45467.729861111111</v>
      </c>
      <c r="O2">
        <v>8</v>
      </c>
      <c r="P2">
        <v>0</v>
      </c>
      <c r="R2">
        <v>0</v>
      </c>
      <c r="S2">
        <v>1</v>
      </c>
      <c r="T2">
        <v>0</v>
      </c>
      <c r="U2">
        <v>0</v>
      </c>
      <c r="V2">
        <v>0</v>
      </c>
      <c r="W2">
        <v>0</v>
      </c>
      <c r="X2">
        <v>0</v>
      </c>
      <c r="Y2">
        <v>0</v>
      </c>
      <c r="Z2">
        <v>0</v>
      </c>
      <c r="AA2">
        <v>0</v>
      </c>
      <c r="AB2">
        <v>0</v>
      </c>
      <c r="AC2" t="s">
        <v>208</v>
      </c>
      <c r="AD2">
        <v>2</v>
      </c>
      <c r="AE2" s="1">
        <v>45467.731249999997</v>
      </c>
      <c r="AF2">
        <v>4</v>
      </c>
      <c r="AG2">
        <v>1</v>
      </c>
      <c r="AH2">
        <v>4</v>
      </c>
      <c r="AI2">
        <v>1</v>
      </c>
      <c r="AJ2">
        <v>1</v>
      </c>
      <c r="AK2">
        <v>3</v>
      </c>
      <c r="AL2">
        <v>3</v>
      </c>
      <c r="AM2">
        <v>2</v>
      </c>
      <c r="AN2">
        <v>1</v>
      </c>
      <c r="AO2">
        <v>3</v>
      </c>
      <c r="AP2">
        <v>1</v>
      </c>
      <c r="AQ2">
        <v>1</v>
      </c>
      <c r="AR2">
        <v>4</v>
      </c>
      <c r="AS2">
        <v>3</v>
      </c>
      <c r="AT2">
        <v>1</v>
      </c>
      <c r="AU2">
        <v>4</v>
      </c>
      <c r="AV2">
        <v>1</v>
      </c>
      <c r="AW2">
        <v>1</v>
      </c>
      <c r="AX2">
        <v>4</v>
      </c>
      <c r="AY2">
        <v>1</v>
      </c>
      <c r="AZ2">
        <v>25</v>
      </c>
      <c r="BA2">
        <v>2</v>
      </c>
      <c r="BB2" s="1">
        <v>45467.734027777777</v>
      </c>
      <c r="BC2">
        <v>12</v>
      </c>
      <c r="BD2">
        <v>3</v>
      </c>
      <c r="BE2">
        <v>6</v>
      </c>
      <c r="BG2" t="s">
        <v>209</v>
      </c>
      <c r="BI2" s="2">
        <v>41183</v>
      </c>
      <c r="BJ2">
        <v>4</v>
      </c>
      <c r="BK2">
        <v>1</v>
      </c>
      <c r="BL2">
        <v>5</v>
      </c>
      <c r="BM2">
        <v>25</v>
      </c>
      <c r="BN2">
        <v>5</v>
      </c>
      <c r="BO2">
        <v>1</v>
      </c>
      <c r="BP2">
        <v>1</v>
      </c>
      <c r="BQ2">
        <v>0</v>
      </c>
      <c r="BR2">
        <v>0</v>
      </c>
      <c r="BS2">
        <v>0</v>
      </c>
      <c r="BT2">
        <v>0</v>
      </c>
      <c r="BU2">
        <v>0</v>
      </c>
      <c r="BV2">
        <v>0</v>
      </c>
      <c r="BW2">
        <v>0</v>
      </c>
      <c r="BY2">
        <v>2</v>
      </c>
      <c r="BZ2" s="1">
        <v>45467.734722222223</v>
      </c>
      <c r="CA2">
        <v>4</v>
      </c>
      <c r="CB2">
        <v>2</v>
      </c>
      <c r="CC2">
        <v>3</v>
      </c>
      <c r="CD2">
        <v>2</v>
      </c>
      <c r="CE2">
        <v>4</v>
      </c>
      <c r="CF2">
        <v>3</v>
      </c>
      <c r="CG2">
        <v>2</v>
      </c>
      <c r="CH2">
        <v>4</v>
      </c>
      <c r="CI2">
        <v>3</v>
      </c>
      <c r="CJ2">
        <v>2</v>
      </c>
      <c r="CK2">
        <v>1</v>
      </c>
      <c r="CL2">
        <v>4</v>
      </c>
      <c r="CM2">
        <v>2</v>
      </c>
      <c r="CN2">
        <v>2</v>
      </c>
      <c r="CO2">
        <v>3</v>
      </c>
      <c r="CP2">
        <v>1</v>
      </c>
      <c r="CQ2">
        <v>2</v>
      </c>
      <c r="CR2">
        <v>4</v>
      </c>
      <c r="CS2">
        <v>4</v>
      </c>
      <c r="CT2">
        <v>3</v>
      </c>
      <c r="CU2">
        <v>10</v>
      </c>
      <c r="CV2">
        <v>9</v>
      </c>
      <c r="CW2">
        <v>19</v>
      </c>
      <c r="CX2">
        <v>38</v>
      </c>
      <c r="CY2">
        <v>15</v>
      </c>
      <c r="CZ2">
        <v>2</v>
      </c>
      <c r="DA2" s="1">
        <v>45467.736111111109</v>
      </c>
      <c r="DB2">
        <v>1</v>
      </c>
      <c r="DC2">
        <v>0</v>
      </c>
      <c r="DD2">
        <v>0</v>
      </c>
      <c r="DE2">
        <v>0</v>
      </c>
      <c r="DF2">
        <v>0</v>
      </c>
      <c r="DG2">
        <v>0</v>
      </c>
      <c r="DH2">
        <v>1</v>
      </c>
      <c r="DI2">
        <v>0</v>
      </c>
      <c r="DJ2">
        <v>0</v>
      </c>
      <c r="DK2">
        <v>0</v>
      </c>
      <c r="DL2">
        <v>1</v>
      </c>
      <c r="DM2">
        <v>0</v>
      </c>
      <c r="DN2">
        <v>0</v>
      </c>
      <c r="DO2">
        <v>0</v>
      </c>
      <c r="DP2">
        <v>0</v>
      </c>
      <c r="DQ2">
        <v>0</v>
      </c>
      <c r="DR2">
        <v>0</v>
      </c>
      <c r="DS2">
        <v>0</v>
      </c>
      <c r="DT2">
        <v>0</v>
      </c>
      <c r="DU2">
        <v>1</v>
      </c>
      <c r="DV2">
        <v>0</v>
      </c>
      <c r="DW2">
        <v>0</v>
      </c>
      <c r="DX2">
        <v>0</v>
      </c>
      <c r="DY2">
        <v>0</v>
      </c>
      <c r="DZ2">
        <v>1</v>
      </c>
      <c r="EA2">
        <v>0</v>
      </c>
      <c r="EB2">
        <v>0</v>
      </c>
      <c r="EC2">
        <v>0</v>
      </c>
      <c r="ED2">
        <v>0</v>
      </c>
      <c r="EE2">
        <v>1</v>
      </c>
      <c r="EF2">
        <v>0</v>
      </c>
      <c r="EG2">
        <v>0</v>
      </c>
      <c r="EH2">
        <v>0</v>
      </c>
      <c r="EI2">
        <v>0</v>
      </c>
      <c r="EJ2">
        <v>1</v>
      </c>
      <c r="EK2">
        <v>0</v>
      </c>
      <c r="EL2">
        <v>0</v>
      </c>
      <c r="EM2">
        <v>0</v>
      </c>
      <c r="EN2">
        <v>0</v>
      </c>
      <c r="EO2">
        <v>1</v>
      </c>
      <c r="EP2">
        <v>1</v>
      </c>
      <c r="EQ2">
        <v>0</v>
      </c>
      <c r="ER2">
        <v>0</v>
      </c>
      <c r="ES2">
        <v>0</v>
      </c>
      <c r="ET2">
        <v>0</v>
      </c>
      <c r="EU2">
        <v>0</v>
      </c>
      <c r="EV2">
        <v>0</v>
      </c>
      <c r="EW2">
        <v>1</v>
      </c>
      <c r="EX2">
        <v>0</v>
      </c>
      <c r="EY2">
        <v>0</v>
      </c>
      <c r="EZ2">
        <v>0</v>
      </c>
      <c r="FA2">
        <v>0</v>
      </c>
      <c r="FB2">
        <v>0</v>
      </c>
      <c r="FC2">
        <v>0</v>
      </c>
      <c r="FD2">
        <v>1</v>
      </c>
      <c r="FE2">
        <v>0</v>
      </c>
      <c r="FF2">
        <v>1</v>
      </c>
      <c r="FG2">
        <v>0</v>
      </c>
      <c r="FH2">
        <v>0</v>
      </c>
      <c r="FI2">
        <v>0</v>
      </c>
      <c r="FJ2">
        <v>0</v>
      </c>
      <c r="FK2">
        <v>1</v>
      </c>
      <c r="FL2">
        <v>0</v>
      </c>
      <c r="FM2">
        <v>0</v>
      </c>
      <c r="FN2">
        <v>0</v>
      </c>
      <c r="FO2">
        <v>0</v>
      </c>
      <c r="FP2">
        <v>0</v>
      </c>
      <c r="FQ2">
        <v>1</v>
      </c>
      <c r="FR2">
        <v>0</v>
      </c>
      <c r="FS2">
        <v>0</v>
      </c>
      <c r="FT2">
        <v>0</v>
      </c>
      <c r="FU2">
        <v>1</v>
      </c>
      <c r="FV2">
        <v>0</v>
      </c>
      <c r="FW2">
        <v>0</v>
      </c>
      <c r="FX2">
        <v>0</v>
      </c>
      <c r="FY2">
        <v>0</v>
      </c>
      <c r="FZ2">
        <v>0</v>
      </c>
      <c r="GA2">
        <v>0</v>
      </c>
      <c r="GB2">
        <v>0</v>
      </c>
      <c r="GC2">
        <v>1</v>
      </c>
      <c r="GD2">
        <v>0</v>
      </c>
      <c r="GE2">
        <v>0</v>
      </c>
      <c r="GF2">
        <v>1</v>
      </c>
      <c r="GG2">
        <v>0</v>
      </c>
      <c r="GH2">
        <v>0</v>
      </c>
      <c r="GI2">
        <v>2</v>
      </c>
      <c r="GJ2" s="1">
        <v>45467.736111111109</v>
      </c>
      <c r="GK2">
        <v>0</v>
      </c>
      <c r="HF2">
        <v>2</v>
      </c>
      <c r="HG2" s="1">
        <v>45467.736805555556</v>
      </c>
      <c r="HH2">
        <v>8</v>
      </c>
      <c r="HI2">
        <v>7</v>
      </c>
      <c r="HJ2">
        <v>13</v>
      </c>
      <c r="HK2">
        <v>2</v>
      </c>
      <c r="HL2" s="1">
        <v>45468.700694444444</v>
      </c>
      <c r="HM2">
        <v>0</v>
      </c>
      <c r="HN2">
        <v>0</v>
      </c>
      <c r="HO2">
        <v>0</v>
      </c>
      <c r="HP2">
        <v>0</v>
      </c>
      <c r="HQ2">
        <v>0</v>
      </c>
      <c r="HR2">
        <v>0</v>
      </c>
      <c r="HS2">
        <v>0</v>
      </c>
      <c r="HT2">
        <v>0</v>
      </c>
      <c r="HU2">
        <v>0</v>
      </c>
      <c r="HV2">
        <v>0</v>
      </c>
      <c r="HW2">
        <v>0</v>
      </c>
      <c r="HX2">
        <v>1</v>
      </c>
      <c r="HY2">
        <v>0</v>
      </c>
      <c r="HZ2">
        <v>0</v>
      </c>
      <c r="IA2">
        <v>0</v>
      </c>
      <c r="IB2">
        <v>0</v>
      </c>
      <c r="IC2">
        <v>0</v>
      </c>
      <c r="ID2">
        <v>0</v>
      </c>
      <c r="IE2">
        <v>0</v>
      </c>
      <c r="IF2">
        <v>0</v>
      </c>
      <c r="IG2">
        <v>0</v>
      </c>
      <c r="IH2">
        <v>1</v>
      </c>
      <c r="II2">
        <v>2</v>
      </c>
      <c r="IJ2" s="1">
        <v>45468.701388888891</v>
      </c>
      <c r="IK2">
        <v>0</v>
      </c>
      <c r="IL2">
        <v>0</v>
      </c>
      <c r="IM2">
        <v>0</v>
      </c>
      <c r="IN2">
        <v>0</v>
      </c>
      <c r="IO2">
        <v>0</v>
      </c>
      <c r="IP2">
        <v>0</v>
      </c>
      <c r="IQ2">
        <v>0</v>
      </c>
      <c r="IR2">
        <v>0</v>
      </c>
      <c r="IS2">
        <v>0</v>
      </c>
      <c r="IT2">
        <v>0</v>
      </c>
      <c r="IU2">
        <v>0</v>
      </c>
      <c r="IV2">
        <v>0</v>
      </c>
      <c r="IW2">
        <v>0</v>
      </c>
      <c r="IX2">
        <v>0</v>
      </c>
      <c r="IY2">
        <v>0</v>
      </c>
      <c r="IZ2">
        <v>0</v>
      </c>
      <c r="JA2">
        <v>0</v>
      </c>
      <c r="JB2">
        <v>0</v>
      </c>
      <c r="JC2">
        <v>0</v>
      </c>
      <c r="JD2">
        <v>1</v>
      </c>
      <c r="JN2">
        <v>0</v>
      </c>
      <c r="JQ2">
        <v>2</v>
      </c>
      <c r="JR2" s="1">
        <v>45468.701388888891</v>
      </c>
      <c r="JS2">
        <v>0</v>
      </c>
      <c r="JT2">
        <v>0</v>
      </c>
      <c r="JU2">
        <v>0</v>
      </c>
      <c r="JV2">
        <v>0</v>
      </c>
      <c r="JW2">
        <v>2</v>
      </c>
      <c r="JX2" s="1">
        <v>45468.70208333333</v>
      </c>
      <c r="JY2">
        <v>47.3</v>
      </c>
      <c r="JZ2">
        <v>2.2999999999999998</v>
      </c>
      <c r="KI2">
        <v>2</v>
      </c>
      <c r="KJ2">
        <v>47.9</v>
      </c>
      <c r="KK2">
        <v>4</v>
      </c>
      <c r="KL2">
        <v>1</v>
      </c>
      <c r="UA2">
        <v>2</v>
      </c>
      <c r="UB2">
        <v>47.3</v>
      </c>
      <c r="UC2">
        <v>2.2999999999999998</v>
      </c>
      <c r="UD2">
        <v>4</v>
      </c>
      <c r="UQ2">
        <v>2</v>
      </c>
      <c r="UR2">
        <v>46.6</v>
      </c>
      <c r="US2">
        <v>2.6</v>
      </c>
      <c r="UT2">
        <v>3</v>
      </c>
      <c r="XG2">
        <v>1</v>
      </c>
      <c r="XH2">
        <v>45.3</v>
      </c>
      <c r="XI2">
        <v>3.2</v>
      </c>
      <c r="XJ2">
        <v>2</v>
      </c>
      <c r="YQ2">
        <v>2</v>
      </c>
      <c r="YR2" s="1">
        <v>45468.702777777777</v>
      </c>
      <c r="YS2">
        <v>3</v>
      </c>
      <c r="YT2">
        <v>1</v>
      </c>
      <c r="YU2">
        <v>1</v>
      </c>
      <c r="YV2">
        <v>3</v>
      </c>
      <c r="YW2">
        <v>4</v>
      </c>
      <c r="YX2">
        <v>1</v>
      </c>
      <c r="YY2">
        <v>1</v>
      </c>
      <c r="YZ2">
        <v>1</v>
      </c>
      <c r="ZA2">
        <v>3</v>
      </c>
      <c r="ZB2">
        <v>3</v>
      </c>
      <c r="ZC2">
        <v>1</v>
      </c>
      <c r="ZD2">
        <v>3</v>
      </c>
      <c r="ZE2">
        <v>1</v>
      </c>
      <c r="ZF2">
        <v>3</v>
      </c>
      <c r="ZG2">
        <v>1</v>
      </c>
      <c r="ZH2">
        <v>3</v>
      </c>
      <c r="ZI2">
        <v>3</v>
      </c>
      <c r="ZJ2">
        <v>1</v>
      </c>
      <c r="ZK2">
        <v>1</v>
      </c>
      <c r="ZL2">
        <v>1</v>
      </c>
      <c r="ZM2">
        <v>27</v>
      </c>
      <c r="ZN2">
        <v>12</v>
      </c>
      <c r="ZO2">
        <v>2</v>
      </c>
      <c r="ZP2" s="1">
        <v>45468.703472222223</v>
      </c>
      <c r="ZQ2">
        <v>0</v>
      </c>
      <c r="ZR2">
        <v>1</v>
      </c>
      <c r="ZS2">
        <v>0</v>
      </c>
      <c r="ZT2">
        <v>0</v>
      </c>
      <c r="ZU2">
        <v>1</v>
      </c>
      <c r="ZV2">
        <v>1</v>
      </c>
      <c r="ZW2">
        <v>0</v>
      </c>
      <c r="ZX2">
        <v>1</v>
      </c>
      <c r="ZY2">
        <v>0</v>
      </c>
      <c r="ZZ2">
        <v>0</v>
      </c>
      <c r="AAA2">
        <v>0</v>
      </c>
      <c r="AAB2">
        <v>0</v>
      </c>
      <c r="AAC2">
        <v>1</v>
      </c>
      <c r="AAD2">
        <v>0</v>
      </c>
      <c r="AAE2">
        <v>0</v>
      </c>
      <c r="AAF2">
        <v>1</v>
      </c>
      <c r="AAG2">
        <v>0</v>
      </c>
      <c r="AAH2">
        <v>0</v>
      </c>
      <c r="AAI2">
        <v>2</v>
      </c>
      <c r="AAJ2">
        <v>3</v>
      </c>
      <c r="AAK2">
        <v>1</v>
      </c>
      <c r="AAL2">
        <v>6</v>
      </c>
      <c r="AAM2">
        <v>2</v>
      </c>
      <c r="AAN2" s="1">
        <v>45468.703472222223</v>
      </c>
      <c r="AAO2">
        <v>0</v>
      </c>
      <c r="ABF2">
        <v>2</v>
      </c>
      <c r="ABG2" s="1">
        <v>45468.70416666667</v>
      </c>
      <c r="ABH2">
        <v>0</v>
      </c>
      <c r="ABI2">
        <v>0</v>
      </c>
      <c r="ABJ2">
        <v>0</v>
      </c>
      <c r="ABK2">
        <v>0</v>
      </c>
      <c r="ABL2">
        <v>0</v>
      </c>
      <c r="ABM2">
        <v>0</v>
      </c>
      <c r="ABN2">
        <v>0</v>
      </c>
      <c r="ABO2">
        <v>0</v>
      </c>
      <c r="ABP2">
        <v>0</v>
      </c>
      <c r="ABQ2">
        <v>0</v>
      </c>
      <c r="ABR2">
        <v>0</v>
      </c>
      <c r="ABS2">
        <v>0</v>
      </c>
      <c r="ABT2">
        <v>0</v>
      </c>
      <c r="ABU2">
        <v>0</v>
      </c>
      <c r="ABV2">
        <v>0</v>
      </c>
      <c r="ABW2">
        <v>0</v>
      </c>
      <c r="ABX2">
        <v>0</v>
      </c>
      <c r="ABY2">
        <v>0</v>
      </c>
      <c r="ABZ2">
        <v>0</v>
      </c>
      <c r="ACA2">
        <v>0</v>
      </c>
      <c r="ACB2">
        <v>0</v>
      </c>
      <c r="ACC2">
        <v>0</v>
      </c>
      <c r="ACD2">
        <v>0</v>
      </c>
      <c r="ACE2">
        <v>0</v>
      </c>
      <c r="ACF2">
        <v>0</v>
      </c>
      <c r="ACG2">
        <v>0</v>
      </c>
      <c r="ACH2">
        <v>0</v>
      </c>
      <c r="ACI2">
        <v>0</v>
      </c>
      <c r="ACJ2">
        <v>0</v>
      </c>
      <c r="ACK2">
        <v>0</v>
      </c>
      <c r="ACL2">
        <v>0</v>
      </c>
      <c r="ACM2">
        <v>0</v>
      </c>
      <c r="ACN2">
        <v>0</v>
      </c>
      <c r="ACO2">
        <v>0</v>
      </c>
      <c r="ACP2">
        <v>0</v>
      </c>
      <c r="ACQ2">
        <v>0</v>
      </c>
      <c r="ACR2">
        <v>0</v>
      </c>
      <c r="ACS2">
        <v>0</v>
      </c>
      <c r="ACT2">
        <v>0</v>
      </c>
      <c r="ACU2">
        <v>0</v>
      </c>
      <c r="ACV2">
        <v>0</v>
      </c>
      <c r="ACW2">
        <v>0</v>
      </c>
      <c r="ACX2">
        <v>0</v>
      </c>
      <c r="ACY2">
        <v>0</v>
      </c>
      <c r="ACZ2">
        <v>0</v>
      </c>
      <c r="ADA2">
        <v>0</v>
      </c>
      <c r="ADB2">
        <v>0</v>
      </c>
      <c r="ADC2">
        <v>0</v>
      </c>
      <c r="ADD2">
        <v>0</v>
      </c>
      <c r="ADE2">
        <v>0</v>
      </c>
      <c r="ADF2">
        <v>0</v>
      </c>
      <c r="ADG2">
        <v>0</v>
      </c>
      <c r="ADH2">
        <v>0</v>
      </c>
      <c r="ADI2">
        <v>0</v>
      </c>
      <c r="ADJ2">
        <v>0</v>
      </c>
      <c r="ADK2">
        <v>0</v>
      </c>
      <c r="ADL2">
        <v>0</v>
      </c>
      <c r="ADM2">
        <v>0</v>
      </c>
      <c r="ADN2">
        <v>0</v>
      </c>
      <c r="ADO2">
        <v>0</v>
      </c>
      <c r="ADP2">
        <v>0</v>
      </c>
      <c r="ADQ2">
        <v>0</v>
      </c>
      <c r="ADR2">
        <v>0</v>
      </c>
      <c r="ADS2">
        <v>0</v>
      </c>
      <c r="ADT2">
        <v>0</v>
      </c>
      <c r="ADU2">
        <v>0</v>
      </c>
      <c r="ADV2">
        <v>0</v>
      </c>
      <c r="ADW2">
        <v>0</v>
      </c>
      <c r="ADX2">
        <v>0</v>
      </c>
      <c r="ADY2">
        <v>0</v>
      </c>
      <c r="ADZ2">
        <v>0</v>
      </c>
      <c r="AEA2">
        <v>0</v>
      </c>
      <c r="AEB2">
        <v>1</v>
      </c>
      <c r="AEC2">
        <v>1</v>
      </c>
      <c r="AEE2">
        <v>2</v>
      </c>
      <c r="AEF2" s="1">
        <v>45468.704861111109</v>
      </c>
      <c r="AEG2">
        <v>1</v>
      </c>
      <c r="AEH2">
        <v>0</v>
      </c>
      <c r="AEI2">
        <v>1</v>
      </c>
      <c r="AEJ2">
        <v>2</v>
      </c>
      <c r="AEK2">
        <v>0</v>
      </c>
      <c r="AEL2">
        <v>0</v>
      </c>
      <c r="AEM2">
        <v>2</v>
      </c>
      <c r="AEN2">
        <v>1</v>
      </c>
      <c r="AEO2">
        <v>0</v>
      </c>
      <c r="AEP2">
        <v>0</v>
      </c>
      <c r="AEQ2">
        <v>0</v>
      </c>
      <c r="AER2">
        <v>0</v>
      </c>
      <c r="AES2">
        <v>1</v>
      </c>
      <c r="AET2">
        <v>1</v>
      </c>
      <c r="AEU2">
        <v>0</v>
      </c>
      <c r="AEV2">
        <v>0</v>
      </c>
      <c r="AEW2">
        <v>1</v>
      </c>
      <c r="AEX2">
        <v>0</v>
      </c>
      <c r="AEY2">
        <v>1</v>
      </c>
      <c r="AEZ2">
        <v>1</v>
      </c>
      <c r="AFA2">
        <v>1</v>
      </c>
      <c r="AFB2">
        <v>1</v>
      </c>
      <c r="AFC2">
        <v>1</v>
      </c>
      <c r="AFD2">
        <v>0</v>
      </c>
      <c r="AFE2">
        <v>0</v>
      </c>
      <c r="AFF2">
        <v>2</v>
      </c>
      <c r="AFG2">
        <v>1</v>
      </c>
      <c r="AFH2">
        <v>0</v>
      </c>
      <c r="AFI2">
        <v>0</v>
      </c>
      <c r="AFJ2">
        <v>0</v>
      </c>
      <c r="AFK2">
        <v>2</v>
      </c>
      <c r="AFL2">
        <v>4</v>
      </c>
      <c r="AFM2">
        <v>1</v>
      </c>
      <c r="AFN2">
        <v>5</v>
      </c>
      <c r="AFO2">
        <v>2</v>
      </c>
      <c r="AFP2">
        <v>4</v>
      </c>
      <c r="AFQ2">
        <v>10</v>
      </c>
      <c r="AFR2">
        <v>2</v>
      </c>
      <c r="AFS2" s="1">
        <v>45468.705555555556</v>
      </c>
      <c r="AFT2">
        <v>4</v>
      </c>
      <c r="AFU2">
        <v>4</v>
      </c>
      <c r="AFV2">
        <v>1</v>
      </c>
      <c r="AFW2">
        <v>1</v>
      </c>
      <c r="AFX2">
        <v>4</v>
      </c>
      <c r="AFY2">
        <v>1</v>
      </c>
      <c r="AFZ2">
        <v>1</v>
      </c>
      <c r="AGA2">
        <v>3</v>
      </c>
      <c r="AGB2">
        <v>1</v>
      </c>
      <c r="AGC2">
        <v>4</v>
      </c>
      <c r="AGD2">
        <v>4</v>
      </c>
      <c r="AGE2">
        <v>1</v>
      </c>
      <c r="AGF2">
        <v>1</v>
      </c>
      <c r="AGG2">
        <v>1</v>
      </c>
      <c r="AGH2">
        <v>4</v>
      </c>
      <c r="AGI2">
        <v>3</v>
      </c>
      <c r="AGJ2">
        <v>2</v>
      </c>
      <c r="AGK2">
        <v>1</v>
      </c>
      <c r="AGL2">
        <v>4</v>
      </c>
      <c r="AGM2">
        <v>3</v>
      </c>
      <c r="AGN2">
        <v>24</v>
      </c>
      <c r="AGO2">
        <v>2</v>
      </c>
      <c r="AGP2" s="1">
        <v>45468.705555555556</v>
      </c>
      <c r="AGQ2">
        <v>0</v>
      </c>
      <c r="AGV2">
        <v>0</v>
      </c>
      <c r="AGW2">
        <v>0</v>
      </c>
      <c r="AGX2">
        <v>0</v>
      </c>
      <c r="AGY2">
        <v>0</v>
      </c>
      <c r="AGZ2">
        <v>0</v>
      </c>
      <c r="AHB2">
        <v>2</v>
      </c>
      <c r="AHC2" s="1">
        <v>45468.707638888889</v>
      </c>
      <c r="AHD2" t="s">
        <v>212</v>
      </c>
      <c r="AHE2" t="s">
        <v>212</v>
      </c>
      <c r="AHF2">
        <v>7</v>
      </c>
      <c r="AHG2">
        <v>2</v>
      </c>
      <c r="AHH2">
        <v>6</v>
      </c>
      <c r="AHI2" t="s">
        <v>213</v>
      </c>
      <c r="AHJ2">
        <v>2012</v>
      </c>
      <c r="AHK2" t="s">
        <v>214</v>
      </c>
      <c r="AHL2" t="s">
        <v>210</v>
      </c>
      <c r="AHN2">
        <v>6</v>
      </c>
      <c r="AHO2">
        <v>1</v>
      </c>
      <c r="AHP2">
        <v>3</v>
      </c>
      <c r="AHQ2" t="s">
        <v>215</v>
      </c>
      <c r="AHR2" t="s">
        <v>216</v>
      </c>
      <c r="AHS2" t="s">
        <v>210</v>
      </c>
      <c r="AHU2" t="s">
        <v>211</v>
      </c>
    </row>
    <row r="3" spans="1:905">
      <c r="A3">
        <v>118</v>
      </c>
      <c r="B3" t="s">
        <v>205</v>
      </c>
      <c r="C3" t="s">
        <v>217</v>
      </c>
      <c r="D3">
        <v>2</v>
      </c>
      <c r="E3">
        <v>1</v>
      </c>
      <c r="F3">
        <v>44</v>
      </c>
      <c r="G3">
        <v>70</v>
      </c>
      <c r="H3">
        <v>186</v>
      </c>
      <c r="I3">
        <v>0</v>
      </c>
      <c r="J3">
        <v>3</v>
      </c>
      <c r="L3" t="s">
        <v>218</v>
      </c>
      <c r="M3">
        <v>2</v>
      </c>
      <c r="N3" s="1">
        <v>45469.472222222219</v>
      </c>
      <c r="O3">
        <v>7</v>
      </c>
      <c r="P3">
        <v>0</v>
      </c>
      <c r="R3">
        <v>1</v>
      </c>
      <c r="S3">
        <v>0</v>
      </c>
      <c r="T3">
        <v>0</v>
      </c>
      <c r="U3">
        <v>0</v>
      </c>
      <c r="V3">
        <v>0</v>
      </c>
      <c r="W3">
        <v>0</v>
      </c>
      <c r="X3">
        <v>0</v>
      </c>
      <c r="Y3">
        <v>0</v>
      </c>
      <c r="Z3">
        <v>0</v>
      </c>
      <c r="AA3">
        <v>0</v>
      </c>
      <c r="AB3">
        <v>0</v>
      </c>
      <c r="AC3" t="s">
        <v>208</v>
      </c>
      <c r="AD3">
        <v>2</v>
      </c>
      <c r="AE3" s="1">
        <v>45469.474999999999</v>
      </c>
      <c r="AF3">
        <v>4</v>
      </c>
      <c r="AG3">
        <v>2</v>
      </c>
      <c r="AH3">
        <v>4</v>
      </c>
      <c r="AI3">
        <v>1</v>
      </c>
      <c r="AJ3">
        <v>1</v>
      </c>
      <c r="AK3">
        <v>3</v>
      </c>
      <c r="AL3">
        <v>3</v>
      </c>
      <c r="AM3">
        <v>1</v>
      </c>
      <c r="AN3">
        <v>1</v>
      </c>
      <c r="AO3">
        <v>3</v>
      </c>
      <c r="AP3">
        <v>1</v>
      </c>
      <c r="AQ3">
        <v>2</v>
      </c>
      <c r="AR3">
        <v>3</v>
      </c>
      <c r="AS3">
        <v>2</v>
      </c>
      <c r="AT3">
        <v>1</v>
      </c>
      <c r="AU3">
        <v>4</v>
      </c>
      <c r="AV3">
        <v>1</v>
      </c>
      <c r="AW3">
        <v>1</v>
      </c>
      <c r="AX3">
        <v>4</v>
      </c>
      <c r="AY3">
        <v>1</v>
      </c>
      <c r="AZ3">
        <v>28</v>
      </c>
      <c r="BA3">
        <v>2</v>
      </c>
      <c r="BB3" s="1">
        <v>45469.476388888892</v>
      </c>
      <c r="BC3">
        <v>12</v>
      </c>
      <c r="BD3">
        <v>2</v>
      </c>
      <c r="BE3">
        <v>1</v>
      </c>
      <c r="BI3" s="2">
        <v>45457</v>
      </c>
      <c r="BM3">
        <v>42</v>
      </c>
      <c r="BN3">
        <v>4</v>
      </c>
      <c r="BO3">
        <v>3</v>
      </c>
      <c r="BP3">
        <v>1</v>
      </c>
      <c r="BQ3">
        <v>0</v>
      </c>
      <c r="BR3">
        <v>0</v>
      </c>
      <c r="BS3">
        <v>0</v>
      </c>
      <c r="BT3">
        <v>0</v>
      </c>
      <c r="BU3">
        <v>0</v>
      </c>
      <c r="BV3">
        <v>0</v>
      </c>
      <c r="BW3">
        <v>0</v>
      </c>
      <c r="BY3">
        <v>2</v>
      </c>
      <c r="BZ3" s="1">
        <v>45469.477777777778</v>
      </c>
      <c r="CA3">
        <v>4</v>
      </c>
      <c r="CB3">
        <v>3</v>
      </c>
      <c r="CC3">
        <v>2</v>
      </c>
      <c r="CD3">
        <v>2</v>
      </c>
      <c r="CE3">
        <v>3</v>
      </c>
      <c r="CF3">
        <v>3</v>
      </c>
      <c r="CG3">
        <v>3</v>
      </c>
      <c r="CH3">
        <v>4</v>
      </c>
      <c r="CI3">
        <v>2</v>
      </c>
      <c r="CJ3">
        <v>3</v>
      </c>
      <c r="CK3">
        <v>2</v>
      </c>
      <c r="CL3">
        <v>4</v>
      </c>
      <c r="CM3">
        <v>1</v>
      </c>
      <c r="CN3">
        <v>2</v>
      </c>
      <c r="CO3">
        <v>3</v>
      </c>
      <c r="CP3">
        <v>1</v>
      </c>
      <c r="CQ3">
        <v>1</v>
      </c>
      <c r="CR3">
        <v>2</v>
      </c>
      <c r="CS3">
        <v>3</v>
      </c>
      <c r="CT3">
        <v>4</v>
      </c>
      <c r="CU3">
        <v>8</v>
      </c>
      <c r="CV3">
        <v>8</v>
      </c>
      <c r="CW3">
        <v>19</v>
      </c>
      <c r="CX3">
        <v>35</v>
      </c>
      <c r="CY3">
        <v>21</v>
      </c>
      <c r="CZ3">
        <v>2</v>
      </c>
      <c r="DA3" s="1">
        <v>45469.479166666664</v>
      </c>
      <c r="DB3">
        <v>1</v>
      </c>
      <c r="DC3">
        <v>0</v>
      </c>
      <c r="DD3">
        <v>0</v>
      </c>
      <c r="DE3">
        <v>0</v>
      </c>
      <c r="DF3">
        <v>0</v>
      </c>
      <c r="DG3">
        <v>0</v>
      </c>
      <c r="DH3">
        <v>0</v>
      </c>
      <c r="DI3">
        <v>0</v>
      </c>
      <c r="DJ3">
        <v>0</v>
      </c>
      <c r="DK3">
        <v>1</v>
      </c>
      <c r="DL3">
        <v>1</v>
      </c>
      <c r="DM3">
        <v>0</v>
      </c>
      <c r="DN3">
        <v>0</v>
      </c>
      <c r="DO3">
        <v>0</v>
      </c>
      <c r="DP3">
        <v>0</v>
      </c>
      <c r="DQ3">
        <v>1</v>
      </c>
      <c r="DR3">
        <v>0</v>
      </c>
      <c r="DS3">
        <v>0</v>
      </c>
      <c r="DT3">
        <v>0</v>
      </c>
      <c r="DU3">
        <v>0</v>
      </c>
      <c r="DV3">
        <v>0</v>
      </c>
      <c r="DW3">
        <v>0</v>
      </c>
      <c r="DX3">
        <v>0</v>
      </c>
      <c r="DY3">
        <v>0</v>
      </c>
      <c r="DZ3">
        <v>1</v>
      </c>
      <c r="EA3">
        <v>0</v>
      </c>
      <c r="EB3">
        <v>0</v>
      </c>
      <c r="EC3">
        <v>0</v>
      </c>
      <c r="ED3">
        <v>0</v>
      </c>
      <c r="EE3">
        <v>1</v>
      </c>
      <c r="EF3">
        <v>0</v>
      </c>
      <c r="EG3">
        <v>0</v>
      </c>
      <c r="EH3">
        <v>0</v>
      </c>
      <c r="EI3">
        <v>0</v>
      </c>
      <c r="EJ3">
        <v>1</v>
      </c>
      <c r="EK3">
        <v>0</v>
      </c>
      <c r="EL3">
        <v>0</v>
      </c>
      <c r="EM3">
        <v>0</v>
      </c>
      <c r="EN3">
        <v>0</v>
      </c>
      <c r="EO3">
        <v>1</v>
      </c>
      <c r="EP3">
        <v>0</v>
      </c>
      <c r="EQ3">
        <v>0</v>
      </c>
      <c r="ER3">
        <v>0</v>
      </c>
      <c r="ES3">
        <v>0</v>
      </c>
      <c r="ET3">
        <v>1</v>
      </c>
      <c r="EU3">
        <v>0</v>
      </c>
      <c r="EV3">
        <v>0</v>
      </c>
      <c r="EW3">
        <v>0</v>
      </c>
      <c r="EX3">
        <v>0</v>
      </c>
      <c r="EY3">
        <v>1</v>
      </c>
      <c r="EZ3">
        <v>0</v>
      </c>
      <c r="FA3">
        <v>0</v>
      </c>
      <c r="FB3">
        <v>0</v>
      </c>
      <c r="FC3">
        <v>0</v>
      </c>
      <c r="FD3">
        <v>1</v>
      </c>
      <c r="FE3">
        <v>0</v>
      </c>
      <c r="FF3">
        <v>0</v>
      </c>
      <c r="FG3">
        <v>0</v>
      </c>
      <c r="FH3">
        <v>0</v>
      </c>
      <c r="FI3">
        <v>1</v>
      </c>
      <c r="FJ3">
        <v>0</v>
      </c>
      <c r="FK3">
        <v>0</v>
      </c>
      <c r="FL3">
        <v>0</v>
      </c>
      <c r="FM3">
        <v>0</v>
      </c>
      <c r="FN3">
        <v>1</v>
      </c>
      <c r="FO3">
        <v>0</v>
      </c>
      <c r="FP3">
        <v>0</v>
      </c>
      <c r="FQ3">
        <v>1</v>
      </c>
      <c r="FR3">
        <v>0</v>
      </c>
      <c r="FS3">
        <v>0</v>
      </c>
      <c r="FT3">
        <v>0</v>
      </c>
      <c r="FU3">
        <v>0</v>
      </c>
      <c r="FV3">
        <v>0</v>
      </c>
      <c r="FW3">
        <v>0</v>
      </c>
      <c r="FX3">
        <v>1</v>
      </c>
      <c r="FY3">
        <v>0</v>
      </c>
      <c r="FZ3">
        <v>0</v>
      </c>
      <c r="GA3">
        <v>0</v>
      </c>
      <c r="GB3">
        <v>0</v>
      </c>
      <c r="GC3">
        <v>1</v>
      </c>
      <c r="GD3">
        <v>0</v>
      </c>
      <c r="GE3">
        <v>0</v>
      </c>
      <c r="GF3">
        <v>0</v>
      </c>
      <c r="GG3">
        <v>0</v>
      </c>
      <c r="GH3">
        <v>1</v>
      </c>
      <c r="GI3">
        <v>2</v>
      </c>
      <c r="GJ3" s="1">
        <v>45469.479166666664</v>
      </c>
      <c r="GK3">
        <v>0</v>
      </c>
      <c r="HF3">
        <v>2</v>
      </c>
      <c r="HG3" s="1">
        <v>45469.479861111111</v>
      </c>
      <c r="HH3">
        <v>8</v>
      </c>
      <c r="HI3">
        <v>14</v>
      </c>
      <c r="HJ3">
        <v>11</v>
      </c>
      <c r="HK3">
        <v>2</v>
      </c>
      <c r="HL3" s="1">
        <v>45470.383333333331</v>
      </c>
      <c r="HM3">
        <v>0</v>
      </c>
      <c r="HN3">
        <v>0</v>
      </c>
      <c r="HO3">
        <v>0</v>
      </c>
      <c r="HP3">
        <v>0</v>
      </c>
      <c r="HQ3">
        <v>0</v>
      </c>
      <c r="HR3">
        <v>0</v>
      </c>
      <c r="HS3">
        <v>0</v>
      </c>
      <c r="HT3">
        <v>0</v>
      </c>
      <c r="HU3">
        <v>0</v>
      </c>
      <c r="HV3">
        <v>0</v>
      </c>
      <c r="HW3">
        <v>0</v>
      </c>
      <c r="HX3">
        <v>0</v>
      </c>
      <c r="HY3">
        <v>0</v>
      </c>
      <c r="HZ3">
        <v>0</v>
      </c>
      <c r="IA3">
        <v>0</v>
      </c>
      <c r="IB3">
        <v>0</v>
      </c>
      <c r="IC3">
        <v>0</v>
      </c>
      <c r="ID3">
        <v>0</v>
      </c>
      <c r="IE3">
        <v>0</v>
      </c>
      <c r="IF3">
        <v>0</v>
      </c>
      <c r="IG3">
        <v>0</v>
      </c>
      <c r="IH3">
        <v>0</v>
      </c>
      <c r="II3">
        <v>2</v>
      </c>
      <c r="IJ3" s="1">
        <v>45470.384027777778</v>
      </c>
      <c r="IK3">
        <v>0</v>
      </c>
      <c r="IL3">
        <v>0</v>
      </c>
      <c r="IM3">
        <v>0</v>
      </c>
      <c r="IN3">
        <v>0</v>
      </c>
      <c r="IO3">
        <v>0</v>
      </c>
      <c r="IP3">
        <v>0</v>
      </c>
      <c r="IQ3">
        <v>0</v>
      </c>
      <c r="IR3">
        <v>0</v>
      </c>
      <c r="IS3">
        <v>0</v>
      </c>
      <c r="IT3">
        <v>0</v>
      </c>
      <c r="IU3">
        <v>0</v>
      </c>
      <c r="IV3">
        <v>0</v>
      </c>
      <c r="IW3">
        <v>0</v>
      </c>
      <c r="IX3">
        <v>0</v>
      </c>
      <c r="IY3">
        <v>0</v>
      </c>
      <c r="IZ3">
        <v>0</v>
      </c>
      <c r="JA3">
        <v>0</v>
      </c>
      <c r="JB3">
        <v>0</v>
      </c>
      <c r="JC3">
        <v>0</v>
      </c>
      <c r="JD3">
        <v>1</v>
      </c>
      <c r="JN3">
        <v>0</v>
      </c>
      <c r="JQ3">
        <v>2</v>
      </c>
      <c r="JR3" s="1">
        <v>45470.384027777778</v>
      </c>
      <c r="JS3">
        <v>0</v>
      </c>
      <c r="JT3">
        <v>0</v>
      </c>
      <c r="JU3">
        <v>0</v>
      </c>
      <c r="JV3">
        <v>0</v>
      </c>
      <c r="JW3">
        <v>2</v>
      </c>
      <c r="JX3" s="1">
        <v>45470.384722222225</v>
      </c>
      <c r="JY3">
        <v>41</v>
      </c>
      <c r="JZ3">
        <v>2.6</v>
      </c>
      <c r="KI3">
        <v>1</v>
      </c>
      <c r="KJ3">
        <v>38.700000000000003</v>
      </c>
      <c r="KK3">
        <v>5.9</v>
      </c>
      <c r="KL3">
        <v>1</v>
      </c>
      <c r="TW3">
        <v>2</v>
      </c>
      <c r="TX3">
        <v>41</v>
      </c>
      <c r="TY3">
        <v>2.6</v>
      </c>
      <c r="TZ3">
        <v>4</v>
      </c>
      <c r="UM3">
        <v>1</v>
      </c>
      <c r="UN3">
        <v>39.799999999999997</v>
      </c>
      <c r="UO3">
        <v>3.1</v>
      </c>
      <c r="UP3">
        <v>3</v>
      </c>
      <c r="WQ3">
        <v>2</v>
      </c>
      <c r="WR3">
        <v>41.9</v>
      </c>
      <c r="WS3">
        <v>3.6</v>
      </c>
      <c r="WT3">
        <v>2</v>
      </c>
      <c r="YQ3">
        <v>2</v>
      </c>
      <c r="YR3" s="1">
        <v>45470.385416666664</v>
      </c>
      <c r="YS3">
        <v>5</v>
      </c>
      <c r="YT3">
        <v>2</v>
      </c>
      <c r="YU3">
        <v>4</v>
      </c>
      <c r="YV3">
        <v>2</v>
      </c>
      <c r="YW3">
        <v>3</v>
      </c>
      <c r="YX3">
        <v>1</v>
      </c>
      <c r="YY3">
        <v>1</v>
      </c>
      <c r="YZ3">
        <v>1</v>
      </c>
      <c r="ZA3">
        <v>4</v>
      </c>
      <c r="ZB3">
        <v>3</v>
      </c>
      <c r="ZC3">
        <v>1</v>
      </c>
      <c r="ZD3">
        <v>3</v>
      </c>
      <c r="ZE3">
        <v>1</v>
      </c>
      <c r="ZF3">
        <v>4</v>
      </c>
      <c r="ZG3">
        <v>1</v>
      </c>
      <c r="ZH3">
        <v>4</v>
      </c>
      <c r="ZI3">
        <v>4</v>
      </c>
      <c r="ZJ3">
        <v>1</v>
      </c>
      <c r="ZK3">
        <v>4</v>
      </c>
      <c r="ZL3">
        <v>1</v>
      </c>
      <c r="ZM3">
        <v>38</v>
      </c>
      <c r="ZN3">
        <v>12</v>
      </c>
      <c r="ZO3">
        <v>2</v>
      </c>
      <c r="ZP3" s="1">
        <v>45470.386111111111</v>
      </c>
      <c r="ZQ3">
        <v>0</v>
      </c>
      <c r="ZR3">
        <v>0</v>
      </c>
      <c r="ZS3">
        <v>0</v>
      </c>
      <c r="ZT3">
        <v>0</v>
      </c>
      <c r="ZU3">
        <v>0</v>
      </c>
      <c r="ZV3">
        <v>0</v>
      </c>
      <c r="ZW3">
        <v>0</v>
      </c>
      <c r="ZX3">
        <v>0</v>
      </c>
      <c r="ZY3">
        <v>0</v>
      </c>
      <c r="ZZ3">
        <v>0</v>
      </c>
      <c r="AAA3">
        <v>0</v>
      </c>
      <c r="AAB3">
        <v>0</v>
      </c>
      <c r="AAC3">
        <v>1</v>
      </c>
      <c r="AAD3">
        <v>0</v>
      </c>
      <c r="AAE3">
        <v>0</v>
      </c>
      <c r="AAF3">
        <v>0</v>
      </c>
      <c r="AAG3">
        <v>0</v>
      </c>
      <c r="AAH3">
        <v>0</v>
      </c>
      <c r="AAI3">
        <v>1</v>
      </c>
      <c r="AAJ3">
        <v>0</v>
      </c>
      <c r="AAK3">
        <v>0</v>
      </c>
      <c r="AAL3">
        <v>1</v>
      </c>
      <c r="AAM3">
        <v>2</v>
      </c>
      <c r="AAN3" s="1">
        <v>45470.386111111111</v>
      </c>
      <c r="AAO3">
        <v>0</v>
      </c>
      <c r="ABF3">
        <v>2</v>
      </c>
      <c r="ABG3" s="1">
        <v>45470.386111111111</v>
      </c>
      <c r="ABH3">
        <v>0</v>
      </c>
      <c r="ABI3">
        <v>0</v>
      </c>
      <c r="ABJ3">
        <v>0</v>
      </c>
      <c r="ABK3">
        <v>0</v>
      </c>
      <c r="ABL3">
        <v>0</v>
      </c>
      <c r="ABM3">
        <v>0</v>
      </c>
      <c r="ABN3">
        <v>0</v>
      </c>
      <c r="ABO3">
        <v>0</v>
      </c>
      <c r="ABP3">
        <v>0</v>
      </c>
      <c r="ABQ3">
        <v>0</v>
      </c>
      <c r="ABR3">
        <v>0</v>
      </c>
      <c r="ABS3">
        <v>0</v>
      </c>
      <c r="ABT3">
        <v>0</v>
      </c>
      <c r="ABU3">
        <v>0</v>
      </c>
      <c r="ABV3">
        <v>0</v>
      </c>
      <c r="ABW3">
        <v>0</v>
      </c>
      <c r="ABX3">
        <v>0</v>
      </c>
      <c r="ABY3">
        <v>0</v>
      </c>
      <c r="ABZ3">
        <v>0</v>
      </c>
      <c r="ACA3">
        <v>0</v>
      </c>
      <c r="ACB3">
        <v>0</v>
      </c>
      <c r="ACC3">
        <v>0</v>
      </c>
      <c r="ACD3">
        <v>0</v>
      </c>
      <c r="ACE3">
        <v>0</v>
      </c>
      <c r="ACF3">
        <v>0</v>
      </c>
      <c r="ACG3">
        <v>0</v>
      </c>
      <c r="ACH3">
        <v>0</v>
      </c>
      <c r="ACI3">
        <v>0</v>
      </c>
      <c r="ACJ3">
        <v>0</v>
      </c>
      <c r="ACK3">
        <v>0</v>
      </c>
      <c r="ACL3">
        <v>0</v>
      </c>
      <c r="ACM3">
        <v>0</v>
      </c>
      <c r="ACN3">
        <v>0</v>
      </c>
      <c r="ACO3">
        <v>0</v>
      </c>
      <c r="ACP3">
        <v>0</v>
      </c>
      <c r="ACQ3">
        <v>0</v>
      </c>
      <c r="ACR3">
        <v>0</v>
      </c>
      <c r="ACS3">
        <v>0</v>
      </c>
      <c r="ACT3">
        <v>0</v>
      </c>
      <c r="ACU3">
        <v>0</v>
      </c>
      <c r="ACV3">
        <v>0</v>
      </c>
      <c r="ACW3">
        <v>0</v>
      </c>
      <c r="ACX3">
        <v>0</v>
      </c>
      <c r="ACY3">
        <v>0</v>
      </c>
      <c r="ACZ3">
        <v>0</v>
      </c>
      <c r="ADA3">
        <v>0</v>
      </c>
      <c r="ADB3">
        <v>0</v>
      </c>
      <c r="ADC3">
        <v>0</v>
      </c>
      <c r="ADD3">
        <v>0</v>
      </c>
      <c r="ADE3">
        <v>0</v>
      </c>
      <c r="ADF3">
        <v>0</v>
      </c>
      <c r="ADG3">
        <v>0</v>
      </c>
      <c r="ADH3">
        <v>0</v>
      </c>
      <c r="ADI3">
        <v>0</v>
      </c>
      <c r="ADJ3">
        <v>0</v>
      </c>
      <c r="ADK3">
        <v>0</v>
      </c>
      <c r="ADL3">
        <v>0</v>
      </c>
      <c r="ADM3">
        <v>0</v>
      </c>
      <c r="ADN3">
        <v>0</v>
      </c>
      <c r="ADO3">
        <v>0</v>
      </c>
      <c r="ADP3">
        <v>0</v>
      </c>
      <c r="ADQ3">
        <v>0</v>
      </c>
      <c r="ADR3">
        <v>0</v>
      </c>
      <c r="ADS3">
        <v>0</v>
      </c>
      <c r="ADT3">
        <v>0</v>
      </c>
      <c r="ADU3">
        <v>0</v>
      </c>
      <c r="ADV3">
        <v>0</v>
      </c>
      <c r="ADW3">
        <v>0</v>
      </c>
      <c r="ADX3">
        <v>0</v>
      </c>
      <c r="ADY3">
        <v>0</v>
      </c>
      <c r="ADZ3">
        <v>0</v>
      </c>
      <c r="AEA3">
        <v>0</v>
      </c>
      <c r="AEB3">
        <v>0</v>
      </c>
      <c r="AEC3">
        <v>0</v>
      </c>
      <c r="AEE3">
        <v>2</v>
      </c>
      <c r="AEF3" s="1">
        <v>45470.387499999997</v>
      </c>
      <c r="AEG3">
        <v>0</v>
      </c>
      <c r="AEH3">
        <v>0</v>
      </c>
      <c r="AEI3">
        <v>0</v>
      </c>
      <c r="AEJ3">
        <v>2</v>
      </c>
      <c r="AEK3">
        <v>0</v>
      </c>
      <c r="AEL3">
        <v>0</v>
      </c>
      <c r="AEM3">
        <v>0</v>
      </c>
      <c r="AEN3">
        <v>1</v>
      </c>
      <c r="AEO3">
        <v>0</v>
      </c>
      <c r="AEP3">
        <v>2</v>
      </c>
      <c r="AEQ3">
        <v>0</v>
      </c>
      <c r="AER3">
        <v>0</v>
      </c>
      <c r="AES3">
        <v>0</v>
      </c>
      <c r="AET3">
        <v>0</v>
      </c>
      <c r="AEU3">
        <v>0</v>
      </c>
      <c r="AEV3">
        <v>0</v>
      </c>
      <c r="AEW3">
        <v>0</v>
      </c>
      <c r="AEX3">
        <v>0</v>
      </c>
      <c r="AEY3">
        <v>0</v>
      </c>
      <c r="AEZ3">
        <v>0</v>
      </c>
      <c r="AFA3">
        <v>0</v>
      </c>
      <c r="AFB3">
        <v>1</v>
      </c>
      <c r="AFC3">
        <v>0</v>
      </c>
      <c r="AFD3">
        <v>0</v>
      </c>
      <c r="AFE3">
        <v>0</v>
      </c>
      <c r="AFF3">
        <v>3</v>
      </c>
      <c r="AFG3">
        <v>2</v>
      </c>
      <c r="AFH3">
        <v>0</v>
      </c>
      <c r="AFI3">
        <v>0</v>
      </c>
      <c r="AFJ3">
        <v>0</v>
      </c>
      <c r="AFK3">
        <v>0</v>
      </c>
      <c r="AFL3">
        <v>0</v>
      </c>
      <c r="AFM3">
        <v>0</v>
      </c>
      <c r="AFN3">
        <v>1</v>
      </c>
      <c r="AFO3">
        <v>3</v>
      </c>
      <c r="AFP3">
        <v>7</v>
      </c>
      <c r="AFQ3">
        <v>-3</v>
      </c>
      <c r="AFR3">
        <v>2</v>
      </c>
      <c r="AFS3" s="1">
        <v>45470.387499999997</v>
      </c>
      <c r="AFT3">
        <v>4</v>
      </c>
      <c r="AFU3">
        <v>4</v>
      </c>
      <c r="AFV3">
        <v>1</v>
      </c>
      <c r="AFW3">
        <v>1</v>
      </c>
      <c r="AFX3">
        <v>4</v>
      </c>
      <c r="AFY3">
        <v>1</v>
      </c>
      <c r="AFZ3">
        <v>1</v>
      </c>
      <c r="AGA3">
        <v>4</v>
      </c>
      <c r="AGB3">
        <v>1</v>
      </c>
      <c r="AGC3">
        <v>4</v>
      </c>
      <c r="AGD3">
        <v>4</v>
      </c>
      <c r="AGE3">
        <v>1</v>
      </c>
      <c r="AGF3">
        <v>1</v>
      </c>
      <c r="AGG3">
        <v>1</v>
      </c>
      <c r="AGH3">
        <v>4</v>
      </c>
      <c r="AGI3">
        <v>4</v>
      </c>
      <c r="AGJ3">
        <v>1</v>
      </c>
      <c r="AGK3">
        <v>1</v>
      </c>
      <c r="AGL3">
        <v>4</v>
      </c>
      <c r="AGM3">
        <v>4</v>
      </c>
      <c r="AGN3">
        <v>20</v>
      </c>
      <c r="AGO3">
        <v>2</v>
      </c>
      <c r="AGP3" s="1">
        <v>45470.388194444444</v>
      </c>
      <c r="AGQ3">
        <v>0</v>
      </c>
      <c r="AGV3">
        <v>0</v>
      </c>
      <c r="AGW3">
        <v>0</v>
      </c>
      <c r="AGX3">
        <v>0</v>
      </c>
      <c r="AGY3">
        <v>0</v>
      </c>
      <c r="AGZ3">
        <v>0</v>
      </c>
      <c r="AHB3">
        <v>2</v>
      </c>
      <c r="AHC3" s="1">
        <v>45470.388888888891</v>
      </c>
      <c r="AHD3" t="s">
        <v>210</v>
      </c>
      <c r="AHE3" t="s">
        <v>212</v>
      </c>
      <c r="AHN3">
        <v>9</v>
      </c>
      <c r="AHO3" t="s">
        <v>219</v>
      </c>
      <c r="AHP3">
        <v>3</v>
      </c>
      <c r="AHQ3" t="s">
        <v>220</v>
      </c>
      <c r="AHR3" t="s">
        <v>221</v>
      </c>
      <c r="AHS3" t="s">
        <v>210</v>
      </c>
      <c r="AHU3" t="s">
        <v>211</v>
      </c>
    </row>
    <row r="4" spans="1:905">
      <c r="A4">
        <v>121</v>
      </c>
      <c r="B4" t="s">
        <v>205</v>
      </c>
      <c r="C4" t="s">
        <v>222</v>
      </c>
      <c r="D4">
        <v>2</v>
      </c>
      <c r="E4">
        <v>2</v>
      </c>
      <c r="F4">
        <v>54</v>
      </c>
      <c r="G4">
        <v>67</v>
      </c>
      <c r="H4">
        <v>160</v>
      </c>
      <c r="I4">
        <v>0</v>
      </c>
      <c r="J4">
        <v>3</v>
      </c>
      <c r="L4" t="s">
        <v>223</v>
      </c>
      <c r="M4">
        <v>2</v>
      </c>
      <c r="N4" s="1">
        <v>45480.620833333334</v>
      </c>
      <c r="O4">
        <v>7</v>
      </c>
      <c r="P4">
        <v>0</v>
      </c>
      <c r="R4">
        <v>0</v>
      </c>
      <c r="S4">
        <v>1</v>
      </c>
      <c r="T4">
        <v>0</v>
      </c>
      <c r="U4">
        <v>0</v>
      </c>
      <c r="V4">
        <v>0</v>
      </c>
      <c r="W4">
        <v>0</v>
      </c>
      <c r="X4">
        <v>0</v>
      </c>
      <c r="Y4">
        <v>0</v>
      </c>
      <c r="Z4">
        <v>0</v>
      </c>
      <c r="AA4">
        <v>0</v>
      </c>
      <c r="AB4">
        <v>0</v>
      </c>
      <c r="AC4" t="s">
        <v>208</v>
      </c>
      <c r="AD4">
        <v>2</v>
      </c>
      <c r="AE4" s="1">
        <v>45480.62222222222</v>
      </c>
      <c r="AF4">
        <v>3</v>
      </c>
      <c r="AG4">
        <v>2</v>
      </c>
      <c r="AH4">
        <v>2</v>
      </c>
      <c r="AI4">
        <v>2</v>
      </c>
      <c r="AJ4">
        <v>2</v>
      </c>
      <c r="AK4">
        <v>2</v>
      </c>
      <c r="AL4">
        <v>2</v>
      </c>
      <c r="AM4">
        <v>2</v>
      </c>
      <c r="AN4">
        <v>1</v>
      </c>
      <c r="AO4">
        <v>3</v>
      </c>
      <c r="AP4">
        <v>1</v>
      </c>
      <c r="AQ4">
        <v>2</v>
      </c>
      <c r="AR4">
        <v>3</v>
      </c>
      <c r="AS4">
        <v>3</v>
      </c>
      <c r="AT4">
        <v>2</v>
      </c>
      <c r="AU4">
        <v>3</v>
      </c>
      <c r="AV4">
        <v>2</v>
      </c>
      <c r="AW4">
        <v>2</v>
      </c>
      <c r="AX4">
        <v>3</v>
      </c>
      <c r="AY4">
        <v>2</v>
      </c>
      <c r="AZ4">
        <v>41</v>
      </c>
      <c r="BA4">
        <v>2</v>
      </c>
      <c r="BB4" s="1">
        <v>45480.622916666667</v>
      </c>
      <c r="BC4">
        <v>16</v>
      </c>
      <c r="BD4">
        <v>4</v>
      </c>
      <c r="BE4">
        <v>4</v>
      </c>
      <c r="BI4" s="2">
        <v>44819</v>
      </c>
      <c r="BJ4">
        <v>6</v>
      </c>
      <c r="BK4">
        <v>1</v>
      </c>
      <c r="BL4">
        <v>4</v>
      </c>
      <c r="BM4">
        <v>28</v>
      </c>
      <c r="BN4">
        <v>3</v>
      </c>
      <c r="BO4">
        <v>1</v>
      </c>
      <c r="BP4">
        <v>0</v>
      </c>
      <c r="BQ4">
        <v>0</v>
      </c>
      <c r="BR4">
        <v>1</v>
      </c>
      <c r="BS4">
        <v>0</v>
      </c>
      <c r="BT4">
        <v>0</v>
      </c>
      <c r="BU4">
        <v>0</v>
      </c>
      <c r="BV4">
        <v>0</v>
      </c>
      <c r="BW4">
        <v>0</v>
      </c>
      <c r="BX4" t="s">
        <v>224</v>
      </c>
      <c r="BY4">
        <v>2</v>
      </c>
      <c r="BZ4" s="1">
        <v>45480.624305555553</v>
      </c>
      <c r="CA4">
        <v>4</v>
      </c>
      <c r="CB4">
        <v>3</v>
      </c>
      <c r="CC4">
        <v>3</v>
      </c>
      <c r="CD4">
        <v>4</v>
      </c>
      <c r="CE4">
        <v>3</v>
      </c>
      <c r="CF4">
        <v>3</v>
      </c>
      <c r="CG4">
        <v>3</v>
      </c>
      <c r="CH4">
        <v>3</v>
      </c>
      <c r="CI4">
        <v>3</v>
      </c>
      <c r="CJ4">
        <v>3</v>
      </c>
      <c r="CK4">
        <v>1</v>
      </c>
      <c r="CL4">
        <v>3</v>
      </c>
      <c r="CM4">
        <v>1</v>
      </c>
      <c r="CN4">
        <v>3</v>
      </c>
      <c r="CO4">
        <v>3</v>
      </c>
      <c r="CP4">
        <v>2</v>
      </c>
      <c r="CQ4">
        <v>1</v>
      </c>
      <c r="CR4">
        <v>2</v>
      </c>
      <c r="CS4">
        <v>4</v>
      </c>
      <c r="CT4">
        <v>3</v>
      </c>
      <c r="CU4">
        <v>10</v>
      </c>
      <c r="CV4">
        <v>9</v>
      </c>
      <c r="CW4">
        <v>17</v>
      </c>
      <c r="CX4">
        <v>36</v>
      </c>
      <c r="CY4">
        <v>23</v>
      </c>
      <c r="CZ4">
        <v>2</v>
      </c>
      <c r="DA4" s="1">
        <v>45480.625694444447</v>
      </c>
      <c r="DB4">
        <v>0</v>
      </c>
      <c r="DC4">
        <v>0</v>
      </c>
      <c r="DD4">
        <v>0</v>
      </c>
      <c r="DE4">
        <v>0</v>
      </c>
      <c r="DF4">
        <v>1</v>
      </c>
      <c r="DG4">
        <v>0</v>
      </c>
      <c r="DH4">
        <v>0</v>
      </c>
      <c r="DI4">
        <v>0</v>
      </c>
      <c r="DJ4">
        <v>0</v>
      </c>
      <c r="DK4">
        <v>1</v>
      </c>
      <c r="DL4">
        <v>0</v>
      </c>
      <c r="DM4">
        <v>0</v>
      </c>
      <c r="DN4">
        <v>1</v>
      </c>
      <c r="DO4">
        <v>0</v>
      </c>
      <c r="DP4">
        <v>0</v>
      </c>
      <c r="DQ4">
        <v>0</v>
      </c>
      <c r="DR4">
        <v>0</v>
      </c>
      <c r="DS4">
        <v>1</v>
      </c>
      <c r="DT4">
        <v>0</v>
      </c>
      <c r="DU4">
        <v>0</v>
      </c>
      <c r="DV4">
        <v>0</v>
      </c>
      <c r="DW4">
        <v>0</v>
      </c>
      <c r="DX4">
        <v>0</v>
      </c>
      <c r="DY4">
        <v>0</v>
      </c>
      <c r="DZ4">
        <v>1</v>
      </c>
      <c r="EA4">
        <v>0</v>
      </c>
      <c r="EB4">
        <v>0</v>
      </c>
      <c r="EC4">
        <v>0</v>
      </c>
      <c r="ED4">
        <v>0</v>
      </c>
      <c r="EE4">
        <v>1</v>
      </c>
      <c r="EF4">
        <v>0</v>
      </c>
      <c r="EG4">
        <v>0</v>
      </c>
      <c r="EH4">
        <v>0</v>
      </c>
      <c r="EI4">
        <v>0</v>
      </c>
      <c r="EJ4">
        <v>1</v>
      </c>
      <c r="EK4">
        <v>0</v>
      </c>
      <c r="EL4">
        <v>0</v>
      </c>
      <c r="EM4">
        <v>0</v>
      </c>
      <c r="EN4">
        <v>0</v>
      </c>
      <c r="EO4">
        <v>1</v>
      </c>
      <c r="EP4">
        <v>0</v>
      </c>
      <c r="EQ4">
        <v>0</v>
      </c>
      <c r="ER4">
        <v>0</v>
      </c>
      <c r="ES4">
        <v>0</v>
      </c>
      <c r="ET4">
        <v>1</v>
      </c>
      <c r="EU4">
        <v>0</v>
      </c>
      <c r="EV4">
        <v>0</v>
      </c>
      <c r="EW4">
        <v>0</v>
      </c>
      <c r="EX4">
        <v>0</v>
      </c>
      <c r="EY4">
        <v>1</v>
      </c>
      <c r="EZ4">
        <v>0</v>
      </c>
      <c r="FA4">
        <v>0</v>
      </c>
      <c r="FB4">
        <v>0</v>
      </c>
      <c r="FC4">
        <v>0</v>
      </c>
      <c r="FD4">
        <v>1</v>
      </c>
      <c r="FE4">
        <v>0</v>
      </c>
      <c r="FF4">
        <v>0</v>
      </c>
      <c r="FG4">
        <v>1</v>
      </c>
      <c r="FH4">
        <v>0</v>
      </c>
      <c r="FI4">
        <v>0</v>
      </c>
      <c r="FJ4">
        <v>0</v>
      </c>
      <c r="FK4">
        <v>0</v>
      </c>
      <c r="FL4">
        <v>0</v>
      </c>
      <c r="FM4">
        <v>0</v>
      </c>
      <c r="FN4">
        <v>1</v>
      </c>
      <c r="FO4">
        <v>0</v>
      </c>
      <c r="FP4">
        <v>0</v>
      </c>
      <c r="FQ4">
        <v>1</v>
      </c>
      <c r="FR4">
        <v>0</v>
      </c>
      <c r="FS4">
        <v>0</v>
      </c>
      <c r="FT4">
        <v>1</v>
      </c>
      <c r="FU4">
        <v>0</v>
      </c>
      <c r="FV4">
        <v>1</v>
      </c>
      <c r="FW4">
        <v>0</v>
      </c>
      <c r="FX4">
        <v>0</v>
      </c>
      <c r="FY4">
        <v>0</v>
      </c>
      <c r="FZ4">
        <v>0</v>
      </c>
      <c r="GA4">
        <v>0</v>
      </c>
      <c r="GB4">
        <v>0</v>
      </c>
      <c r="GC4">
        <v>1</v>
      </c>
      <c r="GD4">
        <v>1</v>
      </c>
      <c r="GE4">
        <v>0</v>
      </c>
      <c r="GF4">
        <v>1</v>
      </c>
      <c r="GG4">
        <v>0</v>
      </c>
      <c r="GH4">
        <v>0</v>
      </c>
      <c r="GI4">
        <v>2</v>
      </c>
      <c r="GJ4" s="1">
        <v>45480.625694444447</v>
      </c>
      <c r="GK4">
        <v>0</v>
      </c>
      <c r="HF4">
        <v>2</v>
      </c>
      <c r="HG4" s="1">
        <v>45480.625694444447</v>
      </c>
      <c r="HH4">
        <v>10</v>
      </c>
      <c r="HI4">
        <v>16</v>
      </c>
      <c r="HJ4">
        <v>13</v>
      </c>
      <c r="HK4">
        <v>2</v>
      </c>
      <c r="HL4" s="1">
        <v>45486.388888888891</v>
      </c>
      <c r="HM4">
        <v>0</v>
      </c>
      <c r="HN4">
        <v>0</v>
      </c>
      <c r="HO4">
        <v>1</v>
      </c>
      <c r="HP4">
        <v>0</v>
      </c>
      <c r="HQ4">
        <v>0</v>
      </c>
      <c r="HR4">
        <v>0</v>
      </c>
      <c r="HS4">
        <v>1</v>
      </c>
      <c r="HT4">
        <v>1</v>
      </c>
      <c r="HU4">
        <v>0</v>
      </c>
      <c r="HV4">
        <v>1</v>
      </c>
      <c r="HW4">
        <v>1</v>
      </c>
      <c r="HX4">
        <v>0</v>
      </c>
      <c r="HY4">
        <v>0</v>
      </c>
      <c r="HZ4">
        <v>0</v>
      </c>
      <c r="IA4">
        <v>1</v>
      </c>
      <c r="IB4">
        <v>0</v>
      </c>
      <c r="IC4">
        <v>0</v>
      </c>
      <c r="ID4">
        <v>0</v>
      </c>
      <c r="IE4">
        <v>1</v>
      </c>
      <c r="IF4">
        <v>0</v>
      </c>
      <c r="IG4">
        <v>0</v>
      </c>
      <c r="IH4">
        <v>7</v>
      </c>
      <c r="II4">
        <v>2</v>
      </c>
      <c r="IJ4" s="1">
        <v>45486.390972222223</v>
      </c>
      <c r="IK4">
        <v>0</v>
      </c>
      <c r="IL4">
        <v>1</v>
      </c>
      <c r="IM4">
        <v>0</v>
      </c>
      <c r="IN4">
        <v>0</v>
      </c>
      <c r="IO4">
        <v>0</v>
      </c>
      <c r="IP4">
        <v>0</v>
      </c>
      <c r="IQ4">
        <v>0</v>
      </c>
      <c r="IR4">
        <v>0</v>
      </c>
      <c r="IS4">
        <v>0</v>
      </c>
      <c r="IT4">
        <v>0</v>
      </c>
      <c r="IU4">
        <v>0</v>
      </c>
      <c r="IV4">
        <v>0</v>
      </c>
      <c r="IW4">
        <v>0</v>
      </c>
      <c r="IX4">
        <v>0</v>
      </c>
      <c r="IY4">
        <v>0</v>
      </c>
      <c r="IZ4">
        <v>0</v>
      </c>
      <c r="JA4">
        <v>0</v>
      </c>
      <c r="JB4">
        <v>0</v>
      </c>
      <c r="JC4">
        <v>0</v>
      </c>
      <c r="JD4">
        <v>0</v>
      </c>
      <c r="JE4" t="s">
        <v>225</v>
      </c>
      <c r="JF4">
        <v>1</v>
      </c>
      <c r="JG4">
        <v>1</v>
      </c>
      <c r="JH4">
        <v>1</v>
      </c>
      <c r="JI4">
        <v>0</v>
      </c>
      <c r="JJ4">
        <v>0</v>
      </c>
      <c r="JK4">
        <v>1</v>
      </c>
      <c r="JL4" t="s">
        <v>226</v>
      </c>
      <c r="JM4" t="s">
        <v>227</v>
      </c>
      <c r="JN4">
        <v>1</v>
      </c>
      <c r="JO4">
        <v>6</v>
      </c>
      <c r="JP4">
        <v>1</v>
      </c>
      <c r="JQ4">
        <v>2</v>
      </c>
      <c r="JR4" s="1">
        <v>45486.390972222223</v>
      </c>
      <c r="JS4">
        <v>0</v>
      </c>
      <c r="JT4">
        <v>0</v>
      </c>
      <c r="JU4">
        <v>1</v>
      </c>
      <c r="JV4">
        <v>1</v>
      </c>
      <c r="JW4">
        <v>2</v>
      </c>
      <c r="JX4" s="1">
        <v>45486.39166666667</v>
      </c>
      <c r="JY4">
        <v>47.3</v>
      </c>
      <c r="JZ4">
        <v>2.2999999999999998</v>
      </c>
      <c r="KI4">
        <v>2</v>
      </c>
      <c r="KJ4">
        <v>47.9</v>
      </c>
      <c r="KK4">
        <v>4</v>
      </c>
      <c r="KL4">
        <v>1</v>
      </c>
      <c r="UA4">
        <v>2</v>
      </c>
      <c r="UB4">
        <v>47.3</v>
      </c>
      <c r="UC4">
        <v>2.2999999999999998</v>
      </c>
      <c r="UD4">
        <v>4</v>
      </c>
      <c r="UQ4">
        <v>2</v>
      </c>
      <c r="UR4">
        <v>46.6</v>
      </c>
      <c r="US4">
        <v>2.6</v>
      </c>
      <c r="UT4">
        <v>3</v>
      </c>
      <c r="XG4">
        <v>1</v>
      </c>
      <c r="XH4">
        <v>45.3</v>
      </c>
      <c r="XI4">
        <v>3.2</v>
      </c>
      <c r="XJ4">
        <v>2</v>
      </c>
      <c r="YQ4">
        <v>2</v>
      </c>
      <c r="YR4" s="1">
        <v>45486.392361111109</v>
      </c>
      <c r="YS4">
        <v>4</v>
      </c>
      <c r="YT4">
        <v>1</v>
      </c>
      <c r="YU4">
        <v>2</v>
      </c>
      <c r="YV4">
        <v>2</v>
      </c>
      <c r="YW4">
        <v>3</v>
      </c>
      <c r="YX4">
        <v>1</v>
      </c>
      <c r="YY4">
        <v>2</v>
      </c>
      <c r="YZ4">
        <v>1</v>
      </c>
      <c r="ZA4">
        <v>4</v>
      </c>
      <c r="ZB4">
        <v>2</v>
      </c>
      <c r="ZC4">
        <v>2</v>
      </c>
      <c r="ZD4">
        <v>4</v>
      </c>
      <c r="ZE4">
        <v>1</v>
      </c>
      <c r="ZF4">
        <v>3</v>
      </c>
      <c r="ZG4">
        <v>2</v>
      </c>
      <c r="ZH4">
        <v>3</v>
      </c>
      <c r="ZI4">
        <v>3</v>
      </c>
      <c r="ZJ4">
        <v>1</v>
      </c>
      <c r="ZK4">
        <v>3</v>
      </c>
      <c r="ZL4">
        <v>1</v>
      </c>
      <c r="ZM4">
        <v>31</v>
      </c>
      <c r="ZN4">
        <v>14</v>
      </c>
      <c r="ZO4">
        <v>2</v>
      </c>
      <c r="ZP4" s="1">
        <v>45486.393055555556</v>
      </c>
      <c r="ZQ4">
        <v>0</v>
      </c>
      <c r="ZR4">
        <v>0</v>
      </c>
      <c r="ZS4">
        <v>0</v>
      </c>
      <c r="ZT4">
        <v>0</v>
      </c>
      <c r="ZU4">
        <v>0</v>
      </c>
      <c r="ZV4">
        <v>1</v>
      </c>
      <c r="ZW4">
        <v>0</v>
      </c>
      <c r="ZX4">
        <v>1</v>
      </c>
      <c r="ZY4">
        <v>0</v>
      </c>
      <c r="ZZ4">
        <v>1</v>
      </c>
      <c r="AAA4">
        <v>1</v>
      </c>
      <c r="AAB4">
        <v>0</v>
      </c>
      <c r="AAC4">
        <v>0</v>
      </c>
      <c r="AAD4">
        <v>0</v>
      </c>
      <c r="AAE4">
        <v>0</v>
      </c>
      <c r="AAF4">
        <v>0</v>
      </c>
      <c r="AAG4">
        <v>0</v>
      </c>
      <c r="AAH4">
        <v>0</v>
      </c>
      <c r="AAI4">
        <v>1</v>
      </c>
      <c r="AAJ4">
        <v>2</v>
      </c>
      <c r="AAK4">
        <v>1</v>
      </c>
      <c r="AAL4">
        <v>4</v>
      </c>
      <c r="AAM4">
        <v>2</v>
      </c>
      <c r="AAN4" s="1">
        <v>45486.393055555556</v>
      </c>
      <c r="AAO4">
        <v>0</v>
      </c>
      <c r="ABF4">
        <v>2</v>
      </c>
      <c r="ABG4" s="1">
        <v>45486.393055555556</v>
      </c>
      <c r="ABH4">
        <v>0</v>
      </c>
      <c r="ABI4">
        <v>0</v>
      </c>
      <c r="ABJ4">
        <v>0</v>
      </c>
      <c r="ABK4">
        <v>0</v>
      </c>
      <c r="ABL4">
        <v>0</v>
      </c>
      <c r="ABM4">
        <v>0</v>
      </c>
      <c r="ABN4">
        <v>0</v>
      </c>
      <c r="ABO4">
        <v>0</v>
      </c>
      <c r="ABP4">
        <v>0</v>
      </c>
      <c r="ABQ4">
        <v>0</v>
      </c>
      <c r="ABR4">
        <v>0</v>
      </c>
      <c r="ABS4">
        <v>0</v>
      </c>
      <c r="ABT4">
        <v>0</v>
      </c>
      <c r="ABU4">
        <v>0</v>
      </c>
      <c r="ABV4">
        <v>0</v>
      </c>
      <c r="ABW4">
        <v>0</v>
      </c>
      <c r="ABX4">
        <v>0</v>
      </c>
      <c r="ABY4">
        <v>0</v>
      </c>
      <c r="ABZ4">
        <v>0</v>
      </c>
      <c r="ACA4">
        <v>0</v>
      </c>
      <c r="ACB4">
        <v>0</v>
      </c>
      <c r="ACC4">
        <v>0</v>
      </c>
      <c r="ACD4">
        <v>0</v>
      </c>
      <c r="ACE4">
        <v>0</v>
      </c>
      <c r="ACF4">
        <v>0</v>
      </c>
      <c r="ACG4">
        <v>0</v>
      </c>
      <c r="ACH4">
        <v>0</v>
      </c>
      <c r="ACI4">
        <v>0</v>
      </c>
      <c r="ACJ4">
        <v>0</v>
      </c>
      <c r="ACK4">
        <v>0</v>
      </c>
      <c r="ACL4">
        <v>0</v>
      </c>
      <c r="ACM4">
        <v>0</v>
      </c>
      <c r="ACN4">
        <v>0</v>
      </c>
      <c r="ACO4">
        <v>0</v>
      </c>
      <c r="ACP4">
        <v>0</v>
      </c>
      <c r="ACQ4">
        <v>0</v>
      </c>
      <c r="ACR4">
        <v>0</v>
      </c>
      <c r="ACS4">
        <v>0</v>
      </c>
      <c r="ACT4">
        <v>0</v>
      </c>
      <c r="ACU4">
        <v>0</v>
      </c>
      <c r="ACV4">
        <v>0</v>
      </c>
      <c r="ACW4">
        <v>0</v>
      </c>
      <c r="ACX4">
        <v>0</v>
      </c>
      <c r="ACY4">
        <v>0</v>
      </c>
      <c r="ACZ4">
        <v>0</v>
      </c>
      <c r="ADA4">
        <v>0</v>
      </c>
      <c r="ADB4">
        <v>0</v>
      </c>
      <c r="ADC4">
        <v>0</v>
      </c>
      <c r="ADD4">
        <v>0</v>
      </c>
      <c r="ADE4">
        <v>0</v>
      </c>
      <c r="ADF4">
        <v>0</v>
      </c>
      <c r="ADG4">
        <v>0</v>
      </c>
      <c r="ADH4">
        <v>0</v>
      </c>
      <c r="ADI4">
        <v>0</v>
      </c>
      <c r="ADJ4">
        <v>0</v>
      </c>
      <c r="ADK4">
        <v>0</v>
      </c>
      <c r="ADL4">
        <v>0</v>
      </c>
      <c r="ADM4">
        <v>0</v>
      </c>
      <c r="ADN4">
        <v>0</v>
      </c>
      <c r="ADO4">
        <v>0</v>
      </c>
      <c r="ADP4">
        <v>0</v>
      </c>
      <c r="ADQ4">
        <v>0</v>
      </c>
      <c r="ADR4">
        <v>0</v>
      </c>
      <c r="ADS4">
        <v>0</v>
      </c>
      <c r="ADT4">
        <v>0</v>
      </c>
      <c r="ADU4">
        <v>0</v>
      </c>
      <c r="ADV4">
        <v>0</v>
      </c>
      <c r="ADW4">
        <v>0</v>
      </c>
      <c r="ADX4">
        <v>0</v>
      </c>
      <c r="ADY4">
        <v>0</v>
      </c>
      <c r="ADZ4">
        <v>0</v>
      </c>
      <c r="AEA4">
        <v>0</v>
      </c>
      <c r="AEB4">
        <v>0</v>
      </c>
      <c r="AEC4">
        <v>0</v>
      </c>
      <c r="AEE4">
        <v>2</v>
      </c>
      <c r="AEF4" s="1">
        <v>45486.394444444442</v>
      </c>
      <c r="AEG4">
        <v>0</v>
      </c>
      <c r="AEH4">
        <v>0</v>
      </c>
      <c r="AEI4">
        <v>0</v>
      </c>
      <c r="AEJ4">
        <v>1</v>
      </c>
      <c r="AEK4">
        <v>0</v>
      </c>
      <c r="AEL4">
        <v>0</v>
      </c>
      <c r="AEM4">
        <v>0</v>
      </c>
      <c r="AEN4">
        <v>1</v>
      </c>
      <c r="AEO4">
        <v>0</v>
      </c>
      <c r="AEP4">
        <v>1</v>
      </c>
      <c r="AEQ4">
        <v>0</v>
      </c>
      <c r="AER4">
        <v>0</v>
      </c>
      <c r="AES4">
        <v>1</v>
      </c>
      <c r="AET4">
        <v>0</v>
      </c>
      <c r="AEU4">
        <v>0</v>
      </c>
      <c r="AEV4">
        <v>0</v>
      </c>
      <c r="AEW4">
        <v>0</v>
      </c>
      <c r="AEX4">
        <v>0</v>
      </c>
      <c r="AEY4">
        <v>1</v>
      </c>
      <c r="AEZ4">
        <v>1</v>
      </c>
      <c r="AFA4">
        <v>0</v>
      </c>
      <c r="AFB4">
        <v>1</v>
      </c>
      <c r="AFC4">
        <v>0</v>
      </c>
      <c r="AFD4">
        <v>0</v>
      </c>
      <c r="AFE4">
        <v>0</v>
      </c>
      <c r="AFF4">
        <v>1</v>
      </c>
      <c r="AFG4">
        <v>1</v>
      </c>
      <c r="AFH4">
        <v>0</v>
      </c>
      <c r="AFI4">
        <v>0</v>
      </c>
      <c r="AFJ4">
        <v>0</v>
      </c>
      <c r="AFK4">
        <v>1</v>
      </c>
      <c r="AFL4">
        <v>0</v>
      </c>
      <c r="AFM4">
        <v>0</v>
      </c>
      <c r="AFN4">
        <v>3</v>
      </c>
      <c r="AFO4">
        <v>1</v>
      </c>
      <c r="AFP4">
        <v>4</v>
      </c>
      <c r="AFQ4">
        <v>1</v>
      </c>
      <c r="AFR4">
        <v>2</v>
      </c>
      <c r="AFS4" s="1">
        <v>45486.395138888889</v>
      </c>
      <c r="AFT4">
        <v>4</v>
      </c>
      <c r="AFU4">
        <v>3</v>
      </c>
      <c r="AFV4">
        <v>1</v>
      </c>
      <c r="AFW4">
        <v>1</v>
      </c>
      <c r="AFX4">
        <v>3</v>
      </c>
      <c r="AFY4">
        <v>1</v>
      </c>
      <c r="AFZ4">
        <v>2</v>
      </c>
      <c r="AGA4">
        <v>3</v>
      </c>
      <c r="AGB4">
        <v>1</v>
      </c>
      <c r="AGC4">
        <v>3</v>
      </c>
      <c r="AGD4">
        <v>2</v>
      </c>
      <c r="AGE4">
        <v>1</v>
      </c>
      <c r="AGF4">
        <v>1</v>
      </c>
      <c r="AGG4">
        <v>1</v>
      </c>
      <c r="AGH4">
        <v>2</v>
      </c>
      <c r="AGI4">
        <v>2</v>
      </c>
      <c r="AGJ4">
        <v>2</v>
      </c>
      <c r="AGK4">
        <v>1</v>
      </c>
      <c r="AGL4">
        <v>2</v>
      </c>
      <c r="AGM4">
        <v>3</v>
      </c>
      <c r="AGN4">
        <v>35</v>
      </c>
      <c r="AGO4">
        <v>2</v>
      </c>
      <c r="AGP4" s="1">
        <v>45486.395138888889</v>
      </c>
      <c r="AGQ4">
        <v>0</v>
      </c>
      <c r="AGV4">
        <v>0</v>
      </c>
      <c r="AGW4">
        <v>0</v>
      </c>
      <c r="AGX4">
        <v>0</v>
      </c>
      <c r="AGY4">
        <v>0</v>
      </c>
      <c r="AGZ4">
        <v>0</v>
      </c>
      <c r="AHB4">
        <v>2</v>
      </c>
      <c r="AHC4" s="1">
        <v>45486.397222222222</v>
      </c>
      <c r="AHD4" t="s">
        <v>212</v>
      </c>
      <c r="AHE4" t="s">
        <v>212</v>
      </c>
      <c r="AHF4">
        <v>5</v>
      </c>
      <c r="AHG4">
        <v>8</v>
      </c>
      <c r="AHH4">
        <v>4</v>
      </c>
      <c r="AHI4" t="s">
        <v>228</v>
      </c>
      <c r="AHJ4">
        <v>2004</v>
      </c>
      <c r="AHK4" t="s">
        <v>229</v>
      </c>
      <c r="AHL4" t="s">
        <v>212</v>
      </c>
      <c r="AHM4" t="s">
        <v>230</v>
      </c>
      <c r="AHN4">
        <v>7</v>
      </c>
      <c r="AHO4">
        <v>3</v>
      </c>
      <c r="AHP4">
        <v>1</v>
      </c>
      <c r="AHQ4" t="s">
        <v>231</v>
      </c>
      <c r="AHR4" t="s">
        <v>232</v>
      </c>
      <c r="AHS4" t="s">
        <v>210</v>
      </c>
      <c r="AHU4" t="s">
        <v>211</v>
      </c>
    </row>
    <row r="5" spans="1:905">
      <c r="A5">
        <v>122</v>
      </c>
      <c r="B5" t="s">
        <v>205</v>
      </c>
      <c r="C5" t="s">
        <v>233</v>
      </c>
      <c r="D5">
        <v>2</v>
      </c>
      <c r="E5">
        <v>1</v>
      </c>
      <c r="F5">
        <v>54</v>
      </c>
      <c r="G5">
        <v>67</v>
      </c>
      <c r="H5">
        <v>200</v>
      </c>
      <c r="I5">
        <v>0</v>
      </c>
      <c r="J5">
        <v>3</v>
      </c>
      <c r="L5" t="s">
        <v>234</v>
      </c>
      <c r="M5">
        <v>2</v>
      </c>
      <c r="N5" s="1">
        <v>45479.8125</v>
      </c>
      <c r="O5">
        <v>9</v>
      </c>
      <c r="P5">
        <v>0</v>
      </c>
      <c r="R5">
        <v>0</v>
      </c>
      <c r="S5">
        <v>1</v>
      </c>
      <c r="T5">
        <v>0</v>
      </c>
      <c r="U5">
        <v>0</v>
      </c>
      <c r="V5">
        <v>0</v>
      </c>
      <c r="W5">
        <v>0</v>
      </c>
      <c r="X5">
        <v>0</v>
      </c>
      <c r="Y5">
        <v>0</v>
      </c>
      <c r="Z5">
        <v>0</v>
      </c>
      <c r="AA5">
        <v>0</v>
      </c>
      <c r="AB5">
        <v>0</v>
      </c>
      <c r="AC5" t="s">
        <v>208</v>
      </c>
      <c r="AD5">
        <v>2</v>
      </c>
      <c r="AE5" s="1">
        <v>45479.813194444447</v>
      </c>
      <c r="AF5">
        <v>3</v>
      </c>
      <c r="AG5">
        <v>2</v>
      </c>
      <c r="AH5">
        <v>2</v>
      </c>
      <c r="AI5">
        <v>1</v>
      </c>
      <c r="AJ5">
        <v>1</v>
      </c>
      <c r="AK5">
        <v>2</v>
      </c>
      <c r="AL5">
        <v>2</v>
      </c>
      <c r="AM5">
        <v>2</v>
      </c>
      <c r="AN5">
        <v>2</v>
      </c>
      <c r="AO5">
        <v>2</v>
      </c>
      <c r="AP5">
        <v>1</v>
      </c>
      <c r="AQ5">
        <v>2</v>
      </c>
      <c r="AR5">
        <v>2</v>
      </c>
      <c r="AS5">
        <v>3</v>
      </c>
      <c r="AT5">
        <v>1</v>
      </c>
      <c r="AU5">
        <v>2</v>
      </c>
      <c r="AV5">
        <v>2</v>
      </c>
      <c r="AW5">
        <v>2</v>
      </c>
      <c r="AX5">
        <v>3</v>
      </c>
      <c r="AY5">
        <v>2</v>
      </c>
      <c r="AZ5">
        <v>42</v>
      </c>
      <c r="BA5">
        <v>2</v>
      </c>
      <c r="BB5" s="1">
        <v>45479.814583333333</v>
      </c>
      <c r="BC5">
        <v>11</v>
      </c>
      <c r="BD5">
        <v>2</v>
      </c>
      <c r="BE5">
        <v>4</v>
      </c>
      <c r="BI5" s="2">
        <v>43159</v>
      </c>
      <c r="BJ5">
        <v>5</v>
      </c>
      <c r="BK5">
        <v>1</v>
      </c>
      <c r="BL5">
        <v>2</v>
      </c>
      <c r="BM5">
        <v>42</v>
      </c>
      <c r="BN5">
        <v>5</v>
      </c>
      <c r="BO5">
        <v>2</v>
      </c>
      <c r="BP5">
        <v>1</v>
      </c>
      <c r="BQ5">
        <v>0</v>
      </c>
      <c r="BR5">
        <v>0</v>
      </c>
      <c r="BS5">
        <v>0</v>
      </c>
      <c r="BT5">
        <v>0</v>
      </c>
      <c r="BU5">
        <v>0</v>
      </c>
      <c r="BV5">
        <v>0</v>
      </c>
      <c r="BW5">
        <v>0</v>
      </c>
      <c r="BY5">
        <v>2</v>
      </c>
      <c r="BZ5" s="1">
        <v>45479.815972222219</v>
      </c>
      <c r="CA5">
        <v>3</v>
      </c>
      <c r="CB5">
        <v>3</v>
      </c>
      <c r="CC5">
        <v>3</v>
      </c>
      <c r="CD5">
        <v>4</v>
      </c>
      <c r="CE5">
        <v>3</v>
      </c>
      <c r="CF5">
        <v>3</v>
      </c>
      <c r="CG5">
        <v>3</v>
      </c>
      <c r="CH5">
        <v>4</v>
      </c>
      <c r="CI5">
        <v>2</v>
      </c>
      <c r="CJ5">
        <v>4</v>
      </c>
      <c r="CK5">
        <v>2</v>
      </c>
      <c r="CL5">
        <v>3</v>
      </c>
      <c r="CM5">
        <v>2</v>
      </c>
      <c r="CN5">
        <v>3</v>
      </c>
      <c r="CO5">
        <v>4</v>
      </c>
      <c r="CP5">
        <v>2</v>
      </c>
      <c r="CQ5">
        <v>2</v>
      </c>
      <c r="CR5">
        <v>1</v>
      </c>
      <c r="CS5">
        <v>4</v>
      </c>
      <c r="CT5">
        <v>3</v>
      </c>
      <c r="CU5">
        <v>11</v>
      </c>
      <c r="CV5">
        <v>9</v>
      </c>
      <c r="CW5">
        <v>17</v>
      </c>
      <c r="CX5">
        <v>37</v>
      </c>
      <c r="CY5">
        <v>25</v>
      </c>
      <c r="CZ5">
        <v>2</v>
      </c>
      <c r="DA5" s="1">
        <v>45479.819444444445</v>
      </c>
      <c r="DB5">
        <v>1</v>
      </c>
      <c r="DC5">
        <v>0</v>
      </c>
      <c r="DD5">
        <v>0</v>
      </c>
      <c r="DE5">
        <v>0</v>
      </c>
      <c r="DF5">
        <v>0</v>
      </c>
      <c r="DG5">
        <v>0</v>
      </c>
      <c r="DH5">
        <v>0</v>
      </c>
      <c r="DI5">
        <v>1</v>
      </c>
      <c r="DJ5">
        <v>0</v>
      </c>
      <c r="DK5">
        <v>0</v>
      </c>
      <c r="DL5">
        <v>1</v>
      </c>
      <c r="DM5">
        <v>0</v>
      </c>
      <c r="DN5">
        <v>0</v>
      </c>
      <c r="DO5">
        <v>0</v>
      </c>
      <c r="DP5">
        <v>0</v>
      </c>
      <c r="DQ5">
        <v>1</v>
      </c>
      <c r="DR5">
        <v>0</v>
      </c>
      <c r="DS5">
        <v>0</v>
      </c>
      <c r="DT5">
        <v>0</v>
      </c>
      <c r="DU5">
        <v>0</v>
      </c>
      <c r="DV5">
        <v>0</v>
      </c>
      <c r="DW5">
        <v>0</v>
      </c>
      <c r="DX5">
        <v>1</v>
      </c>
      <c r="DY5">
        <v>0</v>
      </c>
      <c r="DZ5">
        <v>0</v>
      </c>
      <c r="EA5">
        <v>0</v>
      </c>
      <c r="EB5">
        <v>0</v>
      </c>
      <c r="EC5">
        <v>1</v>
      </c>
      <c r="ED5">
        <v>0</v>
      </c>
      <c r="EE5">
        <v>0</v>
      </c>
      <c r="EF5">
        <v>0</v>
      </c>
      <c r="EG5">
        <v>0</v>
      </c>
      <c r="EH5">
        <v>1</v>
      </c>
      <c r="EI5">
        <v>0</v>
      </c>
      <c r="EJ5">
        <v>0</v>
      </c>
      <c r="EK5">
        <v>1</v>
      </c>
      <c r="EL5">
        <v>0</v>
      </c>
      <c r="EM5">
        <v>1</v>
      </c>
      <c r="EN5">
        <v>0</v>
      </c>
      <c r="EO5">
        <v>0</v>
      </c>
      <c r="EP5">
        <v>1</v>
      </c>
      <c r="EQ5">
        <v>0</v>
      </c>
      <c r="ER5">
        <v>1</v>
      </c>
      <c r="ES5">
        <v>0</v>
      </c>
      <c r="ET5">
        <v>0</v>
      </c>
      <c r="EU5">
        <v>0</v>
      </c>
      <c r="EV5">
        <v>0</v>
      </c>
      <c r="EW5">
        <v>1</v>
      </c>
      <c r="EX5">
        <v>0</v>
      </c>
      <c r="EY5">
        <v>0</v>
      </c>
      <c r="EZ5">
        <v>0</v>
      </c>
      <c r="FA5">
        <v>0</v>
      </c>
      <c r="FB5">
        <v>0</v>
      </c>
      <c r="FC5">
        <v>1</v>
      </c>
      <c r="FD5">
        <v>0</v>
      </c>
      <c r="FE5">
        <v>0</v>
      </c>
      <c r="FF5">
        <v>1</v>
      </c>
      <c r="FG5">
        <v>1</v>
      </c>
      <c r="FH5">
        <v>0</v>
      </c>
      <c r="FI5">
        <v>0</v>
      </c>
      <c r="FJ5">
        <v>0</v>
      </c>
      <c r="FK5">
        <v>0</v>
      </c>
      <c r="FL5">
        <v>0</v>
      </c>
      <c r="FM5">
        <v>1</v>
      </c>
      <c r="FN5">
        <v>0</v>
      </c>
      <c r="FO5">
        <v>0</v>
      </c>
      <c r="FP5">
        <v>1</v>
      </c>
      <c r="FQ5">
        <v>0</v>
      </c>
      <c r="FR5">
        <v>0</v>
      </c>
      <c r="FS5">
        <v>0</v>
      </c>
      <c r="FT5">
        <v>1</v>
      </c>
      <c r="FU5">
        <v>0</v>
      </c>
      <c r="FV5">
        <v>1</v>
      </c>
      <c r="FW5">
        <v>0</v>
      </c>
      <c r="FX5">
        <v>0</v>
      </c>
      <c r="FY5">
        <v>0</v>
      </c>
      <c r="FZ5">
        <v>0</v>
      </c>
      <c r="GA5">
        <v>0</v>
      </c>
      <c r="GB5">
        <v>1</v>
      </c>
      <c r="GC5">
        <v>0</v>
      </c>
      <c r="GD5">
        <v>1</v>
      </c>
      <c r="GE5">
        <v>1</v>
      </c>
      <c r="GF5">
        <v>1</v>
      </c>
      <c r="GG5">
        <v>0</v>
      </c>
      <c r="GH5">
        <v>0</v>
      </c>
      <c r="GI5">
        <v>2</v>
      </c>
      <c r="GJ5" s="1">
        <v>45479.820833333331</v>
      </c>
      <c r="GK5">
        <v>1</v>
      </c>
      <c r="GL5">
        <v>2</v>
      </c>
      <c r="GM5">
        <v>3</v>
      </c>
      <c r="GN5">
        <v>3</v>
      </c>
      <c r="GO5">
        <v>3</v>
      </c>
      <c r="GP5">
        <v>3</v>
      </c>
      <c r="GQ5">
        <v>3</v>
      </c>
      <c r="GR5">
        <v>2</v>
      </c>
      <c r="GS5">
        <v>3</v>
      </c>
      <c r="GT5">
        <v>3</v>
      </c>
      <c r="GU5">
        <v>2</v>
      </c>
      <c r="GV5">
        <v>3</v>
      </c>
      <c r="GW5">
        <v>3</v>
      </c>
      <c r="GX5">
        <v>3</v>
      </c>
      <c r="GY5">
        <v>2</v>
      </c>
      <c r="GZ5">
        <v>3</v>
      </c>
      <c r="HA5">
        <v>3</v>
      </c>
      <c r="HB5">
        <v>2</v>
      </c>
      <c r="HC5">
        <v>17</v>
      </c>
      <c r="HD5">
        <v>13</v>
      </c>
      <c r="HE5">
        <v>42</v>
      </c>
      <c r="HF5">
        <v>2</v>
      </c>
      <c r="HG5" s="1">
        <v>45479.820833333331</v>
      </c>
      <c r="HH5">
        <v>6</v>
      </c>
      <c r="HI5">
        <v>14</v>
      </c>
      <c r="HJ5">
        <v>6</v>
      </c>
      <c r="HK5">
        <v>2</v>
      </c>
      <c r="HL5" s="1">
        <v>45481.713888888888</v>
      </c>
      <c r="HM5">
        <v>0</v>
      </c>
      <c r="HN5">
        <v>0</v>
      </c>
      <c r="HO5">
        <v>1</v>
      </c>
      <c r="HP5">
        <v>1</v>
      </c>
      <c r="HQ5">
        <v>0</v>
      </c>
      <c r="HR5">
        <v>0</v>
      </c>
      <c r="HS5">
        <v>1</v>
      </c>
      <c r="HT5">
        <v>1</v>
      </c>
      <c r="HU5">
        <v>0</v>
      </c>
      <c r="HV5">
        <v>0</v>
      </c>
      <c r="HW5">
        <v>0</v>
      </c>
      <c r="HX5">
        <v>0</v>
      </c>
      <c r="HY5">
        <v>0</v>
      </c>
      <c r="HZ5">
        <v>0</v>
      </c>
      <c r="IA5">
        <v>1</v>
      </c>
      <c r="IB5">
        <v>1</v>
      </c>
      <c r="IC5">
        <v>0</v>
      </c>
      <c r="ID5">
        <v>1</v>
      </c>
      <c r="IE5">
        <v>1</v>
      </c>
      <c r="IF5">
        <v>1</v>
      </c>
      <c r="IG5">
        <v>1</v>
      </c>
      <c r="IH5">
        <v>10</v>
      </c>
      <c r="II5">
        <v>2</v>
      </c>
      <c r="IJ5" s="1">
        <v>45481.720138888886</v>
      </c>
      <c r="IK5">
        <v>1</v>
      </c>
      <c r="IL5">
        <v>1</v>
      </c>
      <c r="IM5">
        <v>0</v>
      </c>
      <c r="IN5">
        <v>1</v>
      </c>
      <c r="IO5">
        <v>0</v>
      </c>
      <c r="IP5">
        <v>0</v>
      </c>
      <c r="IQ5">
        <v>1</v>
      </c>
      <c r="IR5">
        <v>1</v>
      </c>
      <c r="IS5">
        <v>0</v>
      </c>
      <c r="IT5">
        <v>1</v>
      </c>
      <c r="IU5">
        <v>0</v>
      </c>
      <c r="IV5">
        <v>0</v>
      </c>
      <c r="IW5">
        <v>0</v>
      </c>
      <c r="IX5">
        <v>1</v>
      </c>
      <c r="IY5">
        <v>1</v>
      </c>
      <c r="IZ5">
        <v>0</v>
      </c>
      <c r="JA5">
        <v>1</v>
      </c>
      <c r="JB5">
        <v>1</v>
      </c>
      <c r="JC5">
        <v>1</v>
      </c>
      <c r="JD5">
        <v>0</v>
      </c>
      <c r="JE5">
        <v>5</v>
      </c>
      <c r="JF5">
        <v>1</v>
      </c>
      <c r="JG5">
        <v>1</v>
      </c>
      <c r="JH5">
        <v>2</v>
      </c>
      <c r="JI5">
        <v>0</v>
      </c>
      <c r="JJ5">
        <v>1</v>
      </c>
      <c r="JK5">
        <v>1</v>
      </c>
      <c r="JL5" t="s">
        <v>235</v>
      </c>
      <c r="JM5" t="s">
        <v>236</v>
      </c>
      <c r="JN5">
        <v>11</v>
      </c>
      <c r="JO5">
        <v>7</v>
      </c>
      <c r="JP5">
        <v>2</v>
      </c>
      <c r="JQ5">
        <v>2</v>
      </c>
      <c r="JR5" s="1">
        <v>45481.720833333333</v>
      </c>
      <c r="JS5">
        <v>0</v>
      </c>
      <c r="JT5">
        <v>0</v>
      </c>
      <c r="JU5">
        <v>0</v>
      </c>
      <c r="JV5">
        <v>0</v>
      </c>
      <c r="JW5">
        <v>2</v>
      </c>
      <c r="JX5" s="1">
        <v>45481.720833333333</v>
      </c>
      <c r="JY5">
        <v>53.5</v>
      </c>
      <c r="JZ5">
        <v>2.2000000000000002</v>
      </c>
      <c r="KI5">
        <v>3</v>
      </c>
      <c r="KJ5">
        <v>54.8</v>
      </c>
      <c r="KK5">
        <v>4.2</v>
      </c>
      <c r="KL5">
        <v>1</v>
      </c>
      <c r="UA5">
        <v>3</v>
      </c>
      <c r="UB5">
        <v>54.5</v>
      </c>
      <c r="UC5">
        <v>2.5</v>
      </c>
      <c r="UD5">
        <v>3</v>
      </c>
      <c r="UQ5">
        <v>2</v>
      </c>
      <c r="UR5">
        <v>53.5</v>
      </c>
      <c r="US5">
        <v>2.2000000000000002</v>
      </c>
      <c r="UT5">
        <v>4</v>
      </c>
      <c r="XG5">
        <v>2</v>
      </c>
      <c r="XH5">
        <v>53.1</v>
      </c>
      <c r="XI5">
        <v>3.1</v>
      </c>
      <c r="XJ5">
        <v>2</v>
      </c>
      <c r="YQ5">
        <v>2</v>
      </c>
      <c r="YR5" s="1">
        <v>45481.72152777778</v>
      </c>
      <c r="YS5">
        <v>3</v>
      </c>
      <c r="YT5">
        <v>2</v>
      </c>
      <c r="YU5">
        <v>2</v>
      </c>
      <c r="YV5">
        <v>2</v>
      </c>
      <c r="YW5">
        <v>1</v>
      </c>
      <c r="YX5">
        <v>1</v>
      </c>
      <c r="YY5">
        <v>1</v>
      </c>
      <c r="YZ5">
        <v>2</v>
      </c>
      <c r="ZA5">
        <v>2</v>
      </c>
      <c r="ZB5">
        <v>2</v>
      </c>
      <c r="ZC5">
        <v>2</v>
      </c>
      <c r="ZD5">
        <v>3</v>
      </c>
      <c r="ZE5">
        <v>1</v>
      </c>
      <c r="ZF5">
        <v>2</v>
      </c>
      <c r="ZG5">
        <v>3</v>
      </c>
      <c r="ZH5">
        <v>2</v>
      </c>
      <c r="ZI5">
        <v>3</v>
      </c>
      <c r="ZJ5">
        <v>1</v>
      </c>
      <c r="ZK5">
        <v>2</v>
      </c>
      <c r="ZL5">
        <v>1</v>
      </c>
      <c r="ZM5">
        <v>22</v>
      </c>
      <c r="ZN5">
        <v>16</v>
      </c>
      <c r="ZO5">
        <v>2</v>
      </c>
      <c r="ZP5" s="1">
        <v>45481.722222222219</v>
      </c>
      <c r="ZQ5">
        <v>2</v>
      </c>
      <c r="ZR5">
        <v>1</v>
      </c>
      <c r="ZS5">
        <v>1</v>
      </c>
      <c r="ZT5">
        <v>1</v>
      </c>
      <c r="ZU5">
        <v>0</v>
      </c>
      <c r="ZV5">
        <v>1</v>
      </c>
      <c r="ZW5">
        <v>2</v>
      </c>
      <c r="ZX5">
        <v>1</v>
      </c>
      <c r="ZY5">
        <v>0</v>
      </c>
      <c r="ZZ5">
        <v>1</v>
      </c>
      <c r="AAA5">
        <v>0</v>
      </c>
      <c r="AAB5">
        <v>0</v>
      </c>
      <c r="AAC5">
        <v>2</v>
      </c>
      <c r="AAD5">
        <v>0</v>
      </c>
      <c r="AAE5">
        <v>1</v>
      </c>
      <c r="AAF5">
        <v>2</v>
      </c>
      <c r="AAG5">
        <v>0</v>
      </c>
      <c r="AAH5">
        <v>1</v>
      </c>
      <c r="AAI5">
        <v>10</v>
      </c>
      <c r="AAJ5">
        <v>2</v>
      </c>
      <c r="AAK5">
        <v>4</v>
      </c>
      <c r="AAL5">
        <v>16</v>
      </c>
      <c r="AAM5">
        <v>2</v>
      </c>
      <c r="AAN5" s="1">
        <v>45481.723611111112</v>
      </c>
      <c r="AAO5">
        <v>1</v>
      </c>
      <c r="AAP5">
        <v>7</v>
      </c>
      <c r="AAQ5">
        <v>2</v>
      </c>
      <c r="AAR5">
        <v>4</v>
      </c>
      <c r="AAS5">
        <v>3</v>
      </c>
      <c r="AAT5">
        <v>18</v>
      </c>
      <c r="AAU5">
        <v>4</v>
      </c>
      <c r="AAV5">
        <v>3</v>
      </c>
      <c r="AAW5">
        <v>2</v>
      </c>
      <c r="AAX5">
        <v>3</v>
      </c>
      <c r="AAY5">
        <v>1</v>
      </c>
      <c r="AAZ5">
        <v>3</v>
      </c>
      <c r="ABA5">
        <v>2</v>
      </c>
      <c r="ABB5">
        <v>3</v>
      </c>
      <c r="ABC5">
        <v>1</v>
      </c>
      <c r="ABD5">
        <v>4</v>
      </c>
      <c r="ABE5">
        <v>2.5714285710000002</v>
      </c>
      <c r="ABF5">
        <v>2</v>
      </c>
      <c r="ABG5" s="1">
        <v>45481.724305555559</v>
      </c>
      <c r="ABH5">
        <v>1</v>
      </c>
      <c r="ABI5">
        <v>0</v>
      </c>
      <c r="ABJ5">
        <v>1</v>
      </c>
      <c r="ABK5">
        <v>0</v>
      </c>
      <c r="ABL5">
        <v>0</v>
      </c>
      <c r="ABM5">
        <v>0</v>
      </c>
      <c r="ABN5">
        <v>1</v>
      </c>
      <c r="ABO5">
        <v>0</v>
      </c>
      <c r="ABP5">
        <v>0</v>
      </c>
      <c r="ABQ5">
        <v>0</v>
      </c>
      <c r="ABR5">
        <v>0</v>
      </c>
      <c r="ABS5">
        <v>0</v>
      </c>
      <c r="ABT5">
        <v>0</v>
      </c>
      <c r="ABU5">
        <v>0</v>
      </c>
      <c r="ABV5">
        <v>0</v>
      </c>
      <c r="ABW5">
        <v>0</v>
      </c>
      <c r="ABX5">
        <v>0</v>
      </c>
      <c r="ABY5">
        <v>0</v>
      </c>
      <c r="ABZ5">
        <v>0</v>
      </c>
      <c r="ACA5">
        <v>1</v>
      </c>
      <c r="ACB5">
        <v>0</v>
      </c>
      <c r="ACC5">
        <v>0</v>
      </c>
      <c r="ACD5">
        <v>0</v>
      </c>
      <c r="ACE5">
        <v>0</v>
      </c>
      <c r="ACF5">
        <v>1</v>
      </c>
      <c r="ACG5">
        <v>0</v>
      </c>
      <c r="ACH5">
        <v>0</v>
      </c>
      <c r="ACI5">
        <v>0</v>
      </c>
      <c r="ACJ5">
        <v>1</v>
      </c>
      <c r="ACK5">
        <v>1</v>
      </c>
      <c r="ACL5">
        <v>0</v>
      </c>
      <c r="ACM5">
        <v>0</v>
      </c>
      <c r="ACN5">
        <v>1</v>
      </c>
      <c r="ACO5">
        <v>1</v>
      </c>
      <c r="ACP5">
        <v>1</v>
      </c>
      <c r="ACQ5">
        <v>0</v>
      </c>
      <c r="ACR5">
        <v>0</v>
      </c>
      <c r="ACS5">
        <v>1</v>
      </c>
      <c r="ACT5">
        <v>0</v>
      </c>
      <c r="ACU5">
        <v>1</v>
      </c>
      <c r="ACV5">
        <v>1</v>
      </c>
      <c r="ACW5">
        <v>1</v>
      </c>
      <c r="ACX5">
        <v>1</v>
      </c>
      <c r="ACY5">
        <v>1</v>
      </c>
      <c r="ACZ5">
        <v>1</v>
      </c>
      <c r="ADA5">
        <v>1</v>
      </c>
      <c r="ADB5">
        <v>0</v>
      </c>
      <c r="ADC5">
        <v>1</v>
      </c>
      <c r="ADD5">
        <v>1</v>
      </c>
      <c r="ADE5">
        <v>0</v>
      </c>
      <c r="ADF5">
        <v>0</v>
      </c>
      <c r="ADG5">
        <v>0</v>
      </c>
      <c r="ADH5">
        <v>0</v>
      </c>
      <c r="ADI5">
        <v>1</v>
      </c>
      <c r="ADJ5">
        <v>1</v>
      </c>
      <c r="ADK5">
        <v>0</v>
      </c>
      <c r="ADL5">
        <v>0</v>
      </c>
      <c r="ADM5">
        <v>0</v>
      </c>
      <c r="ADN5">
        <v>0</v>
      </c>
      <c r="ADO5">
        <v>1</v>
      </c>
      <c r="ADP5">
        <v>1</v>
      </c>
      <c r="ADQ5">
        <v>0</v>
      </c>
      <c r="ADR5">
        <v>0</v>
      </c>
      <c r="ADS5">
        <v>0</v>
      </c>
      <c r="ADT5">
        <v>0</v>
      </c>
      <c r="ADU5">
        <v>1</v>
      </c>
      <c r="ADV5">
        <v>0</v>
      </c>
      <c r="ADW5">
        <v>0</v>
      </c>
      <c r="ADX5">
        <v>0</v>
      </c>
      <c r="ADY5">
        <v>0</v>
      </c>
      <c r="ADZ5">
        <v>0</v>
      </c>
      <c r="AEA5">
        <v>1</v>
      </c>
      <c r="AEB5">
        <v>0</v>
      </c>
      <c r="AEC5">
        <v>1</v>
      </c>
      <c r="AEE5">
        <v>2</v>
      </c>
      <c r="AEF5" s="1">
        <v>45481.724999999999</v>
      </c>
      <c r="AEG5">
        <v>1</v>
      </c>
      <c r="AEH5">
        <v>0</v>
      </c>
      <c r="AEI5">
        <v>1</v>
      </c>
      <c r="AEJ5">
        <v>1</v>
      </c>
      <c r="AEK5">
        <v>0</v>
      </c>
      <c r="AEL5">
        <v>0</v>
      </c>
      <c r="AEM5">
        <v>0</v>
      </c>
      <c r="AEN5">
        <v>1</v>
      </c>
      <c r="AEO5">
        <v>0</v>
      </c>
      <c r="AEP5">
        <v>1</v>
      </c>
      <c r="AEQ5">
        <v>0</v>
      </c>
      <c r="AER5">
        <v>0</v>
      </c>
      <c r="AES5">
        <v>1</v>
      </c>
      <c r="AET5">
        <v>0</v>
      </c>
      <c r="AEU5">
        <v>0</v>
      </c>
      <c r="AEV5">
        <v>1</v>
      </c>
      <c r="AEW5">
        <v>0</v>
      </c>
      <c r="AEX5">
        <v>0</v>
      </c>
      <c r="AEY5">
        <v>1</v>
      </c>
      <c r="AEZ5">
        <v>1</v>
      </c>
      <c r="AFA5">
        <v>0</v>
      </c>
      <c r="AFB5">
        <v>1</v>
      </c>
      <c r="AFC5">
        <v>1</v>
      </c>
      <c r="AFD5">
        <v>0</v>
      </c>
      <c r="AFE5">
        <v>0</v>
      </c>
      <c r="AFF5">
        <v>1</v>
      </c>
      <c r="AFG5">
        <v>1</v>
      </c>
      <c r="AFH5">
        <v>0</v>
      </c>
      <c r="AFI5">
        <v>0</v>
      </c>
      <c r="AFJ5">
        <v>0</v>
      </c>
      <c r="AFK5">
        <v>3</v>
      </c>
      <c r="AFL5">
        <v>0</v>
      </c>
      <c r="AFM5">
        <v>0</v>
      </c>
      <c r="AFN5">
        <v>5</v>
      </c>
      <c r="AFO5">
        <v>1</v>
      </c>
      <c r="AFP5">
        <v>4</v>
      </c>
      <c r="AFQ5">
        <v>5</v>
      </c>
      <c r="AFR5">
        <v>2</v>
      </c>
      <c r="AFS5" s="1">
        <v>45481.725694444445</v>
      </c>
      <c r="AFT5">
        <v>2</v>
      </c>
      <c r="AFU5">
        <v>2</v>
      </c>
      <c r="AFV5">
        <v>2</v>
      </c>
      <c r="AFW5">
        <v>1</v>
      </c>
      <c r="AFX5">
        <v>3</v>
      </c>
      <c r="AFY5">
        <v>1</v>
      </c>
      <c r="AFZ5">
        <v>1</v>
      </c>
      <c r="AGA5">
        <v>2</v>
      </c>
      <c r="AGB5">
        <v>1</v>
      </c>
      <c r="AGC5">
        <v>3</v>
      </c>
      <c r="AGD5">
        <v>2</v>
      </c>
      <c r="AGE5">
        <v>2</v>
      </c>
      <c r="AGF5">
        <v>1</v>
      </c>
      <c r="AGG5">
        <v>1</v>
      </c>
      <c r="AGH5">
        <v>2</v>
      </c>
      <c r="AGI5">
        <v>2</v>
      </c>
      <c r="AGJ5">
        <v>1</v>
      </c>
      <c r="AGK5">
        <v>1</v>
      </c>
      <c r="AGL5">
        <v>2</v>
      </c>
      <c r="AGM5">
        <v>2</v>
      </c>
      <c r="AGN5">
        <v>40</v>
      </c>
      <c r="AGO5">
        <v>2</v>
      </c>
      <c r="AGP5" s="1">
        <v>45481.725694444445</v>
      </c>
      <c r="AGQ5">
        <v>0</v>
      </c>
      <c r="AGV5">
        <v>0</v>
      </c>
      <c r="AGW5">
        <v>0</v>
      </c>
      <c r="AGX5">
        <v>0</v>
      </c>
      <c r="AGY5">
        <v>0</v>
      </c>
      <c r="AGZ5">
        <v>0</v>
      </c>
      <c r="AHB5">
        <v>2</v>
      </c>
      <c r="AHC5" s="1">
        <v>45481.729166666664</v>
      </c>
      <c r="AHD5" t="s">
        <v>212</v>
      </c>
      <c r="AHE5" t="s">
        <v>212</v>
      </c>
      <c r="AHF5">
        <v>8</v>
      </c>
      <c r="AHG5">
        <v>5</v>
      </c>
      <c r="AHH5">
        <v>8</v>
      </c>
      <c r="AHI5" t="s">
        <v>237</v>
      </c>
      <c r="AHJ5" t="s">
        <v>238</v>
      </c>
      <c r="AHK5" t="s">
        <v>239</v>
      </c>
      <c r="AHL5" t="s">
        <v>212</v>
      </c>
      <c r="AHM5" t="s">
        <v>240</v>
      </c>
      <c r="AHN5">
        <v>7</v>
      </c>
      <c r="AHO5">
        <v>5</v>
      </c>
      <c r="AHP5">
        <v>8</v>
      </c>
      <c r="AHQ5" t="s">
        <v>241</v>
      </c>
      <c r="AHR5" t="s">
        <v>242</v>
      </c>
      <c r="AHS5" t="s">
        <v>212</v>
      </c>
      <c r="AHT5" t="s">
        <v>243</v>
      </c>
      <c r="AHU5" t="s">
        <v>211</v>
      </c>
    </row>
    <row r="6" spans="1:905">
      <c r="A6">
        <v>124</v>
      </c>
      <c r="B6" t="s">
        <v>205</v>
      </c>
      <c r="C6" t="s">
        <v>244</v>
      </c>
      <c r="D6">
        <v>2</v>
      </c>
      <c r="E6">
        <v>2</v>
      </c>
      <c r="F6">
        <v>39</v>
      </c>
      <c r="G6">
        <v>67</v>
      </c>
      <c r="H6">
        <v>182</v>
      </c>
      <c r="I6">
        <v>0</v>
      </c>
      <c r="J6">
        <v>3</v>
      </c>
      <c r="L6" t="s">
        <v>245</v>
      </c>
      <c r="M6">
        <v>2</v>
      </c>
      <c r="N6" s="1">
        <v>45513.40625</v>
      </c>
      <c r="O6">
        <v>8</v>
      </c>
      <c r="P6">
        <v>0</v>
      </c>
      <c r="R6">
        <v>1</v>
      </c>
      <c r="S6">
        <v>0</v>
      </c>
      <c r="T6">
        <v>0</v>
      </c>
      <c r="U6">
        <v>0</v>
      </c>
      <c r="V6">
        <v>0</v>
      </c>
      <c r="W6">
        <v>0</v>
      </c>
      <c r="X6">
        <v>0</v>
      </c>
      <c r="Y6">
        <v>0</v>
      </c>
      <c r="Z6">
        <v>0</v>
      </c>
      <c r="AA6">
        <v>0</v>
      </c>
      <c r="AB6">
        <v>0</v>
      </c>
      <c r="AC6" t="s">
        <v>208</v>
      </c>
      <c r="AD6">
        <v>2</v>
      </c>
      <c r="AE6" s="1">
        <v>45513.406944444447</v>
      </c>
      <c r="AF6">
        <v>3</v>
      </c>
      <c r="AG6">
        <v>2</v>
      </c>
      <c r="AH6">
        <v>2</v>
      </c>
      <c r="AI6">
        <v>1</v>
      </c>
      <c r="AJ6">
        <v>1</v>
      </c>
      <c r="AK6">
        <v>2</v>
      </c>
      <c r="AL6">
        <v>3</v>
      </c>
      <c r="AM6">
        <v>1</v>
      </c>
      <c r="AN6">
        <v>2</v>
      </c>
      <c r="AO6">
        <v>3</v>
      </c>
      <c r="AP6">
        <v>1</v>
      </c>
      <c r="AQ6">
        <v>2</v>
      </c>
      <c r="AR6">
        <v>3</v>
      </c>
      <c r="AS6">
        <v>3</v>
      </c>
      <c r="AT6">
        <v>1</v>
      </c>
      <c r="AU6">
        <v>3</v>
      </c>
      <c r="AV6">
        <v>2</v>
      </c>
      <c r="AW6">
        <v>1</v>
      </c>
      <c r="AX6">
        <v>3</v>
      </c>
      <c r="AY6">
        <v>1</v>
      </c>
      <c r="AZ6">
        <v>35</v>
      </c>
      <c r="BA6">
        <v>2</v>
      </c>
      <c r="BB6" s="1">
        <v>45513.407638888886</v>
      </c>
      <c r="BC6">
        <v>15</v>
      </c>
      <c r="BD6">
        <v>6</v>
      </c>
      <c r="BE6">
        <v>3</v>
      </c>
      <c r="BI6" s="2">
        <v>45362</v>
      </c>
      <c r="BM6">
        <v>25</v>
      </c>
      <c r="BN6">
        <v>4</v>
      </c>
      <c r="BO6">
        <v>2</v>
      </c>
      <c r="BP6">
        <v>1</v>
      </c>
      <c r="BQ6">
        <v>0</v>
      </c>
      <c r="BR6">
        <v>0</v>
      </c>
      <c r="BS6">
        <v>0</v>
      </c>
      <c r="BT6">
        <v>0</v>
      </c>
      <c r="BU6">
        <v>0</v>
      </c>
      <c r="BV6">
        <v>0</v>
      </c>
      <c r="BW6">
        <v>0</v>
      </c>
      <c r="BY6">
        <v>2</v>
      </c>
      <c r="BZ6" s="1">
        <v>45513.40902777778</v>
      </c>
      <c r="CA6">
        <v>4</v>
      </c>
      <c r="CB6">
        <v>3</v>
      </c>
      <c r="CC6">
        <v>3</v>
      </c>
      <c r="CD6">
        <v>3</v>
      </c>
      <c r="CE6">
        <v>4</v>
      </c>
      <c r="CF6">
        <v>3</v>
      </c>
      <c r="CG6">
        <v>3</v>
      </c>
      <c r="CH6">
        <v>3</v>
      </c>
      <c r="CI6">
        <v>4</v>
      </c>
      <c r="CJ6">
        <v>3</v>
      </c>
      <c r="CK6">
        <v>4</v>
      </c>
      <c r="CL6">
        <v>3</v>
      </c>
      <c r="CM6">
        <v>2</v>
      </c>
      <c r="CN6">
        <v>3</v>
      </c>
      <c r="CO6">
        <v>3</v>
      </c>
      <c r="CP6">
        <v>3</v>
      </c>
      <c r="CQ6">
        <v>2</v>
      </c>
      <c r="CR6">
        <v>3</v>
      </c>
      <c r="CS6">
        <v>3</v>
      </c>
      <c r="CT6">
        <v>4</v>
      </c>
      <c r="CU6">
        <v>11</v>
      </c>
      <c r="CV6">
        <v>15</v>
      </c>
      <c r="CW6">
        <v>17</v>
      </c>
      <c r="CX6">
        <v>43</v>
      </c>
      <c r="CY6">
        <v>20</v>
      </c>
      <c r="CZ6">
        <v>2</v>
      </c>
      <c r="DA6" s="1">
        <v>45513.409722222219</v>
      </c>
      <c r="DB6">
        <v>0</v>
      </c>
      <c r="DC6">
        <v>0</v>
      </c>
      <c r="DD6">
        <v>1</v>
      </c>
      <c r="DE6">
        <v>0</v>
      </c>
      <c r="DF6">
        <v>0</v>
      </c>
      <c r="DG6">
        <v>0</v>
      </c>
      <c r="DH6">
        <v>0</v>
      </c>
      <c r="DI6">
        <v>0</v>
      </c>
      <c r="DJ6">
        <v>0</v>
      </c>
      <c r="DK6">
        <v>1</v>
      </c>
      <c r="DL6">
        <v>0</v>
      </c>
      <c r="DM6">
        <v>0</v>
      </c>
      <c r="DN6">
        <v>0</v>
      </c>
      <c r="DO6">
        <v>0</v>
      </c>
      <c r="DP6">
        <v>1</v>
      </c>
      <c r="DQ6">
        <v>0</v>
      </c>
      <c r="DR6">
        <v>0</v>
      </c>
      <c r="DS6">
        <v>0</v>
      </c>
      <c r="DT6">
        <v>0</v>
      </c>
      <c r="DU6">
        <v>1</v>
      </c>
      <c r="DV6">
        <v>0</v>
      </c>
      <c r="DW6">
        <v>0</v>
      </c>
      <c r="DX6">
        <v>0</v>
      </c>
      <c r="DY6">
        <v>0</v>
      </c>
      <c r="DZ6">
        <v>1</v>
      </c>
      <c r="EA6">
        <v>0</v>
      </c>
      <c r="EB6">
        <v>0</v>
      </c>
      <c r="EC6">
        <v>0</v>
      </c>
      <c r="ED6">
        <v>0</v>
      </c>
      <c r="EE6">
        <v>1</v>
      </c>
      <c r="EF6">
        <v>0</v>
      </c>
      <c r="EG6">
        <v>0</v>
      </c>
      <c r="EH6">
        <v>0</v>
      </c>
      <c r="EI6">
        <v>0</v>
      </c>
      <c r="EJ6">
        <v>1</v>
      </c>
      <c r="EK6">
        <v>0</v>
      </c>
      <c r="EL6">
        <v>0</v>
      </c>
      <c r="EM6">
        <v>1</v>
      </c>
      <c r="EN6">
        <v>0</v>
      </c>
      <c r="EO6">
        <v>0</v>
      </c>
      <c r="EP6">
        <v>0</v>
      </c>
      <c r="EQ6">
        <v>0</v>
      </c>
      <c r="ER6">
        <v>1</v>
      </c>
      <c r="ES6">
        <v>0</v>
      </c>
      <c r="ET6">
        <v>0</v>
      </c>
      <c r="EU6">
        <v>0</v>
      </c>
      <c r="EV6">
        <v>0</v>
      </c>
      <c r="EW6">
        <v>0</v>
      </c>
      <c r="EX6">
        <v>0</v>
      </c>
      <c r="EY6">
        <v>1</v>
      </c>
      <c r="EZ6">
        <v>0</v>
      </c>
      <c r="FA6">
        <v>0</v>
      </c>
      <c r="FB6">
        <v>0</v>
      </c>
      <c r="FC6">
        <v>0</v>
      </c>
      <c r="FD6">
        <v>1</v>
      </c>
      <c r="FE6">
        <v>0</v>
      </c>
      <c r="FF6">
        <v>0</v>
      </c>
      <c r="FG6">
        <v>1</v>
      </c>
      <c r="FH6">
        <v>0</v>
      </c>
      <c r="FI6">
        <v>0</v>
      </c>
      <c r="FJ6">
        <v>0</v>
      </c>
      <c r="FK6">
        <v>0</v>
      </c>
      <c r="FL6">
        <v>0</v>
      </c>
      <c r="FM6">
        <v>0</v>
      </c>
      <c r="FN6">
        <v>1</v>
      </c>
      <c r="FO6">
        <v>0</v>
      </c>
      <c r="FP6">
        <v>0</v>
      </c>
      <c r="FQ6">
        <v>0</v>
      </c>
      <c r="FR6">
        <v>0</v>
      </c>
      <c r="FS6">
        <v>1</v>
      </c>
      <c r="FT6">
        <v>1</v>
      </c>
      <c r="FU6">
        <v>0</v>
      </c>
      <c r="FV6">
        <v>0</v>
      </c>
      <c r="FW6">
        <v>0</v>
      </c>
      <c r="FX6">
        <v>0</v>
      </c>
      <c r="FY6">
        <v>0</v>
      </c>
      <c r="FZ6">
        <v>0</v>
      </c>
      <c r="GA6">
        <v>0</v>
      </c>
      <c r="GB6">
        <v>0</v>
      </c>
      <c r="GC6">
        <v>1</v>
      </c>
      <c r="GD6">
        <v>0</v>
      </c>
      <c r="GE6">
        <v>0</v>
      </c>
      <c r="GF6">
        <v>1</v>
      </c>
      <c r="GG6">
        <v>0</v>
      </c>
      <c r="GH6">
        <v>0</v>
      </c>
      <c r="GI6">
        <v>2</v>
      </c>
      <c r="GJ6" s="1">
        <v>45513.410416666666</v>
      </c>
      <c r="GK6">
        <v>0</v>
      </c>
      <c r="HF6">
        <v>2</v>
      </c>
      <c r="HG6" s="1">
        <v>45513.410416666666</v>
      </c>
      <c r="HH6">
        <v>9</v>
      </c>
      <c r="HI6">
        <v>14</v>
      </c>
      <c r="HJ6">
        <v>13</v>
      </c>
      <c r="HK6">
        <v>2</v>
      </c>
      <c r="HL6" s="1">
        <v>45524.392361111109</v>
      </c>
      <c r="HM6">
        <v>0</v>
      </c>
      <c r="HN6">
        <v>0</v>
      </c>
      <c r="HO6">
        <v>0</v>
      </c>
      <c r="HP6">
        <v>0</v>
      </c>
      <c r="HQ6">
        <v>0</v>
      </c>
      <c r="HR6">
        <v>0</v>
      </c>
      <c r="HS6">
        <v>0</v>
      </c>
      <c r="HT6">
        <v>0</v>
      </c>
      <c r="HU6">
        <v>0</v>
      </c>
      <c r="HV6">
        <v>0</v>
      </c>
      <c r="HW6">
        <v>0</v>
      </c>
      <c r="HX6">
        <v>0</v>
      </c>
      <c r="HY6">
        <v>0</v>
      </c>
      <c r="HZ6">
        <v>0</v>
      </c>
      <c r="IA6">
        <v>0</v>
      </c>
      <c r="IB6">
        <v>0</v>
      </c>
      <c r="IC6">
        <v>0</v>
      </c>
      <c r="ID6">
        <v>0</v>
      </c>
      <c r="IE6">
        <v>0</v>
      </c>
      <c r="IF6">
        <v>0</v>
      </c>
      <c r="IG6">
        <v>0</v>
      </c>
      <c r="IH6">
        <v>0</v>
      </c>
      <c r="II6">
        <v>2</v>
      </c>
      <c r="IJ6" s="1">
        <v>45524.393750000003</v>
      </c>
      <c r="IK6">
        <v>0</v>
      </c>
      <c r="IL6">
        <v>0</v>
      </c>
      <c r="IM6">
        <v>0</v>
      </c>
      <c r="IN6">
        <v>0</v>
      </c>
      <c r="IO6">
        <v>0</v>
      </c>
      <c r="IP6">
        <v>0</v>
      </c>
      <c r="IQ6">
        <v>0</v>
      </c>
      <c r="IR6">
        <v>0</v>
      </c>
      <c r="IS6">
        <v>0</v>
      </c>
      <c r="IT6">
        <v>0</v>
      </c>
      <c r="IU6">
        <v>0</v>
      </c>
      <c r="IV6">
        <v>0</v>
      </c>
      <c r="IW6">
        <v>0</v>
      </c>
      <c r="IX6">
        <v>0</v>
      </c>
      <c r="IY6">
        <v>0</v>
      </c>
      <c r="IZ6">
        <v>0</v>
      </c>
      <c r="JA6">
        <v>0</v>
      </c>
      <c r="JB6">
        <v>1</v>
      </c>
      <c r="JC6">
        <v>0</v>
      </c>
      <c r="JD6">
        <v>0</v>
      </c>
      <c r="JE6">
        <v>0.1</v>
      </c>
      <c r="JF6">
        <v>0</v>
      </c>
      <c r="JG6">
        <v>0</v>
      </c>
      <c r="JH6">
        <v>0</v>
      </c>
      <c r="JI6">
        <v>0</v>
      </c>
      <c r="JJ6">
        <v>0</v>
      </c>
      <c r="JK6">
        <v>0</v>
      </c>
      <c r="JL6" t="s">
        <v>246</v>
      </c>
      <c r="JM6" t="s">
        <v>247</v>
      </c>
      <c r="JN6">
        <v>1</v>
      </c>
      <c r="JO6">
        <v>3</v>
      </c>
      <c r="JP6">
        <v>0</v>
      </c>
      <c r="JQ6">
        <v>2</v>
      </c>
      <c r="JR6" s="1">
        <v>45524.393750000003</v>
      </c>
      <c r="JS6">
        <v>0</v>
      </c>
      <c r="JT6">
        <v>0</v>
      </c>
      <c r="JU6">
        <v>0</v>
      </c>
      <c r="JV6">
        <v>0</v>
      </c>
      <c r="JW6">
        <v>2</v>
      </c>
      <c r="JX6" s="1">
        <v>45524.393750000003</v>
      </c>
      <c r="JY6">
        <v>45.2</v>
      </c>
      <c r="JZ6">
        <v>2.4</v>
      </c>
      <c r="KI6">
        <v>2</v>
      </c>
      <c r="KJ6">
        <v>47.9</v>
      </c>
      <c r="KK6">
        <v>4</v>
      </c>
      <c r="KL6">
        <v>1</v>
      </c>
      <c r="UA6">
        <v>1</v>
      </c>
      <c r="UB6">
        <v>46.8</v>
      </c>
      <c r="UC6">
        <v>2.6</v>
      </c>
      <c r="UD6">
        <v>3</v>
      </c>
      <c r="UQ6">
        <v>1</v>
      </c>
      <c r="UR6">
        <v>45.2</v>
      </c>
      <c r="US6">
        <v>2.4</v>
      </c>
      <c r="UT6">
        <v>4</v>
      </c>
      <c r="XG6">
        <v>2</v>
      </c>
      <c r="XH6">
        <v>49.2</v>
      </c>
      <c r="XI6">
        <v>3</v>
      </c>
      <c r="XJ6">
        <v>2</v>
      </c>
      <c r="YQ6">
        <v>2</v>
      </c>
      <c r="YR6" s="1">
        <v>45524.394444444442</v>
      </c>
      <c r="YS6">
        <v>4</v>
      </c>
      <c r="YT6">
        <v>1</v>
      </c>
      <c r="YU6">
        <v>4</v>
      </c>
      <c r="YV6">
        <v>1</v>
      </c>
      <c r="YW6">
        <v>3</v>
      </c>
      <c r="YX6">
        <v>1</v>
      </c>
      <c r="YY6">
        <v>1</v>
      </c>
      <c r="YZ6">
        <v>1</v>
      </c>
      <c r="ZA6">
        <v>4</v>
      </c>
      <c r="ZB6">
        <v>3</v>
      </c>
      <c r="ZC6">
        <v>1</v>
      </c>
      <c r="ZD6">
        <v>4</v>
      </c>
      <c r="ZE6">
        <v>1</v>
      </c>
      <c r="ZF6">
        <v>4</v>
      </c>
      <c r="ZG6">
        <v>1</v>
      </c>
      <c r="ZH6">
        <v>4</v>
      </c>
      <c r="ZI6">
        <v>4</v>
      </c>
      <c r="ZJ6">
        <v>3</v>
      </c>
      <c r="ZK6">
        <v>4</v>
      </c>
      <c r="ZL6">
        <v>1</v>
      </c>
      <c r="ZM6">
        <v>38</v>
      </c>
      <c r="ZN6">
        <v>12</v>
      </c>
      <c r="ZO6">
        <v>2</v>
      </c>
      <c r="ZP6" s="1">
        <v>45524.395138888889</v>
      </c>
      <c r="ZQ6">
        <v>0</v>
      </c>
      <c r="ZR6">
        <v>0</v>
      </c>
      <c r="ZS6">
        <v>0</v>
      </c>
      <c r="ZT6">
        <v>0</v>
      </c>
      <c r="ZU6">
        <v>0</v>
      </c>
      <c r="ZV6">
        <v>0</v>
      </c>
      <c r="ZW6">
        <v>0</v>
      </c>
      <c r="ZX6">
        <v>0</v>
      </c>
      <c r="ZY6">
        <v>0</v>
      </c>
      <c r="ZZ6">
        <v>0</v>
      </c>
      <c r="AAA6">
        <v>0</v>
      </c>
      <c r="AAB6">
        <v>0</v>
      </c>
      <c r="AAC6">
        <v>0</v>
      </c>
      <c r="AAD6">
        <v>0</v>
      </c>
      <c r="AAE6">
        <v>0</v>
      </c>
      <c r="AAF6">
        <v>0</v>
      </c>
      <c r="AAG6">
        <v>0</v>
      </c>
      <c r="AAH6">
        <v>0</v>
      </c>
      <c r="AAI6">
        <v>0</v>
      </c>
      <c r="AAJ6">
        <v>0</v>
      </c>
      <c r="AAK6">
        <v>0</v>
      </c>
      <c r="AAL6">
        <v>0</v>
      </c>
      <c r="AAM6">
        <v>2</v>
      </c>
      <c r="AAN6" s="1">
        <v>45524.395833333336</v>
      </c>
      <c r="AAO6">
        <v>1</v>
      </c>
      <c r="AAP6">
        <v>3</v>
      </c>
      <c r="AAQ6">
        <v>3</v>
      </c>
      <c r="AAR6">
        <v>2</v>
      </c>
      <c r="AAS6">
        <v>3</v>
      </c>
      <c r="AAT6">
        <v>12</v>
      </c>
      <c r="AAU6">
        <v>1</v>
      </c>
      <c r="AAV6">
        <v>0</v>
      </c>
      <c r="AAW6">
        <v>0</v>
      </c>
      <c r="AAX6">
        <v>0</v>
      </c>
      <c r="AAY6">
        <v>0</v>
      </c>
      <c r="AAZ6">
        <v>0</v>
      </c>
      <c r="ABA6">
        <v>0</v>
      </c>
      <c r="ABB6">
        <v>0</v>
      </c>
      <c r="ABC6">
        <v>0</v>
      </c>
      <c r="ABD6">
        <v>2.75</v>
      </c>
      <c r="ABE6">
        <v>10.42857143</v>
      </c>
      <c r="ABF6">
        <v>2</v>
      </c>
      <c r="ABG6" s="1">
        <v>45524.395833333336</v>
      </c>
      <c r="ABH6">
        <v>0</v>
      </c>
      <c r="ABI6">
        <v>0</v>
      </c>
      <c r="ABJ6">
        <v>0</v>
      </c>
      <c r="ABK6">
        <v>0</v>
      </c>
      <c r="ABL6">
        <v>0</v>
      </c>
      <c r="ABM6">
        <v>0</v>
      </c>
      <c r="ABN6">
        <v>0</v>
      </c>
      <c r="ABO6">
        <v>0</v>
      </c>
      <c r="ABP6">
        <v>0</v>
      </c>
      <c r="ABQ6">
        <v>0</v>
      </c>
      <c r="ABR6">
        <v>0</v>
      </c>
      <c r="ABS6">
        <v>0</v>
      </c>
      <c r="ABT6">
        <v>0</v>
      </c>
      <c r="ABU6">
        <v>0</v>
      </c>
      <c r="ABV6">
        <v>0</v>
      </c>
      <c r="ABW6">
        <v>0</v>
      </c>
      <c r="ABX6">
        <v>0</v>
      </c>
      <c r="ABY6">
        <v>0</v>
      </c>
      <c r="ABZ6">
        <v>0</v>
      </c>
      <c r="ACA6">
        <v>0</v>
      </c>
      <c r="ACB6">
        <v>0</v>
      </c>
      <c r="ACC6">
        <v>0</v>
      </c>
      <c r="ACD6">
        <v>0</v>
      </c>
      <c r="ACE6">
        <v>0</v>
      </c>
      <c r="ACF6">
        <v>0</v>
      </c>
      <c r="ACG6">
        <v>0</v>
      </c>
      <c r="ACH6">
        <v>0</v>
      </c>
      <c r="ACI6">
        <v>0</v>
      </c>
      <c r="ACJ6">
        <v>0</v>
      </c>
      <c r="ACK6">
        <v>0</v>
      </c>
      <c r="ACL6">
        <v>0</v>
      </c>
      <c r="ACM6">
        <v>0</v>
      </c>
      <c r="ACN6">
        <v>0</v>
      </c>
      <c r="ACO6">
        <v>0</v>
      </c>
      <c r="ACP6">
        <v>0</v>
      </c>
      <c r="ACQ6">
        <v>0</v>
      </c>
      <c r="ACR6">
        <v>0</v>
      </c>
      <c r="ACS6">
        <v>0</v>
      </c>
      <c r="ACT6">
        <v>0</v>
      </c>
      <c r="ACU6">
        <v>0</v>
      </c>
      <c r="ACV6">
        <v>0</v>
      </c>
      <c r="ACW6">
        <v>0</v>
      </c>
      <c r="ACX6">
        <v>0</v>
      </c>
      <c r="ACY6">
        <v>0</v>
      </c>
      <c r="ACZ6">
        <v>0</v>
      </c>
      <c r="ADA6">
        <v>0</v>
      </c>
      <c r="ADB6">
        <v>0</v>
      </c>
      <c r="ADC6">
        <v>0</v>
      </c>
      <c r="ADD6">
        <v>0</v>
      </c>
      <c r="ADE6">
        <v>0</v>
      </c>
      <c r="ADF6">
        <v>0</v>
      </c>
      <c r="ADG6">
        <v>0</v>
      </c>
      <c r="ADH6">
        <v>0</v>
      </c>
      <c r="ADI6">
        <v>1</v>
      </c>
      <c r="ADJ6">
        <v>1</v>
      </c>
      <c r="ADK6">
        <v>0</v>
      </c>
      <c r="ADL6">
        <v>0</v>
      </c>
      <c r="ADM6">
        <v>0</v>
      </c>
      <c r="ADN6">
        <v>1</v>
      </c>
      <c r="ADO6">
        <v>1</v>
      </c>
      <c r="ADP6">
        <v>0</v>
      </c>
      <c r="ADQ6">
        <v>0</v>
      </c>
      <c r="ADR6">
        <v>0</v>
      </c>
      <c r="ADS6">
        <v>0</v>
      </c>
      <c r="ADT6">
        <v>0</v>
      </c>
      <c r="ADU6">
        <v>0</v>
      </c>
      <c r="ADV6">
        <v>0</v>
      </c>
      <c r="ADW6">
        <v>0</v>
      </c>
      <c r="ADX6">
        <v>0</v>
      </c>
      <c r="ADY6">
        <v>0</v>
      </c>
      <c r="ADZ6">
        <v>0</v>
      </c>
      <c r="AEA6">
        <v>0</v>
      </c>
      <c r="AEB6">
        <v>0</v>
      </c>
      <c r="AEC6">
        <v>0</v>
      </c>
      <c r="AEE6">
        <v>2</v>
      </c>
      <c r="AEF6" s="1">
        <v>45524.396527777775</v>
      </c>
      <c r="AEG6">
        <v>0</v>
      </c>
      <c r="AEH6">
        <v>0</v>
      </c>
      <c r="AEI6">
        <v>0</v>
      </c>
      <c r="AEJ6">
        <v>3</v>
      </c>
      <c r="AEK6">
        <v>0</v>
      </c>
      <c r="AEL6">
        <v>0</v>
      </c>
      <c r="AEM6">
        <v>0</v>
      </c>
      <c r="AEN6">
        <v>3</v>
      </c>
      <c r="AEO6">
        <v>0</v>
      </c>
      <c r="AEP6">
        <v>3</v>
      </c>
      <c r="AEQ6">
        <v>0</v>
      </c>
      <c r="AER6">
        <v>0</v>
      </c>
      <c r="AES6">
        <v>0</v>
      </c>
      <c r="AET6">
        <v>0</v>
      </c>
      <c r="AEU6">
        <v>0</v>
      </c>
      <c r="AEV6">
        <v>0</v>
      </c>
      <c r="AEW6">
        <v>0</v>
      </c>
      <c r="AEX6">
        <v>0</v>
      </c>
      <c r="AEY6">
        <v>0</v>
      </c>
      <c r="AEZ6">
        <v>0</v>
      </c>
      <c r="AFA6">
        <v>0</v>
      </c>
      <c r="AFB6">
        <v>0</v>
      </c>
      <c r="AFC6">
        <v>0</v>
      </c>
      <c r="AFD6">
        <v>0</v>
      </c>
      <c r="AFE6">
        <v>0</v>
      </c>
      <c r="AFF6">
        <v>2</v>
      </c>
      <c r="AFG6">
        <v>2</v>
      </c>
      <c r="AFH6">
        <v>0</v>
      </c>
      <c r="AFI6">
        <v>0</v>
      </c>
      <c r="AFJ6">
        <v>2</v>
      </c>
      <c r="AFK6">
        <v>0</v>
      </c>
      <c r="AFL6">
        <v>0</v>
      </c>
      <c r="AFM6">
        <v>0</v>
      </c>
      <c r="AFN6">
        <v>0</v>
      </c>
      <c r="AFO6">
        <v>2</v>
      </c>
      <c r="AFP6">
        <v>13</v>
      </c>
      <c r="AFQ6">
        <v>-11</v>
      </c>
      <c r="AFR6">
        <v>2</v>
      </c>
      <c r="AFS6" s="1">
        <v>45524.397222222222</v>
      </c>
      <c r="AFT6">
        <v>3</v>
      </c>
      <c r="AFU6">
        <v>4</v>
      </c>
      <c r="AFV6">
        <v>1</v>
      </c>
      <c r="AFW6">
        <v>1</v>
      </c>
      <c r="AFX6">
        <v>3</v>
      </c>
      <c r="AFY6">
        <v>1</v>
      </c>
      <c r="AFZ6">
        <v>1</v>
      </c>
      <c r="AGA6">
        <v>4</v>
      </c>
      <c r="AGB6">
        <v>1</v>
      </c>
      <c r="AGC6">
        <v>4</v>
      </c>
      <c r="AGD6">
        <v>4</v>
      </c>
      <c r="AGE6">
        <v>1</v>
      </c>
      <c r="AGF6">
        <v>1</v>
      </c>
      <c r="AGG6">
        <v>1</v>
      </c>
      <c r="AGH6">
        <v>3</v>
      </c>
      <c r="AGI6">
        <v>4</v>
      </c>
      <c r="AGJ6">
        <v>1</v>
      </c>
      <c r="AGK6">
        <v>1</v>
      </c>
      <c r="AGL6">
        <v>3</v>
      </c>
      <c r="AGM6">
        <v>3</v>
      </c>
      <c r="AGN6">
        <v>25</v>
      </c>
      <c r="AGO6">
        <v>2</v>
      </c>
      <c r="AGP6" s="1">
        <v>45524.397222222222</v>
      </c>
      <c r="AGQ6">
        <v>0</v>
      </c>
      <c r="AGV6">
        <v>0</v>
      </c>
      <c r="AGW6">
        <v>0</v>
      </c>
      <c r="AGX6">
        <v>0</v>
      </c>
      <c r="AGY6">
        <v>0</v>
      </c>
      <c r="AGZ6">
        <v>0</v>
      </c>
      <c r="AHB6">
        <v>2</v>
      </c>
      <c r="AHC6" s="1">
        <v>45524.398611111108</v>
      </c>
      <c r="AHD6" t="s">
        <v>212</v>
      </c>
      <c r="AHE6" t="s">
        <v>212</v>
      </c>
      <c r="AHF6">
        <v>4</v>
      </c>
      <c r="AHG6">
        <v>1</v>
      </c>
      <c r="AHH6">
        <v>3</v>
      </c>
      <c r="AHI6" t="s">
        <v>248</v>
      </c>
      <c r="AHJ6" s="3">
        <v>45459</v>
      </c>
      <c r="AHK6" t="s">
        <v>249</v>
      </c>
      <c r="AHL6" t="s">
        <v>210</v>
      </c>
      <c r="AHN6">
        <v>5</v>
      </c>
      <c r="AHO6" t="s">
        <v>219</v>
      </c>
      <c r="AHP6">
        <v>5</v>
      </c>
      <c r="AHQ6" t="s">
        <v>250</v>
      </c>
      <c r="AHR6" t="s">
        <v>251</v>
      </c>
      <c r="AHS6" t="s">
        <v>210</v>
      </c>
      <c r="AHU6" t="s">
        <v>211</v>
      </c>
    </row>
    <row r="7" spans="1:905">
      <c r="A7">
        <v>127</v>
      </c>
      <c r="B7" t="s">
        <v>205</v>
      </c>
      <c r="C7" t="s">
        <v>252</v>
      </c>
      <c r="D7">
        <v>2</v>
      </c>
      <c r="E7">
        <v>1</v>
      </c>
      <c r="F7">
        <v>37</v>
      </c>
      <c r="G7">
        <v>64</v>
      </c>
      <c r="H7">
        <v>130</v>
      </c>
      <c r="I7">
        <v>0</v>
      </c>
      <c r="J7">
        <v>3</v>
      </c>
      <c r="L7" t="s">
        <v>253</v>
      </c>
      <c r="M7">
        <v>2</v>
      </c>
      <c r="N7" s="1">
        <v>45489.754166666666</v>
      </c>
      <c r="O7">
        <v>8</v>
      </c>
      <c r="P7">
        <v>0</v>
      </c>
      <c r="R7">
        <v>0</v>
      </c>
      <c r="S7">
        <v>1</v>
      </c>
      <c r="T7">
        <v>0</v>
      </c>
      <c r="U7">
        <v>0</v>
      </c>
      <c r="V7">
        <v>0</v>
      </c>
      <c r="W7">
        <v>0</v>
      </c>
      <c r="X7">
        <v>0</v>
      </c>
      <c r="Y7">
        <v>0</v>
      </c>
      <c r="Z7">
        <v>0</v>
      </c>
      <c r="AA7">
        <v>0</v>
      </c>
      <c r="AB7">
        <v>0</v>
      </c>
      <c r="AC7" t="s">
        <v>208</v>
      </c>
      <c r="AD7">
        <v>2</v>
      </c>
      <c r="AE7" s="1">
        <v>45489.755555555559</v>
      </c>
      <c r="AF7">
        <v>3</v>
      </c>
      <c r="AG7">
        <v>2</v>
      </c>
      <c r="AH7">
        <v>3</v>
      </c>
      <c r="AI7">
        <v>2</v>
      </c>
      <c r="AJ7">
        <v>1</v>
      </c>
      <c r="AK7">
        <v>2</v>
      </c>
      <c r="AL7">
        <v>2</v>
      </c>
      <c r="AM7">
        <v>2</v>
      </c>
      <c r="AN7">
        <v>2</v>
      </c>
      <c r="AO7">
        <v>3</v>
      </c>
      <c r="AP7">
        <v>2</v>
      </c>
      <c r="AQ7">
        <v>2</v>
      </c>
      <c r="AR7">
        <v>2</v>
      </c>
      <c r="AS7">
        <v>3</v>
      </c>
      <c r="AT7">
        <v>2</v>
      </c>
      <c r="AU7">
        <v>2</v>
      </c>
      <c r="AV7">
        <v>2</v>
      </c>
      <c r="AW7">
        <v>3</v>
      </c>
      <c r="AX7">
        <v>2</v>
      </c>
      <c r="AY7">
        <v>1</v>
      </c>
      <c r="AZ7">
        <v>44</v>
      </c>
      <c r="BA7">
        <v>2</v>
      </c>
      <c r="BB7" s="1">
        <v>45489.757638888892</v>
      </c>
      <c r="BC7">
        <v>12</v>
      </c>
      <c r="BD7">
        <v>2</v>
      </c>
      <c r="BE7">
        <v>2</v>
      </c>
      <c r="BI7" s="2">
        <v>45473</v>
      </c>
      <c r="BM7">
        <v>23</v>
      </c>
      <c r="BN7">
        <v>5</v>
      </c>
      <c r="BO7">
        <v>2</v>
      </c>
      <c r="BP7">
        <v>0</v>
      </c>
      <c r="BQ7">
        <v>1</v>
      </c>
      <c r="BR7">
        <v>0</v>
      </c>
      <c r="BS7">
        <v>0</v>
      </c>
      <c r="BT7">
        <v>0</v>
      </c>
      <c r="BU7">
        <v>0</v>
      </c>
      <c r="BV7">
        <v>0</v>
      </c>
      <c r="BW7">
        <v>0</v>
      </c>
      <c r="BX7" t="s">
        <v>254</v>
      </c>
      <c r="BY7">
        <v>2</v>
      </c>
      <c r="BZ7" s="1">
        <v>45489.759722222225</v>
      </c>
      <c r="CA7">
        <v>4</v>
      </c>
      <c r="CB7">
        <v>3</v>
      </c>
      <c r="CC7">
        <v>4</v>
      </c>
      <c r="CD7">
        <v>3</v>
      </c>
      <c r="CE7">
        <v>4</v>
      </c>
      <c r="CF7">
        <v>4</v>
      </c>
      <c r="CG7">
        <v>3</v>
      </c>
      <c r="CH7">
        <v>4</v>
      </c>
      <c r="CI7">
        <v>3</v>
      </c>
      <c r="CJ7">
        <v>3</v>
      </c>
      <c r="CK7">
        <v>2</v>
      </c>
      <c r="CL7">
        <v>4</v>
      </c>
      <c r="CM7">
        <v>1</v>
      </c>
      <c r="CN7">
        <v>3</v>
      </c>
      <c r="CO7">
        <v>4</v>
      </c>
      <c r="CP7">
        <v>4</v>
      </c>
      <c r="CQ7">
        <v>2</v>
      </c>
      <c r="CR7">
        <v>2</v>
      </c>
      <c r="CS7">
        <v>3</v>
      </c>
      <c r="CT7">
        <v>4</v>
      </c>
      <c r="CU7">
        <v>13</v>
      </c>
      <c r="CV7">
        <v>13</v>
      </c>
      <c r="CW7">
        <v>19</v>
      </c>
      <c r="CX7">
        <v>45</v>
      </c>
      <c r="CY7">
        <v>23</v>
      </c>
      <c r="CZ7">
        <v>2</v>
      </c>
      <c r="DA7" s="1">
        <v>45489.761111111111</v>
      </c>
      <c r="DB7">
        <v>1</v>
      </c>
      <c r="DC7">
        <v>1</v>
      </c>
      <c r="DD7">
        <v>1</v>
      </c>
      <c r="DE7">
        <v>0</v>
      </c>
      <c r="DF7">
        <v>0</v>
      </c>
      <c r="DG7">
        <v>0</v>
      </c>
      <c r="DH7">
        <v>1</v>
      </c>
      <c r="DI7">
        <v>1</v>
      </c>
      <c r="DJ7">
        <v>0</v>
      </c>
      <c r="DK7">
        <v>0</v>
      </c>
      <c r="DL7">
        <v>1</v>
      </c>
      <c r="DM7">
        <v>1</v>
      </c>
      <c r="DN7">
        <v>1</v>
      </c>
      <c r="DO7">
        <v>0</v>
      </c>
      <c r="DP7">
        <v>0</v>
      </c>
      <c r="DQ7">
        <v>1</v>
      </c>
      <c r="DR7">
        <v>1</v>
      </c>
      <c r="DS7">
        <v>1</v>
      </c>
      <c r="DT7">
        <v>0</v>
      </c>
      <c r="DU7">
        <v>0</v>
      </c>
      <c r="DV7">
        <v>0</v>
      </c>
      <c r="DW7">
        <v>0</v>
      </c>
      <c r="DX7">
        <v>0</v>
      </c>
      <c r="DY7">
        <v>0</v>
      </c>
      <c r="DZ7">
        <v>1</v>
      </c>
      <c r="EA7">
        <v>1</v>
      </c>
      <c r="EB7">
        <v>0</v>
      </c>
      <c r="EC7">
        <v>1</v>
      </c>
      <c r="ED7">
        <v>0</v>
      </c>
      <c r="EE7">
        <v>0</v>
      </c>
      <c r="EF7">
        <v>0</v>
      </c>
      <c r="EG7">
        <v>0</v>
      </c>
      <c r="EH7">
        <v>1</v>
      </c>
      <c r="EI7">
        <v>0</v>
      </c>
      <c r="EJ7">
        <v>0</v>
      </c>
      <c r="EK7">
        <v>0</v>
      </c>
      <c r="EL7">
        <v>0</v>
      </c>
      <c r="EM7">
        <v>1</v>
      </c>
      <c r="EN7">
        <v>0</v>
      </c>
      <c r="EO7">
        <v>0</v>
      </c>
      <c r="EP7">
        <v>1</v>
      </c>
      <c r="EQ7">
        <v>0</v>
      </c>
      <c r="ER7">
        <v>1</v>
      </c>
      <c r="ES7">
        <v>0</v>
      </c>
      <c r="ET7">
        <v>0</v>
      </c>
      <c r="EU7">
        <v>0</v>
      </c>
      <c r="EV7">
        <v>0</v>
      </c>
      <c r="EW7">
        <v>1</v>
      </c>
      <c r="EX7">
        <v>0</v>
      </c>
      <c r="EY7">
        <v>0</v>
      </c>
      <c r="EZ7">
        <v>0</v>
      </c>
      <c r="FA7">
        <v>0</v>
      </c>
      <c r="FB7">
        <v>1</v>
      </c>
      <c r="FC7">
        <v>0</v>
      </c>
      <c r="FD7">
        <v>0</v>
      </c>
      <c r="FE7">
        <v>0</v>
      </c>
      <c r="FF7">
        <v>1</v>
      </c>
      <c r="FG7">
        <v>1</v>
      </c>
      <c r="FH7">
        <v>0</v>
      </c>
      <c r="FI7">
        <v>0</v>
      </c>
      <c r="FJ7">
        <v>0</v>
      </c>
      <c r="FK7">
        <v>0</v>
      </c>
      <c r="FL7">
        <v>1</v>
      </c>
      <c r="FM7">
        <v>0</v>
      </c>
      <c r="FN7">
        <v>0</v>
      </c>
      <c r="FO7">
        <v>0</v>
      </c>
      <c r="FP7">
        <v>0</v>
      </c>
      <c r="FQ7">
        <v>1</v>
      </c>
      <c r="FR7">
        <v>0</v>
      </c>
      <c r="FS7">
        <v>0</v>
      </c>
      <c r="FT7">
        <v>0</v>
      </c>
      <c r="FU7">
        <v>0</v>
      </c>
      <c r="FV7">
        <v>1</v>
      </c>
      <c r="FW7">
        <v>0</v>
      </c>
      <c r="FX7">
        <v>0</v>
      </c>
      <c r="FY7">
        <v>0</v>
      </c>
      <c r="FZ7">
        <v>0</v>
      </c>
      <c r="GA7">
        <v>1</v>
      </c>
      <c r="GB7">
        <v>0</v>
      </c>
      <c r="GC7">
        <v>0</v>
      </c>
      <c r="GD7">
        <v>1</v>
      </c>
      <c r="GE7">
        <v>1</v>
      </c>
      <c r="GF7">
        <v>1</v>
      </c>
      <c r="GG7">
        <v>0</v>
      </c>
      <c r="GH7">
        <v>0</v>
      </c>
      <c r="GI7">
        <v>2</v>
      </c>
      <c r="GJ7" s="1">
        <v>45489.762499999997</v>
      </c>
      <c r="GK7">
        <v>1</v>
      </c>
      <c r="GL7">
        <v>3</v>
      </c>
      <c r="GM7">
        <v>2</v>
      </c>
      <c r="GN7">
        <v>3</v>
      </c>
      <c r="GO7">
        <v>2</v>
      </c>
      <c r="GP7">
        <v>3</v>
      </c>
      <c r="GQ7">
        <v>2</v>
      </c>
      <c r="GR7">
        <v>2</v>
      </c>
      <c r="GS7">
        <v>3</v>
      </c>
      <c r="GT7">
        <v>3</v>
      </c>
      <c r="GU7">
        <v>1</v>
      </c>
      <c r="GV7">
        <v>1</v>
      </c>
      <c r="GW7">
        <v>4</v>
      </c>
      <c r="GX7">
        <v>3</v>
      </c>
      <c r="GY7">
        <v>1</v>
      </c>
      <c r="GZ7">
        <v>2</v>
      </c>
      <c r="HA7">
        <v>4</v>
      </c>
      <c r="HB7">
        <v>2</v>
      </c>
      <c r="HC7">
        <v>13</v>
      </c>
      <c r="HD7">
        <v>13</v>
      </c>
      <c r="HE7">
        <v>35</v>
      </c>
      <c r="HF7">
        <v>2</v>
      </c>
      <c r="HG7" s="1">
        <v>45489.762499999997</v>
      </c>
      <c r="HH7">
        <v>8</v>
      </c>
      <c r="HI7">
        <v>14</v>
      </c>
      <c r="HJ7">
        <v>14</v>
      </c>
      <c r="HK7">
        <v>2</v>
      </c>
      <c r="HL7" s="1">
        <v>45490.38958333333</v>
      </c>
      <c r="HM7">
        <v>1</v>
      </c>
      <c r="HN7">
        <v>1</v>
      </c>
      <c r="HO7">
        <v>0</v>
      </c>
      <c r="HP7">
        <v>1</v>
      </c>
      <c r="HQ7">
        <v>0</v>
      </c>
      <c r="HR7">
        <v>0</v>
      </c>
      <c r="HS7">
        <v>1</v>
      </c>
      <c r="HT7">
        <v>2</v>
      </c>
      <c r="HU7">
        <v>0</v>
      </c>
      <c r="HV7">
        <v>0</v>
      </c>
      <c r="HW7">
        <v>1</v>
      </c>
      <c r="HX7">
        <v>1</v>
      </c>
      <c r="HY7">
        <v>0</v>
      </c>
      <c r="HZ7">
        <v>0</v>
      </c>
      <c r="IA7">
        <v>2</v>
      </c>
      <c r="IB7">
        <v>2</v>
      </c>
      <c r="IC7">
        <v>1</v>
      </c>
      <c r="ID7">
        <v>0</v>
      </c>
      <c r="IE7">
        <v>2</v>
      </c>
      <c r="IF7">
        <v>2</v>
      </c>
      <c r="IG7">
        <v>1</v>
      </c>
      <c r="IH7">
        <v>18</v>
      </c>
      <c r="II7">
        <v>2</v>
      </c>
      <c r="IJ7" s="1">
        <v>45490.390972222223</v>
      </c>
      <c r="IK7">
        <v>1</v>
      </c>
      <c r="IL7">
        <v>1</v>
      </c>
      <c r="IM7">
        <v>0</v>
      </c>
      <c r="IN7">
        <v>1</v>
      </c>
      <c r="IO7">
        <v>0</v>
      </c>
      <c r="IP7">
        <v>1</v>
      </c>
      <c r="IQ7">
        <v>1</v>
      </c>
      <c r="IR7">
        <v>1</v>
      </c>
      <c r="IS7">
        <v>0</v>
      </c>
      <c r="IT7">
        <v>1</v>
      </c>
      <c r="IU7">
        <v>0</v>
      </c>
      <c r="IV7">
        <v>1</v>
      </c>
      <c r="IW7">
        <v>0</v>
      </c>
      <c r="IX7">
        <v>0</v>
      </c>
      <c r="IY7">
        <v>0</v>
      </c>
      <c r="IZ7">
        <v>0</v>
      </c>
      <c r="JA7">
        <v>1</v>
      </c>
      <c r="JB7">
        <v>1</v>
      </c>
      <c r="JC7">
        <v>1</v>
      </c>
      <c r="JD7">
        <v>0</v>
      </c>
      <c r="JE7">
        <v>3</v>
      </c>
      <c r="JF7">
        <v>3</v>
      </c>
      <c r="JG7">
        <v>2</v>
      </c>
      <c r="JH7">
        <v>3</v>
      </c>
      <c r="JI7">
        <v>1</v>
      </c>
      <c r="JJ7">
        <v>0</v>
      </c>
      <c r="JK7">
        <v>1</v>
      </c>
      <c r="JL7" t="s">
        <v>208</v>
      </c>
      <c r="JM7" t="s">
        <v>255</v>
      </c>
      <c r="JN7">
        <v>11</v>
      </c>
      <c r="JO7">
        <v>11</v>
      </c>
      <c r="JP7">
        <v>2</v>
      </c>
      <c r="JQ7">
        <v>2</v>
      </c>
      <c r="JR7" s="1">
        <v>45490.390972222223</v>
      </c>
      <c r="JS7">
        <v>0</v>
      </c>
      <c r="JT7">
        <v>0</v>
      </c>
      <c r="JU7">
        <v>0</v>
      </c>
      <c r="JV7">
        <v>0</v>
      </c>
      <c r="JW7">
        <v>2</v>
      </c>
      <c r="JX7" s="1">
        <v>45490.390972222223</v>
      </c>
      <c r="JY7">
        <v>68.3</v>
      </c>
      <c r="JZ7">
        <v>2.2999999999999998</v>
      </c>
      <c r="KI7">
        <v>4</v>
      </c>
      <c r="KJ7">
        <v>62.3</v>
      </c>
      <c r="KK7">
        <v>4.2</v>
      </c>
      <c r="KL7">
        <v>1</v>
      </c>
      <c r="UQ7">
        <v>4</v>
      </c>
      <c r="UR7">
        <v>66.900000000000006</v>
      </c>
      <c r="US7">
        <v>2.7</v>
      </c>
      <c r="UT7">
        <v>3</v>
      </c>
      <c r="WQ7">
        <v>5</v>
      </c>
      <c r="WR7">
        <v>68.3</v>
      </c>
      <c r="WS7">
        <v>2.2999999999999998</v>
      </c>
      <c r="WT7">
        <v>4</v>
      </c>
      <c r="XG7">
        <v>5</v>
      </c>
      <c r="XH7">
        <v>67.3</v>
      </c>
      <c r="XI7">
        <v>3.4</v>
      </c>
      <c r="XJ7">
        <v>2</v>
      </c>
      <c r="YQ7">
        <v>2</v>
      </c>
      <c r="YR7" s="1">
        <v>45490.39166666667</v>
      </c>
      <c r="YS7">
        <v>3</v>
      </c>
      <c r="YT7">
        <v>2</v>
      </c>
      <c r="YU7">
        <v>2</v>
      </c>
      <c r="YV7">
        <v>2</v>
      </c>
      <c r="YW7">
        <v>2</v>
      </c>
      <c r="YX7">
        <v>1</v>
      </c>
      <c r="YY7">
        <v>1</v>
      </c>
      <c r="YZ7">
        <v>1</v>
      </c>
      <c r="ZA7">
        <v>2</v>
      </c>
      <c r="ZB7">
        <v>2</v>
      </c>
      <c r="ZC7">
        <v>3</v>
      </c>
      <c r="ZD7">
        <v>2</v>
      </c>
      <c r="ZE7">
        <v>1</v>
      </c>
      <c r="ZF7">
        <v>2</v>
      </c>
      <c r="ZG7">
        <v>3</v>
      </c>
      <c r="ZH7">
        <v>2</v>
      </c>
      <c r="ZI7">
        <v>2</v>
      </c>
      <c r="ZJ7">
        <v>2</v>
      </c>
      <c r="ZK7">
        <v>3</v>
      </c>
      <c r="ZL7">
        <v>1</v>
      </c>
      <c r="ZM7">
        <v>22</v>
      </c>
      <c r="ZN7">
        <v>17</v>
      </c>
      <c r="ZO7">
        <v>2</v>
      </c>
      <c r="ZP7" s="1">
        <v>45490.392361111109</v>
      </c>
      <c r="ZQ7">
        <v>3</v>
      </c>
      <c r="ZR7">
        <v>1</v>
      </c>
      <c r="ZS7">
        <v>1</v>
      </c>
      <c r="ZT7">
        <v>0</v>
      </c>
      <c r="ZU7">
        <v>1</v>
      </c>
      <c r="ZV7">
        <v>1</v>
      </c>
      <c r="ZW7">
        <v>1</v>
      </c>
      <c r="ZX7">
        <v>1</v>
      </c>
      <c r="ZY7">
        <v>0</v>
      </c>
      <c r="ZZ7">
        <v>0</v>
      </c>
      <c r="AAA7">
        <v>0</v>
      </c>
      <c r="AAB7">
        <v>0</v>
      </c>
      <c r="AAC7">
        <v>2</v>
      </c>
      <c r="AAD7">
        <v>1</v>
      </c>
      <c r="AAE7">
        <v>2</v>
      </c>
      <c r="AAF7">
        <v>2</v>
      </c>
      <c r="AAG7">
        <v>0</v>
      </c>
      <c r="AAH7">
        <v>0</v>
      </c>
      <c r="AAI7">
        <v>8</v>
      </c>
      <c r="AAJ7">
        <v>4</v>
      </c>
      <c r="AAK7">
        <v>4</v>
      </c>
      <c r="AAL7">
        <v>16</v>
      </c>
      <c r="AAM7">
        <v>2</v>
      </c>
      <c r="AAN7" s="1">
        <v>45490.393750000003</v>
      </c>
      <c r="AAO7">
        <v>1</v>
      </c>
      <c r="AAP7">
        <v>6</v>
      </c>
      <c r="AAQ7">
        <v>2</v>
      </c>
      <c r="AAR7">
        <v>5</v>
      </c>
      <c r="AAS7">
        <v>6</v>
      </c>
      <c r="AAT7">
        <v>12</v>
      </c>
      <c r="AAU7">
        <v>6</v>
      </c>
      <c r="AAV7">
        <v>5</v>
      </c>
      <c r="AAW7">
        <v>4</v>
      </c>
      <c r="AAX7">
        <v>7</v>
      </c>
      <c r="AAY7">
        <v>1</v>
      </c>
      <c r="AAZ7">
        <v>9</v>
      </c>
      <c r="ABA7">
        <v>7</v>
      </c>
      <c r="ABB7">
        <v>6</v>
      </c>
      <c r="ABC7">
        <v>0</v>
      </c>
      <c r="ABD7">
        <v>4.75</v>
      </c>
      <c r="ABE7">
        <v>5.5714285710000002</v>
      </c>
      <c r="ABF7">
        <v>2</v>
      </c>
      <c r="ABG7" s="1">
        <v>45490.393750000003</v>
      </c>
      <c r="ABH7">
        <v>0</v>
      </c>
      <c r="ABI7">
        <v>0</v>
      </c>
      <c r="ABJ7">
        <v>0</v>
      </c>
      <c r="ABK7">
        <v>0</v>
      </c>
      <c r="ABL7">
        <v>0</v>
      </c>
      <c r="ABM7">
        <v>0</v>
      </c>
      <c r="ABN7">
        <v>0</v>
      </c>
      <c r="ABO7">
        <v>0</v>
      </c>
      <c r="ABP7">
        <v>0</v>
      </c>
      <c r="ABQ7">
        <v>0</v>
      </c>
      <c r="ABR7">
        <v>0</v>
      </c>
      <c r="ABS7">
        <v>0</v>
      </c>
      <c r="ABT7">
        <v>0</v>
      </c>
      <c r="ABU7">
        <v>0</v>
      </c>
      <c r="ABV7">
        <v>0</v>
      </c>
      <c r="ABW7">
        <v>0</v>
      </c>
      <c r="ABX7">
        <v>0</v>
      </c>
      <c r="ABY7">
        <v>0</v>
      </c>
      <c r="ABZ7">
        <v>0</v>
      </c>
      <c r="ACA7">
        <v>1</v>
      </c>
      <c r="ACB7">
        <v>0</v>
      </c>
      <c r="ACC7">
        <v>0</v>
      </c>
      <c r="ACD7">
        <v>1</v>
      </c>
      <c r="ACE7">
        <v>0</v>
      </c>
      <c r="ACF7">
        <v>0</v>
      </c>
      <c r="ACG7">
        <v>1</v>
      </c>
      <c r="ACH7">
        <v>0</v>
      </c>
      <c r="ACI7">
        <v>0</v>
      </c>
      <c r="ACJ7">
        <v>0</v>
      </c>
      <c r="ACK7">
        <v>1</v>
      </c>
      <c r="ACL7">
        <v>1</v>
      </c>
      <c r="ACM7">
        <v>0</v>
      </c>
      <c r="ACN7">
        <v>0</v>
      </c>
      <c r="ACO7">
        <v>0</v>
      </c>
      <c r="ACP7">
        <v>0</v>
      </c>
      <c r="ACQ7">
        <v>0</v>
      </c>
      <c r="ACR7">
        <v>0</v>
      </c>
      <c r="ACS7">
        <v>0</v>
      </c>
      <c r="ACT7">
        <v>0</v>
      </c>
      <c r="ACU7">
        <v>0</v>
      </c>
      <c r="ACV7">
        <v>1</v>
      </c>
      <c r="ACW7">
        <v>1</v>
      </c>
      <c r="ACX7">
        <v>1</v>
      </c>
      <c r="ACY7">
        <v>0</v>
      </c>
      <c r="ACZ7">
        <v>0</v>
      </c>
      <c r="ADA7">
        <v>1</v>
      </c>
      <c r="ADB7">
        <v>0</v>
      </c>
      <c r="ADC7">
        <v>0</v>
      </c>
      <c r="ADD7">
        <v>0</v>
      </c>
      <c r="ADE7">
        <v>0</v>
      </c>
      <c r="ADF7">
        <v>0</v>
      </c>
      <c r="ADG7">
        <v>1</v>
      </c>
      <c r="ADH7">
        <v>0</v>
      </c>
      <c r="ADI7">
        <v>1</v>
      </c>
      <c r="ADJ7">
        <v>1</v>
      </c>
      <c r="ADK7">
        <v>0</v>
      </c>
      <c r="ADL7">
        <v>0</v>
      </c>
      <c r="ADM7">
        <v>1</v>
      </c>
      <c r="ADN7">
        <v>0</v>
      </c>
      <c r="ADO7">
        <v>1</v>
      </c>
      <c r="ADP7">
        <v>1</v>
      </c>
      <c r="ADQ7">
        <v>0</v>
      </c>
      <c r="ADR7">
        <v>0</v>
      </c>
      <c r="ADS7">
        <v>0</v>
      </c>
      <c r="ADT7">
        <v>0</v>
      </c>
      <c r="ADU7">
        <v>0</v>
      </c>
      <c r="ADV7">
        <v>0</v>
      </c>
      <c r="ADW7">
        <v>0</v>
      </c>
      <c r="ADX7">
        <v>0</v>
      </c>
      <c r="ADY7">
        <v>0</v>
      </c>
      <c r="ADZ7">
        <v>0</v>
      </c>
      <c r="AEA7">
        <v>0</v>
      </c>
      <c r="AEB7">
        <v>0</v>
      </c>
      <c r="AEC7">
        <v>0</v>
      </c>
      <c r="AEE7">
        <v>2</v>
      </c>
      <c r="AEF7" s="1">
        <v>45490.394444444442</v>
      </c>
      <c r="AEG7">
        <v>1</v>
      </c>
      <c r="AEH7">
        <v>0</v>
      </c>
      <c r="AEI7">
        <v>2</v>
      </c>
      <c r="AEJ7">
        <v>0</v>
      </c>
      <c r="AEK7">
        <v>0</v>
      </c>
      <c r="AEL7">
        <v>0</v>
      </c>
      <c r="AEM7">
        <v>0</v>
      </c>
      <c r="AEN7">
        <v>1</v>
      </c>
      <c r="AEO7">
        <v>0</v>
      </c>
      <c r="AEP7">
        <v>0</v>
      </c>
      <c r="AEQ7">
        <v>0</v>
      </c>
      <c r="AER7">
        <v>0</v>
      </c>
      <c r="AES7">
        <v>2</v>
      </c>
      <c r="AET7">
        <v>0</v>
      </c>
      <c r="AEU7">
        <v>0</v>
      </c>
      <c r="AEV7">
        <v>0</v>
      </c>
      <c r="AEW7">
        <v>0</v>
      </c>
      <c r="AEX7">
        <v>0</v>
      </c>
      <c r="AEY7">
        <v>2</v>
      </c>
      <c r="AEZ7">
        <v>0</v>
      </c>
      <c r="AFA7">
        <v>0</v>
      </c>
      <c r="AFB7">
        <v>1</v>
      </c>
      <c r="AFC7">
        <v>0</v>
      </c>
      <c r="AFD7">
        <v>0</v>
      </c>
      <c r="AFE7">
        <v>0</v>
      </c>
      <c r="AFF7">
        <v>0</v>
      </c>
      <c r="AFG7">
        <v>0</v>
      </c>
      <c r="AFH7">
        <v>0</v>
      </c>
      <c r="AFI7">
        <v>0</v>
      </c>
      <c r="AFJ7">
        <v>0</v>
      </c>
      <c r="AFK7">
        <v>1</v>
      </c>
      <c r="AFL7">
        <v>0</v>
      </c>
      <c r="AFM7">
        <v>0</v>
      </c>
      <c r="AFN7">
        <v>7</v>
      </c>
      <c r="AFO7">
        <v>0</v>
      </c>
      <c r="AFP7">
        <v>1</v>
      </c>
      <c r="AFQ7">
        <v>7</v>
      </c>
      <c r="AFR7">
        <v>2</v>
      </c>
      <c r="AFS7" s="1">
        <v>45490.395138888889</v>
      </c>
      <c r="AFT7">
        <v>3</v>
      </c>
      <c r="AFU7">
        <v>2</v>
      </c>
      <c r="AFV7">
        <v>2</v>
      </c>
      <c r="AFW7">
        <v>1</v>
      </c>
      <c r="AFX7">
        <v>3</v>
      </c>
      <c r="AFY7">
        <v>1</v>
      </c>
      <c r="AFZ7">
        <v>1</v>
      </c>
      <c r="AGA7">
        <v>2</v>
      </c>
      <c r="AGB7">
        <v>1</v>
      </c>
      <c r="AGC7">
        <v>3</v>
      </c>
      <c r="AGD7">
        <v>2</v>
      </c>
      <c r="AGE7">
        <v>1</v>
      </c>
      <c r="AGF7">
        <v>1</v>
      </c>
      <c r="AGG7">
        <v>1</v>
      </c>
      <c r="AGH7">
        <v>2</v>
      </c>
      <c r="AGI7">
        <v>2</v>
      </c>
      <c r="AGJ7">
        <v>1</v>
      </c>
      <c r="AGK7">
        <v>1</v>
      </c>
      <c r="AGL7">
        <v>2</v>
      </c>
      <c r="AGM7">
        <v>2</v>
      </c>
      <c r="AGN7">
        <v>38</v>
      </c>
      <c r="AGO7">
        <v>2</v>
      </c>
      <c r="AGP7" s="1">
        <v>45490.395138888889</v>
      </c>
      <c r="AGQ7">
        <v>0</v>
      </c>
      <c r="AGV7">
        <v>0</v>
      </c>
      <c r="AGW7">
        <v>0</v>
      </c>
      <c r="AGX7">
        <v>0</v>
      </c>
      <c r="AGY7">
        <v>0</v>
      </c>
      <c r="AGZ7">
        <v>0</v>
      </c>
      <c r="AHB7">
        <v>2</v>
      </c>
      <c r="AHC7" s="1">
        <v>45490.396527777775</v>
      </c>
      <c r="AHD7" t="s">
        <v>210</v>
      </c>
      <c r="AHE7" t="s">
        <v>212</v>
      </c>
      <c r="AHN7">
        <v>7</v>
      </c>
      <c r="AHO7">
        <v>8</v>
      </c>
      <c r="AHP7">
        <v>6</v>
      </c>
      <c r="AHQ7" t="s">
        <v>256</v>
      </c>
      <c r="AHR7" t="s">
        <v>214</v>
      </c>
      <c r="AHS7" t="s">
        <v>212</v>
      </c>
      <c r="AHT7" t="s">
        <v>257</v>
      </c>
      <c r="AHU7" t="s">
        <v>211</v>
      </c>
    </row>
    <row r="8" spans="1:905">
      <c r="A8">
        <v>130</v>
      </c>
      <c r="B8" t="s">
        <v>205</v>
      </c>
      <c r="C8" t="s">
        <v>258</v>
      </c>
      <c r="D8">
        <v>2</v>
      </c>
      <c r="E8">
        <v>2</v>
      </c>
      <c r="F8">
        <v>55</v>
      </c>
      <c r="G8">
        <v>67</v>
      </c>
      <c r="H8">
        <v>145</v>
      </c>
      <c r="I8">
        <v>0</v>
      </c>
      <c r="J8">
        <v>3</v>
      </c>
      <c r="L8" t="s">
        <v>259</v>
      </c>
      <c r="M8">
        <v>2</v>
      </c>
      <c r="N8" s="1">
        <v>45488.443749999999</v>
      </c>
      <c r="O8">
        <v>8</v>
      </c>
      <c r="P8">
        <v>0</v>
      </c>
      <c r="R8">
        <v>0</v>
      </c>
      <c r="S8">
        <v>1</v>
      </c>
      <c r="T8">
        <v>0</v>
      </c>
      <c r="U8">
        <v>0</v>
      </c>
      <c r="V8">
        <v>0</v>
      </c>
      <c r="W8">
        <v>0</v>
      </c>
      <c r="X8">
        <v>0</v>
      </c>
      <c r="Y8">
        <v>0</v>
      </c>
      <c r="Z8">
        <v>0</v>
      </c>
      <c r="AA8">
        <v>0</v>
      </c>
      <c r="AB8">
        <v>0</v>
      </c>
      <c r="AC8" t="s">
        <v>208</v>
      </c>
      <c r="AD8">
        <v>2</v>
      </c>
      <c r="AE8" s="1">
        <v>45488.444444444445</v>
      </c>
      <c r="AF8">
        <v>3</v>
      </c>
      <c r="AG8">
        <v>4</v>
      </c>
      <c r="AH8">
        <v>2</v>
      </c>
      <c r="AI8">
        <v>4</v>
      </c>
      <c r="AJ8">
        <v>2</v>
      </c>
      <c r="AK8">
        <v>1</v>
      </c>
      <c r="AL8">
        <v>2</v>
      </c>
      <c r="AM8">
        <v>2</v>
      </c>
      <c r="AN8">
        <v>2</v>
      </c>
      <c r="AO8">
        <v>2</v>
      </c>
      <c r="AP8">
        <v>1</v>
      </c>
      <c r="AQ8">
        <v>1</v>
      </c>
      <c r="AR8">
        <v>2</v>
      </c>
      <c r="AS8">
        <v>1</v>
      </c>
      <c r="AT8">
        <v>3</v>
      </c>
      <c r="AU8">
        <v>2</v>
      </c>
      <c r="AV8">
        <v>4</v>
      </c>
      <c r="AW8">
        <v>4</v>
      </c>
      <c r="AX8">
        <v>4</v>
      </c>
      <c r="AY8">
        <v>2</v>
      </c>
      <c r="AZ8">
        <v>55</v>
      </c>
      <c r="BA8">
        <v>2</v>
      </c>
      <c r="BB8" s="1">
        <v>45488.445833333331</v>
      </c>
      <c r="BC8">
        <v>14</v>
      </c>
      <c r="BD8">
        <v>3</v>
      </c>
      <c r="BE8">
        <v>1</v>
      </c>
      <c r="BI8" s="2">
        <v>45464</v>
      </c>
      <c r="BM8">
        <v>28</v>
      </c>
      <c r="BN8">
        <v>7</v>
      </c>
      <c r="BO8">
        <v>1</v>
      </c>
      <c r="BP8">
        <v>1</v>
      </c>
      <c r="BQ8">
        <v>0</v>
      </c>
      <c r="BR8">
        <v>0</v>
      </c>
      <c r="BS8">
        <v>0</v>
      </c>
      <c r="BT8">
        <v>0</v>
      </c>
      <c r="BU8">
        <v>0</v>
      </c>
      <c r="BV8">
        <v>0</v>
      </c>
      <c r="BW8">
        <v>0</v>
      </c>
      <c r="BY8">
        <v>2</v>
      </c>
      <c r="BZ8" s="1">
        <v>45488.447222222225</v>
      </c>
      <c r="CA8">
        <v>3</v>
      </c>
      <c r="CB8">
        <v>2</v>
      </c>
      <c r="CC8">
        <v>3</v>
      </c>
      <c r="CD8">
        <v>4</v>
      </c>
      <c r="CE8">
        <v>4</v>
      </c>
      <c r="CF8">
        <v>2</v>
      </c>
      <c r="CG8">
        <v>4</v>
      </c>
      <c r="CH8">
        <v>3</v>
      </c>
      <c r="CI8">
        <v>3</v>
      </c>
      <c r="CJ8">
        <v>4</v>
      </c>
      <c r="CK8">
        <v>2</v>
      </c>
      <c r="CL8">
        <v>3</v>
      </c>
      <c r="CM8">
        <v>2</v>
      </c>
      <c r="CN8">
        <v>2</v>
      </c>
      <c r="CO8">
        <v>4</v>
      </c>
      <c r="CP8">
        <v>1</v>
      </c>
      <c r="CQ8">
        <v>1</v>
      </c>
      <c r="CR8">
        <v>3</v>
      </c>
      <c r="CS8">
        <v>3</v>
      </c>
      <c r="CT8">
        <v>3</v>
      </c>
      <c r="CU8">
        <v>8</v>
      </c>
      <c r="CV8">
        <v>10</v>
      </c>
      <c r="CW8">
        <v>15</v>
      </c>
      <c r="CX8">
        <v>33</v>
      </c>
      <c r="CY8">
        <v>23</v>
      </c>
      <c r="CZ8">
        <v>2</v>
      </c>
      <c r="DA8" s="1">
        <v>45488.45</v>
      </c>
      <c r="DB8">
        <v>0</v>
      </c>
      <c r="DC8">
        <v>0</v>
      </c>
      <c r="DD8">
        <v>0</v>
      </c>
      <c r="DE8">
        <v>0</v>
      </c>
      <c r="DF8">
        <v>1</v>
      </c>
      <c r="DG8">
        <v>0</v>
      </c>
      <c r="DH8">
        <v>0</v>
      </c>
      <c r="DI8">
        <v>0</v>
      </c>
      <c r="DJ8">
        <v>0</v>
      </c>
      <c r="DK8">
        <v>1</v>
      </c>
      <c r="DL8">
        <v>1</v>
      </c>
      <c r="DM8">
        <v>0</v>
      </c>
      <c r="DN8">
        <v>1</v>
      </c>
      <c r="DO8">
        <v>0</v>
      </c>
      <c r="DP8">
        <v>0</v>
      </c>
      <c r="DQ8">
        <v>1</v>
      </c>
      <c r="DR8">
        <v>0</v>
      </c>
      <c r="DS8">
        <v>0</v>
      </c>
      <c r="DT8">
        <v>0</v>
      </c>
      <c r="DU8">
        <v>0</v>
      </c>
      <c r="DV8">
        <v>0</v>
      </c>
      <c r="DW8">
        <v>0</v>
      </c>
      <c r="DX8">
        <v>0</v>
      </c>
      <c r="DY8">
        <v>0</v>
      </c>
      <c r="DZ8">
        <v>1</v>
      </c>
      <c r="EA8">
        <v>0</v>
      </c>
      <c r="EB8">
        <v>0</v>
      </c>
      <c r="EC8">
        <v>1</v>
      </c>
      <c r="ED8">
        <v>0</v>
      </c>
      <c r="EE8">
        <v>0</v>
      </c>
      <c r="EF8">
        <v>0</v>
      </c>
      <c r="EG8">
        <v>0</v>
      </c>
      <c r="EH8">
        <v>1</v>
      </c>
      <c r="EI8">
        <v>0</v>
      </c>
      <c r="EJ8">
        <v>0</v>
      </c>
      <c r="EK8">
        <v>0</v>
      </c>
      <c r="EL8">
        <v>0</v>
      </c>
      <c r="EM8">
        <v>1</v>
      </c>
      <c r="EN8">
        <v>0</v>
      </c>
      <c r="EO8">
        <v>0</v>
      </c>
      <c r="EP8">
        <v>1</v>
      </c>
      <c r="EQ8">
        <v>1</v>
      </c>
      <c r="ER8">
        <v>1</v>
      </c>
      <c r="ES8">
        <v>0</v>
      </c>
      <c r="ET8">
        <v>0</v>
      </c>
      <c r="EU8">
        <v>0</v>
      </c>
      <c r="EV8">
        <v>0</v>
      </c>
      <c r="EW8">
        <v>0</v>
      </c>
      <c r="EX8">
        <v>0</v>
      </c>
      <c r="EY8">
        <v>1</v>
      </c>
      <c r="EZ8">
        <v>0</v>
      </c>
      <c r="FA8">
        <v>0</v>
      </c>
      <c r="FB8">
        <v>1</v>
      </c>
      <c r="FC8">
        <v>0</v>
      </c>
      <c r="FD8">
        <v>0</v>
      </c>
      <c r="FE8">
        <v>0</v>
      </c>
      <c r="FF8">
        <v>1</v>
      </c>
      <c r="FG8">
        <v>0</v>
      </c>
      <c r="FH8">
        <v>0</v>
      </c>
      <c r="FI8">
        <v>0</v>
      </c>
      <c r="FJ8">
        <v>0</v>
      </c>
      <c r="FK8">
        <v>0</v>
      </c>
      <c r="FL8">
        <v>0</v>
      </c>
      <c r="FM8">
        <v>0</v>
      </c>
      <c r="FN8">
        <v>1</v>
      </c>
      <c r="FO8">
        <v>0</v>
      </c>
      <c r="FP8">
        <v>0</v>
      </c>
      <c r="FQ8">
        <v>0</v>
      </c>
      <c r="FR8">
        <v>0</v>
      </c>
      <c r="FS8">
        <v>1</v>
      </c>
      <c r="FT8">
        <v>0</v>
      </c>
      <c r="FU8">
        <v>0</v>
      </c>
      <c r="FV8">
        <v>0</v>
      </c>
      <c r="FW8">
        <v>0</v>
      </c>
      <c r="FX8">
        <v>1</v>
      </c>
      <c r="FY8">
        <v>0</v>
      </c>
      <c r="FZ8">
        <v>0</v>
      </c>
      <c r="GA8">
        <v>0</v>
      </c>
      <c r="GB8">
        <v>0</v>
      </c>
      <c r="GC8">
        <v>1</v>
      </c>
      <c r="GD8">
        <v>1</v>
      </c>
      <c r="GE8">
        <v>0</v>
      </c>
      <c r="GF8">
        <v>0</v>
      </c>
      <c r="GG8">
        <v>0</v>
      </c>
      <c r="GH8">
        <v>0</v>
      </c>
      <c r="GI8">
        <v>2</v>
      </c>
      <c r="GJ8" s="1">
        <v>45488.451388888891</v>
      </c>
      <c r="GK8">
        <v>1</v>
      </c>
      <c r="GL8">
        <v>2</v>
      </c>
      <c r="GM8">
        <v>2</v>
      </c>
      <c r="GN8">
        <v>2</v>
      </c>
      <c r="GO8">
        <v>2</v>
      </c>
      <c r="GP8">
        <v>3</v>
      </c>
      <c r="GQ8">
        <v>3</v>
      </c>
      <c r="GR8">
        <v>2</v>
      </c>
      <c r="GS8">
        <v>3</v>
      </c>
      <c r="GT8">
        <v>3</v>
      </c>
      <c r="GU8">
        <v>2</v>
      </c>
      <c r="GV8">
        <v>2</v>
      </c>
      <c r="GW8">
        <v>3</v>
      </c>
      <c r="GX8">
        <v>3</v>
      </c>
      <c r="GY8">
        <v>2</v>
      </c>
      <c r="GZ8">
        <v>2</v>
      </c>
      <c r="HA8">
        <v>3</v>
      </c>
      <c r="HB8">
        <v>2</v>
      </c>
      <c r="HC8">
        <v>15</v>
      </c>
      <c r="HD8">
        <v>13</v>
      </c>
      <c r="HE8">
        <v>39</v>
      </c>
      <c r="HF8">
        <v>2</v>
      </c>
      <c r="HG8" s="1">
        <v>45488.45208333333</v>
      </c>
      <c r="HH8">
        <v>6</v>
      </c>
      <c r="HI8">
        <v>13</v>
      </c>
      <c r="HJ8">
        <v>12</v>
      </c>
      <c r="HK8">
        <v>2</v>
      </c>
      <c r="HL8" s="1">
        <v>45489.597222222219</v>
      </c>
      <c r="HM8">
        <v>0</v>
      </c>
      <c r="HN8">
        <v>0</v>
      </c>
      <c r="HO8">
        <v>1</v>
      </c>
      <c r="HP8">
        <v>1</v>
      </c>
      <c r="HQ8">
        <v>0</v>
      </c>
      <c r="HR8">
        <v>0</v>
      </c>
      <c r="HS8">
        <v>0</v>
      </c>
      <c r="HT8">
        <v>0</v>
      </c>
      <c r="HU8">
        <v>0</v>
      </c>
      <c r="HV8">
        <v>0</v>
      </c>
      <c r="HW8">
        <v>0</v>
      </c>
      <c r="HX8">
        <v>1</v>
      </c>
      <c r="HY8">
        <v>0</v>
      </c>
      <c r="HZ8">
        <v>2</v>
      </c>
      <c r="IA8">
        <v>1</v>
      </c>
      <c r="IB8">
        <v>0</v>
      </c>
      <c r="IC8">
        <v>0</v>
      </c>
      <c r="ID8">
        <v>0</v>
      </c>
      <c r="IE8">
        <v>0</v>
      </c>
      <c r="IF8">
        <v>1</v>
      </c>
      <c r="IG8">
        <v>0</v>
      </c>
      <c r="IH8">
        <v>7</v>
      </c>
      <c r="II8">
        <v>2</v>
      </c>
      <c r="IJ8" s="1">
        <v>45489.600694444445</v>
      </c>
      <c r="IK8">
        <v>1</v>
      </c>
      <c r="IL8">
        <v>1</v>
      </c>
      <c r="IM8">
        <v>0</v>
      </c>
      <c r="IN8">
        <v>0</v>
      </c>
      <c r="IO8">
        <v>1</v>
      </c>
      <c r="IP8">
        <v>1</v>
      </c>
      <c r="IQ8">
        <v>0</v>
      </c>
      <c r="IR8">
        <v>1</v>
      </c>
      <c r="IS8">
        <v>0</v>
      </c>
      <c r="IT8">
        <v>0</v>
      </c>
      <c r="IU8">
        <v>1</v>
      </c>
      <c r="IV8">
        <v>0</v>
      </c>
      <c r="IW8">
        <v>1</v>
      </c>
      <c r="IX8">
        <v>1</v>
      </c>
      <c r="IY8">
        <v>1</v>
      </c>
      <c r="IZ8">
        <v>0</v>
      </c>
      <c r="JA8">
        <v>1</v>
      </c>
      <c r="JB8">
        <v>1</v>
      </c>
      <c r="JC8">
        <v>1</v>
      </c>
      <c r="JD8">
        <v>0</v>
      </c>
      <c r="JE8" t="s">
        <v>260</v>
      </c>
      <c r="JF8">
        <v>2</v>
      </c>
      <c r="JG8">
        <v>2</v>
      </c>
      <c r="JH8">
        <v>1</v>
      </c>
      <c r="JI8">
        <v>0</v>
      </c>
      <c r="JJ8">
        <v>1</v>
      </c>
      <c r="JK8">
        <v>1</v>
      </c>
      <c r="JL8" t="s">
        <v>261</v>
      </c>
      <c r="JM8" t="s">
        <v>262</v>
      </c>
      <c r="JN8">
        <v>12</v>
      </c>
      <c r="JO8">
        <v>8</v>
      </c>
      <c r="JP8">
        <v>2</v>
      </c>
      <c r="JQ8">
        <v>2</v>
      </c>
      <c r="JR8" s="1">
        <v>45489.600694444445</v>
      </c>
      <c r="JS8">
        <v>0</v>
      </c>
      <c r="JT8">
        <v>0</v>
      </c>
      <c r="JU8">
        <v>0</v>
      </c>
      <c r="JV8">
        <v>0</v>
      </c>
      <c r="JW8">
        <v>2</v>
      </c>
      <c r="JX8" s="1">
        <v>45489.601388888892</v>
      </c>
      <c r="JY8">
        <v>53.5</v>
      </c>
      <c r="JZ8">
        <v>2.2999999999999998</v>
      </c>
      <c r="KI8">
        <v>3</v>
      </c>
      <c r="KJ8">
        <v>54.8</v>
      </c>
      <c r="KK8">
        <v>4.2</v>
      </c>
      <c r="KL8">
        <v>1</v>
      </c>
      <c r="UA8">
        <v>2</v>
      </c>
      <c r="UB8">
        <v>53.5</v>
      </c>
      <c r="UC8">
        <v>2.2999999999999998</v>
      </c>
      <c r="UD8">
        <v>4</v>
      </c>
      <c r="UQ8">
        <v>2</v>
      </c>
      <c r="UR8">
        <v>54.7</v>
      </c>
      <c r="US8">
        <v>2.6</v>
      </c>
      <c r="UT8">
        <v>3</v>
      </c>
      <c r="XG8">
        <v>3</v>
      </c>
      <c r="XH8">
        <v>56.6</v>
      </c>
      <c r="XI8">
        <v>3</v>
      </c>
      <c r="XJ8">
        <v>2</v>
      </c>
      <c r="YQ8">
        <v>2</v>
      </c>
      <c r="YR8" s="1">
        <v>45489.602083333331</v>
      </c>
      <c r="YS8">
        <v>2</v>
      </c>
      <c r="YT8">
        <v>2</v>
      </c>
      <c r="YU8">
        <v>1</v>
      </c>
      <c r="YV8">
        <v>2</v>
      </c>
      <c r="YW8">
        <v>2</v>
      </c>
      <c r="YX8">
        <v>1</v>
      </c>
      <c r="YY8">
        <v>1</v>
      </c>
      <c r="YZ8">
        <v>1</v>
      </c>
      <c r="ZA8">
        <v>3</v>
      </c>
      <c r="ZB8">
        <v>3</v>
      </c>
      <c r="ZC8">
        <v>1</v>
      </c>
      <c r="ZD8">
        <v>3</v>
      </c>
      <c r="ZE8">
        <v>1</v>
      </c>
      <c r="ZF8">
        <v>2</v>
      </c>
      <c r="ZG8">
        <v>3</v>
      </c>
      <c r="ZH8">
        <v>4</v>
      </c>
      <c r="ZI8">
        <v>3</v>
      </c>
      <c r="ZJ8">
        <v>3</v>
      </c>
      <c r="ZK8">
        <v>4</v>
      </c>
      <c r="ZL8">
        <v>1</v>
      </c>
      <c r="ZM8">
        <v>27</v>
      </c>
      <c r="ZN8">
        <v>16</v>
      </c>
      <c r="ZO8">
        <v>2</v>
      </c>
      <c r="ZP8" s="1">
        <v>45489.602777777778</v>
      </c>
      <c r="ZQ8">
        <v>0</v>
      </c>
      <c r="ZR8">
        <v>1</v>
      </c>
      <c r="ZS8">
        <v>2</v>
      </c>
      <c r="ZT8">
        <v>0</v>
      </c>
      <c r="ZU8">
        <v>4</v>
      </c>
      <c r="ZV8">
        <v>2</v>
      </c>
      <c r="ZW8">
        <v>0</v>
      </c>
      <c r="ZX8">
        <v>1</v>
      </c>
      <c r="ZY8">
        <v>0</v>
      </c>
      <c r="ZZ8">
        <v>0</v>
      </c>
      <c r="AAA8">
        <v>0</v>
      </c>
      <c r="AAB8">
        <v>0</v>
      </c>
      <c r="AAC8">
        <v>0</v>
      </c>
      <c r="AAD8">
        <v>0</v>
      </c>
      <c r="AAE8">
        <v>1</v>
      </c>
      <c r="AAF8">
        <v>0</v>
      </c>
      <c r="AAG8">
        <v>0</v>
      </c>
      <c r="AAH8">
        <v>0</v>
      </c>
      <c r="AAI8">
        <v>0</v>
      </c>
      <c r="AAJ8">
        <v>6</v>
      </c>
      <c r="AAK8">
        <v>5</v>
      </c>
      <c r="AAL8">
        <v>11</v>
      </c>
      <c r="AAM8">
        <v>2</v>
      </c>
      <c r="AAN8" s="1">
        <v>45489.604166666664</v>
      </c>
      <c r="AAO8">
        <v>1</v>
      </c>
      <c r="AAP8">
        <v>3</v>
      </c>
      <c r="AAQ8">
        <v>1</v>
      </c>
      <c r="AAR8">
        <v>2</v>
      </c>
      <c r="AAS8">
        <v>2</v>
      </c>
      <c r="AAT8">
        <v>14</v>
      </c>
      <c r="AAU8">
        <v>1</v>
      </c>
      <c r="AAV8">
        <v>5</v>
      </c>
      <c r="AAW8">
        <v>0</v>
      </c>
      <c r="AAX8">
        <v>0</v>
      </c>
      <c r="AAY8">
        <v>0</v>
      </c>
      <c r="AAZ8">
        <v>3</v>
      </c>
      <c r="ABA8">
        <v>3</v>
      </c>
      <c r="ABB8">
        <v>3</v>
      </c>
      <c r="ABC8">
        <v>0</v>
      </c>
      <c r="ABD8">
        <v>2</v>
      </c>
      <c r="ABE8">
        <v>6.8571428570000004</v>
      </c>
      <c r="ABF8">
        <v>2</v>
      </c>
      <c r="ABG8" s="1">
        <v>45489.604861111111</v>
      </c>
      <c r="ABH8">
        <v>1</v>
      </c>
      <c r="ABI8">
        <v>1</v>
      </c>
      <c r="ABJ8">
        <v>1</v>
      </c>
      <c r="ABK8">
        <v>1</v>
      </c>
      <c r="ABL8">
        <v>0</v>
      </c>
      <c r="ABM8">
        <v>0</v>
      </c>
      <c r="ABN8">
        <v>0</v>
      </c>
      <c r="ABO8">
        <v>1</v>
      </c>
      <c r="ABP8">
        <v>1</v>
      </c>
      <c r="ABQ8">
        <v>0</v>
      </c>
      <c r="ABR8">
        <v>0</v>
      </c>
      <c r="ABS8">
        <v>0</v>
      </c>
      <c r="ABT8">
        <v>0</v>
      </c>
      <c r="ABU8">
        <v>0</v>
      </c>
      <c r="ABV8">
        <v>1</v>
      </c>
      <c r="ABW8">
        <v>0</v>
      </c>
      <c r="ABX8">
        <v>0</v>
      </c>
      <c r="ABY8">
        <v>1</v>
      </c>
      <c r="ABZ8">
        <v>0</v>
      </c>
      <c r="ACA8">
        <v>0</v>
      </c>
      <c r="ACB8">
        <v>0</v>
      </c>
      <c r="ACC8">
        <v>0</v>
      </c>
      <c r="ACD8">
        <v>0</v>
      </c>
      <c r="ACE8">
        <v>0</v>
      </c>
      <c r="ACF8">
        <v>0</v>
      </c>
      <c r="ACG8">
        <v>0</v>
      </c>
      <c r="ACH8">
        <v>0</v>
      </c>
      <c r="ACI8">
        <v>0</v>
      </c>
      <c r="ACJ8">
        <v>0</v>
      </c>
      <c r="ACK8">
        <v>0</v>
      </c>
      <c r="ACL8">
        <v>0</v>
      </c>
      <c r="ACM8">
        <v>0</v>
      </c>
      <c r="ACN8">
        <v>0</v>
      </c>
      <c r="ACO8">
        <v>0</v>
      </c>
      <c r="ACP8">
        <v>1</v>
      </c>
      <c r="ACQ8">
        <v>0</v>
      </c>
      <c r="ACR8">
        <v>1</v>
      </c>
      <c r="ACS8">
        <v>1</v>
      </c>
      <c r="ACT8">
        <v>1</v>
      </c>
      <c r="ACU8">
        <v>1</v>
      </c>
      <c r="ACV8">
        <v>1</v>
      </c>
      <c r="ACW8">
        <v>1</v>
      </c>
      <c r="ACX8">
        <v>1</v>
      </c>
      <c r="ACY8">
        <v>1</v>
      </c>
      <c r="ACZ8">
        <v>1</v>
      </c>
      <c r="ADA8">
        <v>1</v>
      </c>
      <c r="ADB8">
        <v>0</v>
      </c>
      <c r="ADC8">
        <v>1</v>
      </c>
      <c r="ADD8">
        <v>1</v>
      </c>
      <c r="ADE8">
        <v>0</v>
      </c>
      <c r="ADF8">
        <v>1</v>
      </c>
      <c r="ADG8">
        <v>1</v>
      </c>
      <c r="ADH8">
        <v>0</v>
      </c>
      <c r="ADI8">
        <v>1</v>
      </c>
      <c r="ADJ8">
        <v>1</v>
      </c>
      <c r="ADK8">
        <v>0</v>
      </c>
      <c r="ADL8">
        <v>0</v>
      </c>
      <c r="ADM8">
        <v>0</v>
      </c>
      <c r="ADN8">
        <v>0</v>
      </c>
      <c r="ADO8">
        <v>1</v>
      </c>
      <c r="ADP8">
        <v>1</v>
      </c>
      <c r="ADQ8">
        <v>0</v>
      </c>
      <c r="ADR8">
        <v>0</v>
      </c>
      <c r="ADS8">
        <v>0</v>
      </c>
      <c r="ADT8">
        <v>0</v>
      </c>
      <c r="ADU8">
        <v>0</v>
      </c>
      <c r="ADV8">
        <v>0</v>
      </c>
      <c r="ADW8">
        <v>0</v>
      </c>
      <c r="ADX8">
        <v>0</v>
      </c>
      <c r="ADY8">
        <v>0</v>
      </c>
      <c r="ADZ8">
        <v>1</v>
      </c>
      <c r="AEA8">
        <v>0</v>
      </c>
      <c r="AEB8">
        <v>0</v>
      </c>
      <c r="AEC8">
        <v>0</v>
      </c>
      <c r="AEE8">
        <v>2</v>
      </c>
      <c r="AEF8" s="1">
        <v>45489.606249999997</v>
      </c>
      <c r="AEG8">
        <v>1</v>
      </c>
      <c r="AEH8">
        <v>0</v>
      </c>
      <c r="AEI8">
        <v>1</v>
      </c>
      <c r="AEJ8">
        <v>0</v>
      </c>
      <c r="AEK8">
        <v>0</v>
      </c>
      <c r="AEL8">
        <v>0</v>
      </c>
      <c r="AEM8">
        <v>0</v>
      </c>
      <c r="AEN8">
        <v>1</v>
      </c>
      <c r="AEO8">
        <v>0</v>
      </c>
      <c r="AEP8">
        <v>0</v>
      </c>
      <c r="AEQ8">
        <v>0</v>
      </c>
      <c r="AER8">
        <v>0</v>
      </c>
      <c r="AES8">
        <v>2</v>
      </c>
      <c r="AET8">
        <v>0</v>
      </c>
      <c r="AEU8">
        <v>0</v>
      </c>
      <c r="AEV8">
        <v>1</v>
      </c>
      <c r="AEW8">
        <v>1</v>
      </c>
      <c r="AEX8">
        <v>1</v>
      </c>
      <c r="AEY8">
        <v>1</v>
      </c>
      <c r="AEZ8">
        <v>1</v>
      </c>
      <c r="AFA8">
        <v>1</v>
      </c>
      <c r="AFB8">
        <v>1</v>
      </c>
      <c r="AFC8">
        <v>1</v>
      </c>
      <c r="AFD8">
        <v>0</v>
      </c>
      <c r="AFE8">
        <v>0</v>
      </c>
      <c r="AFF8">
        <v>2</v>
      </c>
      <c r="AFG8">
        <v>0</v>
      </c>
      <c r="AFH8">
        <v>0</v>
      </c>
      <c r="AFI8">
        <v>1</v>
      </c>
      <c r="AFJ8">
        <v>0</v>
      </c>
      <c r="AFK8">
        <v>3</v>
      </c>
      <c r="AFL8">
        <v>2</v>
      </c>
      <c r="AFM8">
        <v>0</v>
      </c>
      <c r="AFN8">
        <v>6</v>
      </c>
      <c r="AFO8">
        <v>4</v>
      </c>
      <c r="AFP8">
        <v>1</v>
      </c>
      <c r="AFQ8">
        <v>14</v>
      </c>
      <c r="AFR8">
        <v>2</v>
      </c>
      <c r="AFS8" s="1">
        <v>45489.606944444444</v>
      </c>
      <c r="AFT8">
        <v>3</v>
      </c>
      <c r="AFU8">
        <v>4</v>
      </c>
      <c r="AFV8">
        <v>2</v>
      </c>
      <c r="AFW8">
        <v>1</v>
      </c>
      <c r="AFX8">
        <v>4</v>
      </c>
      <c r="AFY8">
        <v>1</v>
      </c>
      <c r="AFZ8">
        <v>2</v>
      </c>
      <c r="AGA8">
        <v>3</v>
      </c>
      <c r="AGB8">
        <v>1</v>
      </c>
      <c r="AGC8">
        <v>4</v>
      </c>
      <c r="AGD8">
        <v>4</v>
      </c>
      <c r="AGE8">
        <v>2</v>
      </c>
      <c r="AGF8">
        <v>2</v>
      </c>
      <c r="AGG8">
        <v>1</v>
      </c>
      <c r="AGH8">
        <v>3</v>
      </c>
      <c r="AGI8">
        <v>3</v>
      </c>
      <c r="AGJ8">
        <v>2</v>
      </c>
      <c r="AGK8">
        <v>1</v>
      </c>
      <c r="AGL8">
        <v>4</v>
      </c>
      <c r="AGM8">
        <v>3</v>
      </c>
      <c r="AGN8">
        <v>30</v>
      </c>
      <c r="AGO8">
        <v>2</v>
      </c>
      <c r="AGP8" s="1">
        <v>45489.606944444444</v>
      </c>
      <c r="AGQ8">
        <v>0</v>
      </c>
      <c r="AGV8">
        <v>0</v>
      </c>
      <c r="AGW8">
        <v>0</v>
      </c>
      <c r="AGX8">
        <v>0</v>
      </c>
      <c r="AGY8">
        <v>0</v>
      </c>
      <c r="AGZ8">
        <v>0</v>
      </c>
      <c r="AHB8">
        <v>2</v>
      </c>
      <c r="AHC8" s="1">
        <v>45489.612500000003</v>
      </c>
      <c r="AHD8" t="s">
        <v>210</v>
      </c>
      <c r="AHE8" t="s">
        <v>212</v>
      </c>
      <c r="AHN8">
        <v>7</v>
      </c>
      <c r="AHO8">
        <v>1</v>
      </c>
      <c r="AHP8">
        <v>3</v>
      </c>
      <c r="AHQ8" t="s">
        <v>263</v>
      </c>
      <c r="AHR8" t="s">
        <v>264</v>
      </c>
      <c r="AHS8" t="s">
        <v>210</v>
      </c>
      <c r="AHU8" t="s">
        <v>211</v>
      </c>
    </row>
    <row r="9" spans="1:905">
      <c r="A9">
        <v>131</v>
      </c>
      <c r="B9" t="s">
        <v>205</v>
      </c>
      <c r="C9" t="s">
        <v>265</v>
      </c>
      <c r="D9">
        <v>2</v>
      </c>
      <c r="E9">
        <v>2</v>
      </c>
      <c r="F9">
        <v>23</v>
      </c>
      <c r="G9">
        <v>65</v>
      </c>
      <c r="H9">
        <v>140</v>
      </c>
      <c r="I9">
        <v>0</v>
      </c>
      <c r="J9">
        <v>3</v>
      </c>
      <c r="L9" t="s">
        <v>266</v>
      </c>
      <c r="M9">
        <v>2</v>
      </c>
      <c r="N9" s="1">
        <v>45484.578472222223</v>
      </c>
      <c r="O9">
        <v>7</v>
      </c>
      <c r="P9">
        <v>0</v>
      </c>
      <c r="R9">
        <v>0</v>
      </c>
      <c r="S9">
        <v>1</v>
      </c>
      <c r="T9">
        <v>0</v>
      </c>
      <c r="U9">
        <v>0</v>
      </c>
      <c r="V9">
        <v>0</v>
      </c>
      <c r="W9">
        <v>0</v>
      </c>
      <c r="X9">
        <v>0</v>
      </c>
      <c r="Y9">
        <v>0</v>
      </c>
      <c r="Z9">
        <v>0</v>
      </c>
      <c r="AA9">
        <v>0</v>
      </c>
      <c r="AB9">
        <v>0</v>
      </c>
      <c r="AC9" t="s">
        <v>208</v>
      </c>
      <c r="AD9">
        <v>2</v>
      </c>
      <c r="AE9" s="1">
        <v>45484.57916666667</v>
      </c>
      <c r="AF9">
        <v>3</v>
      </c>
      <c r="AG9">
        <v>2</v>
      </c>
      <c r="AH9">
        <v>3</v>
      </c>
      <c r="AI9">
        <v>2</v>
      </c>
      <c r="AJ9">
        <v>1</v>
      </c>
      <c r="AK9">
        <v>2</v>
      </c>
      <c r="AL9">
        <v>3</v>
      </c>
      <c r="AM9">
        <v>1</v>
      </c>
      <c r="AN9">
        <v>2</v>
      </c>
      <c r="AO9">
        <v>3</v>
      </c>
      <c r="AP9">
        <v>1</v>
      </c>
      <c r="AQ9">
        <v>2</v>
      </c>
      <c r="AR9">
        <v>3</v>
      </c>
      <c r="AS9">
        <v>2</v>
      </c>
      <c r="AT9">
        <v>1</v>
      </c>
      <c r="AU9">
        <v>3</v>
      </c>
      <c r="AV9">
        <v>2</v>
      </c>
      <c r="AW9">
        <v>2</v>
      </c>
      <c r="AX9">
        <v>3</v>
      </c>
      <c r="AY9">
        <v>1</v>
      </c>
      <c r="AZ9">
        <v>37</v>
      </c>
      <c r="BA9">
        <v>2</v>
      </c>
      <c r="BB9" s="1">
        <v>45484.579861111109</v>
      </c>
      <c r="BC9">
        <v>13</v>
      </c>
      <c r="BD9">
        <v>3</v>
      </c>
      <c r="BE9">
        <v>1</v>
      </c>
      <c r="BI9" s="2">
        <v>45468</v>
      </c>
      <c r="BM9">
        <v>32</v>
      </c>
      <c r="BN9">
        <v>7</v>
      </c>
      <c r="BO9">
        <v>1</v>
      </c>
      <c r="BP9">
        <v>1</v>
      </c>
      <c r="BQ9">
        <v>0</v>
      </c>
      <c r="BR9">
        <v>0</v>
      </c>
      <c r="BS9">
        <v>0</v>
      </c>
      <c r="BT9">
        <v>0</v>
      </c>
      <c r="BU9">
        <v>0</v>
      </c>
      <c r="BV9">
        <v>0</v>
      </c>
      <c r="BW9">
        <v>0</v>
      </c>
      <c r="BY9">
        <v>2</v>
      </c>
      <c r="BZ9" s="1">
        <v>45484.580555555556</v>
      </c>
      <c r="CA9">
        <v>4</v>
      </c>
      <c r="CB9">
        <v>3</v>
      </c>
      <c r="CC9">
        <v>3</v>
      </c>
      <c r="CD9">
        <v>3</v>
      </c>
      <c r="CE9">
        <v>4</v>
      </c>
      <c r="CF9">
        <v>4</v>
      </c>
      <c r="CG9">
        <v>3</v>
      </c>
      <c r="CH9">
        <v>3</v>
      </c>
      <c r="CI9">
        <v>2</v>
      </c>
      <c r="CJ9">
        <v>3</v>
      </c>
      <c r="CK9">
        <v>2</v>
      </c>
      <c r="CL9">
        <v>3</v>
      </c>
      <c r="CM9">
        <v>2</v>
      </c>
      <c r="CN9">
        <v>3</v>
      </c>
      <c r="CO9">
        <v>4</v>
      </c>
      <c r="CP9">
        <v>3</v>
      </c>
      <c r="CQ9">
        <v>3</v>
      </c>
      <c r="CR9">
        <v>3</v>
      </c>
      <c r="CS9">
        <v>3</v>
      </c>
      <c r="CT9">
        <v>3</v>
      </c>
      <c r="CU9">
        <v>13</v>
      </c>
      <c r="CV9">
        <v>11</v>
      </c>
      <c r="CW9">
        <v>16</v>
      </c>
      <c r="CX9">
        <v>40</v>
      </c>
      <c r="CY9">
        <v>21</v>
      </c>
      <c r="CZ9">
        <v>2</v>
      </c>
      <c r="DA9" s="1">
        <v>45484.581944444442</v>
      </c>
      <c r="DB9">
        <v>1</v>
      </c>
      <c r="DC9">
        <v>0</v>
      </c>
      <c r="DD9">
        <v>0</v>
      </c>
      <c r="DE9">
        <v>0</v>
      </c>
      <c r="DF9">
        <v>0</v>
      </c>
      <c r="DG9">
        <v>0</v>
      </c>
      <c r="DH9">
        <v>0</v>
      </c>
      <c r="DI9">
        <v>0</v>
      </c>
      <c r="DJ9">
        <v>0</v>
      </c>
      <c r="DK9">
        <v>1</v>
      </c>
      <c r="DL9">
        <v>1</v>
      </c>
      <c r="DM9">
        <v>0</v>
      </c>
      <c r="DN9">
        <v>0</v>
      </c>
      <c r="DO9">
        <v>0</v>
      </c>
      <c r="DP9">
        <v>0</v>
      </c>
      <c r="DQ9">
        <v>1</v>
      </c>
      <c r="DR9">
        <v>0</v>
      </c>
      <c r="DS9">
        <v>0</v>
      </c>
      <c r="DT9">
        <v>0</v>
      </c>
      <c r="DU9">
        <v>0</v>
      </c>
      <c r="DV9">
        <v>0</v>
      </c>
      <c r="DW9">
        <v>0</v>
      </c>
      <c r="DX9">
        <v>0</v>
      </c>
      <c r="DY9">
        <v>0</v>
      </c>
      <c r="DZ9">
        <v>1</v>
      </c>
      <c r="EA9">
        <v>0</v>
      </c>
      <c r="EB9">
        <v>0</v>
      </c>
      <c r="EC9">
        <v>0</v>
      </c>
      <c r="ED9">
        <v>0</v>
      </c>
      <c r="EE9">
        <v>1</v>
      </c>
      <c r="EF9">
        <v>0</v>
      </c>
      <c r="EG9">
        <v>0</v>
      </c>
      <c r="EH9">
        <v>0</v>
      </c>
      <c r="EI9">
        <v>0</v>
      </c>
      <c r="EJ9">
        <v>1</v>
      </c>
      <c r="EK9">
        <v>0</v>
      </c>
      <c r="EL9">
        <v>0</v>
      </c>
      <c r="EM9">
        <v>1</v>
      </c>
      <c r="EN9">
        <v>0</v>
      </c>
      <c r="EO9">
        <v>0</v>
      </c>
      <c r="EP9">
        <v>0</v>
      </c>
      <c r="EQ9">
        <v>0</v>
      </c>
      <c r="ER9">
        <v>1</v>
      </c>
      <c r="ES9">
        <v>0</v>
      </c>
      <c r="ET9">
        <v>0</v>
      </c>
      <c r="EU9">
        <v>0</v>
      </c>
      <c r="EV9">
        <v>0</v>
      </c>
      <c r="EW9">
        <v>1</v>
      </c>
      <c r="EX9">
        <v>0</v>
      </c>
      <c r="EY9">
        <v>0</v>
      </c>
      <c r="EZ9">
        <v>0</v>
      </c>
      <c r="FA9">
        <v>0</v>
      </c>
      <c r="FB9">
        <v>0</v>
      </c>
      <c r="FC9">
        <v>0</v>
      </c>
      <c r="FD9">
        <v>1</v>
      </c>
      <c r="FE9">
        <v>0</v>
      </c>
      <c r="FF9">
        <v>1</v>
      </c>
      <c r="FG9">
        <v>0</v>
      </c>
      <c r="FH9">
        <v>0</v>
      </c>
      <c r="FI9">
        <v>0</v>
      </c>
      <c r="FJ9">
        <v>0</v>
      </c>
      <c r="FK9">
        <v>0</v>
      </c>
      <c r="FL9">
        <v>0</v>
      </c>
      <c r="FM9">
        <v>0</v>
      </c>
      <c r="FN9">
        <v>1</v>
      </c>
      <c r="FO9">
        <v>0</v>
      </c>
      <c r="FP9">
        <v>0</v>
      </c>
      <c r="FQ9">
        <v>0</v>
      </c>
      <c r="FR9">
        <v>0</v>
      </c>
      <c r="FS9">
        <v>1</v>
      </c>
      <c r="FT9">
        <v>1</v>
      </c>
      <c r="FU9">
        <v>0</v>
      </c>
      <c r="FV9">
        <v>0</v>
      </c>
      <c r="FW9">
        <v>0</v>
      </c>
      <c r="FX9">
        <v>0</v>
      </c>
      <c r="FY9">
        <v>0</v>
      </c>
      <c r="FZ9">
        <v>0</v>
      </c>
      <c r="GA9">
        <v>0</v>
      </c>
      <c r="GB9">
        <v>0</v>
      </c>
      <c r="GC9">
        <v>1</v>
      </c>
      <c r="GD9">
        <v>1</v>
      </c>
      <c r="GE9">
        <v>0</v>
      </c>
      <c r="GF9">
        <v>0</v>
      </c>
      <c r="GG9">
        <v>0</v>
      </c>
      <c r="GH9">
        <v>0</v>
      </c>
      <c r="GI9">
        <v>2</v>
      </c>
      <c r="GJ9" s="1">
        <v>45484.583333333336</v>
      </c>
      <c r="GK9">
        <v>1</v>
      </c>
      <c r="GL9">
        <v>2</v>
      </c>
      <c r="GM9">
        <v>2</v>
      </c>
      <c r="GN9">
        <v>2</v>
      </c>
      <c r="GO9">
        <v>2</v>
      </c>
      <c r="GP9">
        <v>2</v>
      </c>
      <c r="GQ9">
        <v>2</v>
      </c>
      <c r="GR9">
        <v>2</v>
      </c>
      <c r="GS9">
        <v>3</v>
      </c>
      <c r="GT9">
        <v>2</v>
      </c>
      <c r="GU9">
        <v>3</v>
      </c>
      <c r="GV9">
        <v>2</v>
      </c>
      <c r="GW9">
        <v>2</v>
      </c>
      <c r="GX9">
        <v>2</v>
      </c>
      <c r="GY9">
        <v>1</v>
      </c>
      <c r="GZ9">
        <v>1</v>
      </c>
      <c r="HA9">
        <v>2</v>
      </c>
      <c r="HB9">
        <v>3</v>
      </c>
      <c r="HC9">
        <v>16</v>
      </c>
      <c r="HD9">
        <v>11</v>
      </c>
      <c r="HE9">
        <v>37</v>
      </c>
      <c r="HF9">
        <v>2</v>
      </c>
      <c r="HG9" s="1">
        <v>45484.583333333336</v>
      </c>
      <c r="HH9">
        <v>4</v>
      </c>
      <c r="HI9">
        <v>6</v>
      </c>
      <c r="HJ9">
        <v>1</v>
      </c>
      <c r="HK9">
        <v>2</v>
      </c>
      <c r="HL9" s="1">
        <v>45495.724999999999</v>
      </c>
      <c r="HM9">
        <v>0</v>
      </c>
      <c r="HN9">
        <v>0</v>
      </c>
      <c r="HO9">
        <v>0</v>
      </c>
      <c r="HP9">
        <v>0</v>
      </c>
      <c r="HQ9">
        <v>0</v>
      </c>
      <c r="HR9">
        <v>0</v>
      </c>
      <c r="HS9">
        <v>0</v>
      </c>
      <c r="HT9">
        <v>1</v>
      </c>
      <c r="HU9">
        <v>0</v>
      </c>
      <c r="HV9">
        <v>0</v>
      </c>
      <c r="HW9">
        <v>0</v>
      </c>
      <c r="HX9">
        <v>0</v>
      </c>
      <c r="HY9">
        <v>0</v>
      </c>
      <c r="HZ9">
        <v>0</v>
      </c>
      <c r="IA9">
        <v>1</v>
      </c>
      <c r="IB9">
        <v>1</v>
      </c>
      <c r="IC9">
        <v>0</v>
      </c>
      <c r="ID9">
        <v>0</v>
      </c>
      <c r="IE9">
        <v>0</v>
      </c>
      <c r="IF9">
        <v>1</v>
      </c>
      <c r="IG9">
        <v>0</v>
      </c>
      <c r="IH9">
        <v>4</v>
      </c>
      <c r="II9">
        <v>2</v>
      </c>
      <c r="IJ9" s="1">
        <v>45495.724999999999</v>
      </c>
      <c r="IK9">
        <v>0</v>
      </c>
      <c r="IL9">
        <v>0</v>
      </c>
      <c r="IM9">
        <v>0</v>
      </c>
      <c r="IN9">
        <v>0</v>
      </c>
      <c r="IO9">
        <v>0</v>
      </c>
      <c r="IP9">
        <v>0</v>
      </c>
      <c r="IQ9">
        <v>0</v>
      </c>
      <c r="IR9">
        <v>0</v>
      </c>
      <c r="IS9">
        <v>0</v>
      </c>
      <c r="IT9">
        <v>0</v>
      </c>
      <c r="IU9">
        <v>0</v>
      </c>
      <c r="IV9">
        <v>0</v>
      </c>
      <c r="IW9">
        <v>0</v>
      </c>
      <c r="IX9">
        <v>0</v>
      </c>
      <c r="IY9">
        <v>0</v>
      </c>
      <c r="IZ9">
        <v>0</v>
      </c>
      <c r="JA9">
        <v>0</v>
      </c>
      <c r="JB9">
        <v>0</v>
      </c>
      <c r="JC9">
        <v>0</v>
      </c>
      <c r="JD9">
        <v>1</v>
      </c>
      <c r="JN9">
        <v>0</v>
      </c>
      <c r="JQ9">
        <v>2</v>
      </c>
      <c r="JR9" s="1">
        <v>45495.724999999999</v>
      </c>
      <c r="JS9">
        <v>0</v>
      </c>
      <c r="JT9">
        <v>0</v>
      </c>
      <c r="JU9">
        <v>0</v>
      </c>
      <c r="JV9">
        <v>0</v>
      </c>
      <c r="JW9">
        <v>2</v>
      </c>
      <c r="JX9" s="1">
        <v>45495.724999999999</v>
      </c>
      <c r="JY9">
        <v>50.7</v>
      </c>
      <c r="JZ9">
        <v>2.2999999999999998</v>
      </c>
      <c r="KI9">
        <v>3</v>
      </c>
      <c r="KJ9">
        <v>54.8</v>
      </c>
      <c r="KK9">
        <v>4.2</v>
      </c>
      <c r="KL9">
        <v>1</v>
      </c>
      <c r="UA9">
        <v>2</v>
      </c>
      <c r="UB9">
        <v>52</v>
      </c>
      <c r="UC9">
        <v>2.6</v>
      </c>
      <c r="UD9">
        <v>3</v>
      </c>
      <c r="WQ9">
        <v>2</v>
      </c>
      <c r="WR9">
        <v>50.7</v>
      </c>
      <c r="WS9">
        <v>2.2999999999999998</v>
      </c>
      <c r="WT9">
        <v>4</v>
      </c>
      <c r="XG9">
        <v>2</v>
      </c>
      <c r="XH9">
        <v>53.1</v>
      </c>
      <c r="XI9">
        <v>3.1</v>
      </c>
      <c r="XJ9">
        <v>2</v>
      </c>
      <c r="YQ9">
        <v>2</v>
      </c>
      <c r="YR9" s="1">
        <v>45495.725694444445</v>
      </c>
      <c r="YS9">
        <v>4</v>
      </c>
      <c r="YT9">
        <v>1</v>
      </c>
      <c r="YU9">
        <v>3</v>
      </c>
      <c r="YV9">
        <v>1</v>
      </c>
      <c r="YW9">
        <v>3</v>
      </c>
      <c r="YX9">
        <v>1</v>
      </c>
      <c r="YY9">
        <v>1</v>
      </c>
      <c r="YZ9">
        <v>1</v>
      </c>
      <c r="ZA9">
        <v>4</v>
      </c>
      <c r="ZB9">
        <v>3</v>
      </c>
      <c r="ZC9">
        <v>1</v>
      </c>
      <c r="ZD9">
        <v>3</v>
      </c>
      <c r="ZE9">
        <v>1</v>
      </c>
      <c r="ZF9">
        <v>2</v>
      </c>
      <c r="ZG9">
        <v>2</v>
      </c>
      <c r="ZH9">
        <v>3</v>
      </c>
      <c r="ZI9">
        <v>3</v>
      </c>
      <c r="ZJ9">
        <v>1</v>
      </c>
      <c r="ZK9">
        <v>4</v>
      </c>
      <c r="ZL9">
        <v>1</v>
      </c>
      <c r="ZM9">
        <v>32</v>
      </c>
      <c r="ZN9">
        <v>11</v>
      </c>
      <c r="ZO9">
        <v>2</v>
      </c>
      <c r="ZP9" s="1">
        <v>45495.726388888892</v>
      </c>
      <c r="ZQ9">
        <v>1</v>
      </c>
      <c r="ZR9">
        <v>0</v>
      </c>
      <c r="ZS9">
        <v>0</v>
      </c>
      <c r="ZT9">
        <v>0</v>
      </c>
      <c r="ZU9">
        <v>0</v>
      </c>
      <c r="ZV9">
        <v>0</v>
      </c>
      <c r="ZW9">
        <v>1</v>
      </c>
      <c r="ZX9">
        <v>0</v>
      </c>
      <c r="ZY9">
        <v>0</v>
      </c>
      <c r="ZZ9">
        <v>0</v>
      </c>
      <c r="AAA9">
        <v>0</v>
      </c>
      <c r="AAB9">
        <v>0</v>
      </c>
      <c r="AAC9">
        <v>0</v>
      </c>
      <c r="AAD9">
        <v>0</v>
      </c>
      <c r="AAE9">
        <v>0</v>
      </c>
      <c r="AAF9">
        <v>0</v>
      </c>
      <c r="AAG9">
        <v>0</v>
      </c>
      <c r="AAH9">
        <v>0</v>
      </c>
      <c r="AAI9">
        <v>2</v>
      </c>
      <c r="AAJ9">
        <v>0</v>
      </c>
      <c r="AAK9">
        <v>0</v>
      </c>
      <c r="AAL9">
        <v>2</v>
      </c>
      <c r="AAM9">
        <v>2</v>
      </c>
      <c r="AAN9" s="1">
        <v>45495.726388888892</v>
      </c>
      <c r="AAO9">
        <v>0</v>
      </c>
      <c r="ABF9">
        <v>2</v>
      </c>
      <c r="ABG9" s="1">
        <v>45495.726388888892</v>
      </c>
      <c r="ABH9">
        <v>0</v>
      </c>
      <c r="ABI9">
        <v>0</v>
      </c>
      <c r="ABJ9">
        <v>0</v>
      </c>
      <c r="ABK9">
        <v>0</v>
      </c>
      <c r="ABL9">
        <v>0</v>
      </c>
      <c r="ABM9">
        <v>0</v>
      </c>
      <c r="ABN9">
        <v>0</v>
      </c>
      <c r="ABO9">
        <v>0</v>
      </c>
      <c r="ABP9">
        <v>0</v>
      </c>
      <c r="ABQ9">
        <v>0</v>
      </c>
      <c r="ABR9">
        <v>0</v>
      </c>
      <c r="ABS9">
        <v>0</v>
      </c>
      <c r="ABT9">
        <v>0</v>
      </c>
      <c r="ABU9">
        <v>0</v>
      </c>
      <c r="ABV9">
        <v>0</v>
      </c>
      <c r="ABW9">
        <v>0</v>
      </c>
      <c r="ABX9">
        <v>0</v>
      </c>
      <c r="ABY9">
        <v>0</v>
      </c>
      <c r="ABZ9">
        <v>0</v>
      </c>
      <c r="ACA9">
        <v>0</v>
      </c>
      <c r="ACB9">
        <v>0</v>
      </c>
      <c r="ACC9">
        <v>0</v>
      </c>
      <c r="ACD9">
        <v>0</v>
      </c>
      <c r="ACE9">
        <v>0</v>
      </c>
      <c r="ACF9">
        <v>0</v>
      </c>
      <c r="ACG9">
        <v>0</v>
      </c>
      <c r="ACH9">
        <v>0</v>
      </c>
      <c r="ACI9">
        <v>0</v>
      </c>
      <c r="ACJ9">
        <v>0</v>
      </c>
      <c r="ACK9">
        <v>0</v>
      </c>
      <c r="ACL9">
        <v>0</v>
      </c>
      <c r="ACM9">
        <v>0</v>
      </c>
      <c r="ACN9">
        <v>0</v>
      </c>
      <c r="ACO9">
        <v>0</v>
      </c>
      <c r="ACP9">
        <v>0</v>
      </c>
      <c r="ACQ9">
        <v>0</v>
      </c>
      <c r="ACR9">
        <v>0</v>
      </c>
      <c r="ACS9">
        <v>0</v>
      </c>
      <c r="ACT9">
        <v>0</v>
      </c>
      <c r="ACU9">
        <v>0</v>
      </c>
      <c r="ACV9">
        <v>0</v>
      </c>
      <c r="ACW9">
        <v>0</v>
      </c>
      <c r="ACX9">
        <v>0</v>
      </c>
      <c r="ACY9">
        <v>0</v>
      </c>
      <c r="ACZ9">
        <v>0</v>
      </c>
      <c r="ADA9">
        <v>0</v>
      </c>
      <c r="ADB9">
        <v>0</v>
      </c>
      <c r="ADC9">
        <v>0</v>
      </c>
      <c r="ADD9">
        <v>0</v>
      </c>
      <c r="ADE9">
        <v>0</v>
      </c>
      <c r="ADF9">
        <v>0</v>
      </c>
      <c r="ADG9">
        <v>0</v>
      </c>
      <c r="ADH9">
        <v>0</v>
      </c>
      <c r="ADI9">
        <v>0</v>
      </c>
      <c r="ADJ9">
        <v>0</v>
      </c>
      <c r="ADK9">
        <v>0</v>
      </c>
      <c r="ADL9">
        <v>0</v>
      </c>
      <c r="ADM9">
        <v>0</v>
      </c>
      <c r="ADN9">
        <v>0</v>
      </c>
      <c r="ADO9">
        <v>0</v>
      </c>
      <c r="ADP9">
        <v>0</v>
      </c>
      <c r="ADQ9">
        <v>0</v>
      </c>
      <c r="ADR9">
        <v>0</v>
      </c>
      <c r="ADS9">
        <v>0</v>
      </c>
      <c r="ADT9">
        <v>0</v>
      </c>
      <c r="ADU9">
        <v>0</v>
      </c>
      <c r="ADV9">
        <v>0</v>
      </c>
      <c r="ADW9">
        <v>0</v>
      </c>
      <c r="ADX9">
        <v>0</v>
      </c>
      <c r="ADY9">
        <v>0</v>
      </c>
      <c r="ADZ9">
        <v>0</v>
      </c>
      <c r="AEA9">
        <v>0</v>
      </c>
      <c r="AEB9">
        <v>0</v>
      </c>
      <c r="AEC9">
        <v>0</v>
      </c>
      <c r="AEE9">
        <v>2</v>
      </c>
      <c r="AEF9" s="1">
        <v>45495.727083333331</v>
      </c>
      <c r="AEG9">
        <v>1</v>
      </c>
      <c r="AEH9">
        <v>0</v>
      </c>
      <c r="AEI9">
        <v>1</v>
      </c>
      <c r="AEJ9">
        <v>2</v>
      </c>
      <c r="AEK9">
        <v>0</v>
      </c>
      <c r="AEL9">
        <v>0</v>
      </c>
      <c r="AEM9">
        <v>0</v>
      </c>
      <c r="AEN9">
        <v>2</v>
      </c>
      <c r="AEO9">
        <v>0</v>
      </c>
      <c r="AEP9">
        <v>1</v>
      </c>
      <c r="AEQ9">
        <v>0</v>
      </c>
      <c r="AER9">
        <v>0</v>
      </c>
      <c r="AES9">
        <v>1</v>
      </c>
      <c r="AET9">
        <v>0</v>
      </c>
      <c r="AEU9">
        <v>0</v>
      </c>
      <c r="AEV9">
        <v>0</v>
      </c>
      <c r="AEW9">
        <v>0</v>
      </c>
      <c r="AEX9">
        <v>0</v>
      </c>
      <c r="AEY9">
        <v>0</v>
      </c>
      <c r="AEZ9">
        <v>1</v>
      </c>
      <c r="AFA9">
        <v>0</v>
      </c>
      <c r="AFB9">
        <v>0</v>
      </c>
      <c r="AFC9">
        <v>0</v>
      </c>
      <c r="AFD9">
        <v>0</v>
      </c>
      <c r="AFE9">
        <v>0</v>
      </c>
      <c r="AFF9">
        <v>1</v>
      </c>
      <c r="AFG9">
        <v>1</v>
      </c>
      <c r="AFH9">
        <v>0</v>
      </c>
      <c r="AFI9">
        <v>0</v>
      </c>
      <c r="AFJ9">
        <v>0</v>
      </c>
      <c r="AFK9">
        <v>2</v>
      </c>
      <c r="AFL9">
        <v>0</v>
      </c>
      <c r="AFM9">
        <v>0</v>
      </c>
      <c r="AFN9">
        <v>2</v>
      </c>
      <c r="AFO9">
        <v>1</v>
      </c>
      <c r="AFP9">
        <v>6</v>
      </c>
      <c r="AFQ9">
        <v>-1</v>
      </c>
      <c r="AFR9">
        <v>2</v>
      </c>
      <c r="AFS9" s="1">
        <v>45495.727777777778</v>
      </c>
      <c r="AFT9">
        <v>2</v>
      </c>
      <c r="AFU9">
        <v>2</v>
      </c>
      <c r="AFV9">
        <v>1</v>
      </c>
      <c r="AFW9">
        <v>1</v>
      </c>
      <c r="AFX9">
        <v>2</v>
      </c>
      <c r="AFY9">
        <v>1</v>
      </c>
      <c r="AFZ9">
        <v>1</v>
      </c>
      <c r="AGA9">
        <v>3</v>
      </c>
      <c r="AGB9">
        <v>1</v>
      </c>
      <c r="AGC9">
        <v>2</v>
      </c>
      <c r="AGD9">
        <v>3</v>
      </c>
      <c r="AGE9">
        <v>1</v>
      </c>
      <c r="AGF9">
        <v>1</v>
      </c>
      <c r="AGG9">
        <v>1</v>
      </c>
      <c r="AGH9">
        <v>3</v>
      </c>
      <c r="AGI9">
        <v>3</v>
      </c>
      <c r="AGJ9">
        <v>1</v>
      </c>
      <c r="AGK9">
        <v>1</v>
      </c>
      <c r="AGL9">
        <v>1</v>
      </c>
      <c r="AGM9">
        <v>2</v>
      </c>
      <c r="AGN9">
        <v>37</v>
      </c>
      <c r="AGO9">
        <v>2</v>
      </c>
      <c r="AGP9" s="1">
        <v>45495.727777777778</v>
      </c>
      <c r="AGQ9">
        <v>0</v>
      </c>
      <c r="AGV9">
        <v>0</v>
      </c>
      <c r="AGW9">
        <v>0</v>
      </c>
      <c r="AGX9">
        <v>0</v>
      </c>
      <c r="AGY9">
        <v>0</v>
      </c>
      <c r="AGZ9">
        <v>0</v>
      </c>
      <c r="AHB9">
        <v>2</v>
      </c>
      <c r="AHC9" s="1">
        <v>45495.728472222225</v>
      </c>
      <c r="AHD9" t="s">
        <v>210</v>
      </c>
      <c r="AHE9" t="s">
        <v>212</v>
      </c>
      <c r="AHN9">
        <v>7</v>
      </c>
      <c r="AHO9">
        <v>1</v>
      </c>
      <c r="AHP9">
        <v>4</v>
      </c>
      <c r="AHQ9" t="s">
        <v>267</v>
      </c>
      <c r="AHR9" t="s">
        <v>214</v>
      </c>
      <c r="AHS9" t="s">
        <v>210</v>
      </c>
      <c r="AHU9" t="s">
        <v>211</v>
      </c>
    </row>
    <row r="10" spans="1:905">
      <c r="A10">
        <v>133</v>
      </c>
      <c r="B10" t="s">
        <v>205</v>
      </c>
      <c r="C10" t="s">
        <v>268</v>
      </c>
      <c r="D10">
        <v>2</v>
      </c>
      <c r="E10">
        <v>2</v>
      </c>
      <c r="F10">
        <v>50</v>
      </c>
      <c r="G10">
        <v>67</v>
      </c>
      <c r="H10">
        <v>152</v>
      </c>
      <c r="I10">
        <v>0</v>
      </c>
      <c r="J10">
        <v>3</v>
      </c>
      <c r="L10" t="s">
        <v>269</v>
      </c>
      <c r="M10">
        <v>2</v>
      </c>
      <c r="N10" s="1">
        <v>45490.609027777777</v>
      </c>
      <c r="O10">
        <v>7</v>
      </c>
      <c r="P10">
        <v>0</v>
      </c>
      <c r="R10">
        <v>0</v>
      </c>
      <c r="S10">
        <v>1</v>
      </c>
      <c r="T10">
        <v>0</v>
      </c>
      <c r="U10">
        <v>0</v>
      </c>
      <c r="V10">
        <v>0</v>
      </c>
      <c r="W10">
        <v>0</v>
      </c>
      <c r="X10">
        <v>0</v>
      </c>
      <c r="Y10">
        <v>0</v>
      </c>
      <c r="Z10">
        <v>0</v>
      </c>
      <c r="AA10">
        <v>0</v>
      </c>
      <c r="AB10">
        <v>0</v>
      </c>
      <c r="AC10" t="s">
        <v>208</v>
      </c>
      <c r="AD10">
        <v>2</v>
      </c>
      <c r="AE10" s="1">
        <v>45490.609722222223</v>
      </c>
      <c r="AF10">
        <v>4</v>
      </c>
      <c r="AG10">
        <v>1</v>
      </c>
      <c r="AH10">
        <v>4</v>
      </c>
      <c r="AI10">
        <v>1</v>
      </c>
      <c r="AJ10">
        <v>1</v>
      </c>
      <c r="AK10">
        <v>4</v>
      </c>
      <c r="AL10">
        <v>4</v>
      </c>
      <c r="AM10">
        <v>1</v>
      </c>
      <c r="AN10">
        <v>1</v>
      </c>
      <c r="AO10">
        <v>4</v>
      </c>
      <c r="AP10">
        <v>1</v>
      </c>
      <c r="AQ10">
        <v>1</v>
      </c>
      <c r="AR10">
        <v>4</v>
      </c>
      <c r="AS10">
        <v>4</v>
      </c>
      <c r="AT10">
        <v>1</v>
      </c>
      <c r="AU10">
        <v>4</v>
      </c>
      <c r="AV10">
        <v>1</v>
      </c>
      <c r="AW10">
        <v>1</v>
      </c>
      <c r="AX10">
        <v>4</v>
      </c>
      <c r="AY10">
        <v>1</v>
      </c>
      <c r="AZ10">
        <v>20</v>
      </c>
      <c r="BA10">
        <v>2</v>
      </c>
      <c r="BB10" s="1">
        <v>45490.61041666667</v>
      </c>
      <c r="BC10">
        <v>14</v>
      </c>
      <c r="BD10">
        <v>3</v>
      </c>
      <c r="BE10">
        <v>4</v>
      </c>
      <c r="BI10" s="2">
        <v>45424</v>
      </c>
      <c r="BJ10">
        <v>6</v>
      </c>
      <c r="BK10">
        <v>2</v>
      </c>
      <c r="BM10">
        <v>24</v>
      </c>
      <c r="BN10">
        <v>6</v>
      </c>
      <c r="BO10">
        <v>1</v>
      </c>
      <c r="BP10">
        <v>1</v>
      </c>
      <c r="BQ10">
        <v>0</v>
      </c>
      <c r="BR10">
        <v>0</v>
      </c>
      <c r="BS10">
        <v>0</v>
      </c>
      <c r="BT10">
        <v>0</v>
      </c>
      <c r="BU10">
        <v>0</v>
      </c>
      <c r="BV10">
        <v>0</v>
      </c>
      <c r="BW10">
        <v>0</v>
      </c>
      <c r="BY10">
        <v>2</v>
      </c>
      <c r="BZ10" s="1">
        <v>45490.61041666667</v>
      </c>
      <c r="CA10">
        <v>4</v>
      </c>
      <c r="CB10">
        <v>1</v>
      </c>
      <c r="CC10">
        <v>4</v>
      </c>
      <c r="CD10">
        <v>2</v>
      </c>
      <c r="CE10">
        <v>4</v>
      </c>
      <c r="CF10">
        <v>4</v>
      </c>
      <c r="CG10">
        <v>1</v>
      </c>
      <c r="CH10">
        <v>4</v>
      </c>
      <c r="CI10">
        <v>4</v>
      </c>
      <c r="CJ10">
        <v>2</v>
      </c>
      <c r="CK10">
        <v>3</v>
      </c>
      <c r="CL10">
        <v>4</v>
      </c>
      <c r="CM10">
        <v>4</v>
      </c>
      <c r="CN10">
        <v>3</v>
      </c>
      <c r="CO10">
        <v>2</v>
      </c>
      <c r="CP10">
        <v>4</v>
      </c>
      <c r="CQ10">
        <v>3</v>
      </c>
      <c r="CR10">
        <v>4</v>
      </c>
      <c r="CS10">
        <v>4</v>
      </c>
      <c r="CT10">
        <v>3</v>
      </c>
      <c r="CU10">
        <v>14</v>
      </c>
      <c r="CV10">
        <v>15</v>
      </c>
      <c r="CW10">
        <v>19</v>
      </c>
      <c r="CX10">
        <v>48</v>
      </c>
      <c r="CY10">
        <v>10</v>
      </c>
      <c r="CZ10">
        <v>2</v>
      </c>
      <c r="DA10" s="1">
        <v>45490.611111111109</v>
      </c>
      <c r="DB10">
        <v>0</v>
      </c>
      <c r="DC10">
        <v>0</v>
      </c>
      <c r="DD10">
        <v>0</v>
      </c>
      <c r="DE10">
        <v>0</v>
      </c>
      <c r="DF10">
        <v>1</v>
      </c>
      <c r="DG10">
        <v>0</v>
      </c>
      <c r="DH10">
        <v>0</v>
      </c>
      <c r="DI10">
        <v>0</v>
      </c>
      <c r="DJ10">
        <v>0</v>
      </c>
      <c r="DK10">
        <v>1</v>
      </c>
      <c r="DL10">
        <v>1</v>
      </c>
      <c r="DM10">
        <v>1</v>
      </c>
      <c r="DN10">
        <v>0</v>
      </c>
      <c r="DO10">
        <v>0</v>
      </c>
      <c r="DP10">
        <v>0</v>
      </c>
      <c r="DQ10">
        <v>0</v>
      </c>
      <c r="DR10">
        <v>0</v>
      </c>
      <c r="DS10">
        <v>0</v>
      </c>
      <c r="DT10">
        <v>0</v>
      </c>
      <c r="DU10">
        <v>1</v>
      </c>
      <c r="DV10">
        <v>0</v>
      </c>
      <c r="DW10">
        <v>0</v>
      </c>
      <c r="DX10">
        <v>0</v>
      </c>
      <c r="DY10">
        <v>0</v>
      </c>
      <c r="DZ10">
        <v>1</v>
      </c>
      <c r="EA10">
        <v>0</v>
      </c>
      <c r="EB10">
        <v>0</v>
      </c>
      <c r="EC10">
        <v>0</v>
      </c>
      <c r="ED10">
        <v>0</v>
      </c>
      <c r="EE10">
        <v>1</v>
      </c>
      <c r="EF10">
        <v>0</v>
      </c>
      <c r="EG10">
        <v>0</v>
      </c>
      <c r="EH10">
        <v>0</v>
      </c>
      <c r="EI10">
        <v>0</v>
      </c>
      <c r="EJ10">
        <v>1</v>
      </c>
      <c r="EK10">
        <v>0</v>
      </c>
      <c r="EL10">
        <v>0</v>
      </c>
      <c r="EM10">
        <v>0</v>
      </c>
      <c r="EN10">
        <v>0</v>
      </c>
      <c r="EO10">
        <v>1</v>
      </c>
      <c r="EP10">
        <v>0</v>
      </c>
      <c r="EQ10">
        <v>0</v>
      </c>
      <c r="ER10">
        <v>0</v>
      </c>
      <c r="ES10">
        <v>0</v>
      </c>
      <c r="ET10">
        <v>1</v>
      </c>
      <c r="EU10">
        <v>0</v>
      </c>
      <c r="EV10">
        <v>0</v>
      </c>
      <c r="EW10">
        <v>0</v>
      </c>
      <c r="EX10">
        <v>0</v>
      </c>
      <c r="EY10">
        <v>1</v>
      </c>
      <c r="EZ10">
        <v>0</v>
      </c>
      <c r="FA10">
        <v>0</v>
      </c>
      <c r="FB10">
        <v>0</v>
      </c>
      <c r="FC10">
        <v>0</v>
      </c>
      <c r="FD10">
        <v>1</v>
      </c>
      <c r="FE10">
        <v>0</v>
      </c>
      <c r="FF10">
        <v>0</v>
      </c>
      <c r="FG10">
        <v>0</v>
      </c>
      <c r="FH10">
        <v>0</v>
      </c>
      <c r="FI10">
        <v>1</v>
      </c>
      <c r="FJ10">
        <v>0</v>
      </c>
      <c r="FK10">
        <v>0</v>
      </c>
      <c r="FL10">
        <v>0</v>
      </c>
      <c r="FM10">
        <v>0</v>
      </c>
      <c r="FN10">
        <v>1</v>
      </c>
      <c r="FO10">
        <v>0</v>
      </c>
      <c r="FP10">
        <v>0</v>
      </c>
      <c r="FQ10">
        <v>0</v>
      </c>
      <c r="FR10">
        <v>0</v>
      </c>
      <c r="FS10">
        <v>1</v>
      </c>
      <c r="FT10">
        <v>0</v>
      </c>
      <c r="FU10">
        <v>0</v>
      </c>
      <c r="FV10">
        <v>0</v>
      </c>
      <c r="FW10">
        <v>0</v>
      </c>
      <c r="FX10">
        <v>1</v>
      </c>
      <c r="FY10">
        <v>0</v>
      </c>
      <c r="FZ10">
        <v>0</v>
      </c>
      <c r="GA10">
        <v>0</v>
      </c>
      <c r="GB10">
        <v>0</v>
      </c>
      <c r="GC10">
        <v>1</v>
      </c>
      <c r="GD10">
        <v>0</v>
      </c>
      <c r="GE10">
        <v>0</v>
      </c>
      <c r="GF10">
        <v>0</v>
      </c>
      <c r="GG10">
        <v>0</v>
      </c>
      <c r="GH10">
        <v>1</v>
      </c>
      <c r="GI10">
        <v>2</v>
      </c>
      <c r="GJ10" s="1">
        <v>45490.611111111109</v>
      </c>
      <c r="GK10">
        <v>0</v>
      </c>
      <c r="HF10">
        <v>2</v>
      </c>
      <c r="HG10" s="1">
        <v>45490.611111111109</v>
      </c>
      <c r="HH10">
        <v>9</v>
      </c>
      <c r="HI10">
        <v>14</v>
      </c>
      <c r="HJ10">
        <v>13</v>
      </c>
      <c r="HK10">
        <v>2</v>
      </c>
      <c r="HL10" s="1">
        <v>45504.341666666667</v>
      </c>
      <c r="HM10">
        <v>0</v>
      </c>
      <c r="HN10">
        <v>0</v>
      </c>
      <c r="HO10">
        <v>0</v>
      </c>
      <c r="HP10">
        <v>0</v>
      </c>
      <c r="HQ10">
        <v>0</v>
      </c>
      <c r="HR10">
        <v>0</v>
      </c>
      <c r="HS10">
        <v>0</v>
      </c>
      <c r="HT10">
        <v>0</v>
      </c>
      <c r="HU10">
        <v>0</v>
      </c>
      <c r="HV10">
        <v>0</v>
      </c>
      <c r="HW10">
        <v>0</v>
      </c>
      <c r="HX10">
        <v>0</v>
      </c>
      <c r="HY10">
        <v>0</v>
      </c>
      <c r="HZ10">
        <v>0</v>
      </c>
      <c r="IA10">
        <v>0</v>
      </c>
      <c r="IB10">
        <v>0</v>
      </c>
      <c r="IC10">
        <v>0</v>
      </c>
      <c r="ID10">
        <v>0</v>
      </c>
      <c r="IE10">
        <v>0</v>
      </c>
      <c r="IF10">
        <v>0</v>
      </c>
      <c r="IG10">
        <v>0</v>
      </c>
      <c r="IH10">
        <v>0</v>
      </c>
      <c r="II10">
        <v>2</v>
      </c>
      <c r="IJ10" s="1">
        <v>45504.341666666667</v>
      </c>
      <c r="IK10">
        <v>0</v>
      </c>
      <c r="IL10">
        <v>0</v>
      </c>
      <c r="IM10">
        <v>0</v>
      </c>
      <c r="IN10">
        <v>0</v>
      </c>
      <c r="IO10">
        <v>0</v>
      </c>
      <c r="IP10">
        <v>0</v>
      </c>
      <c r="IQ10">
        <v>0</v>
      </c>
      <c r="IR10">
        <v>0</v>
      </c>
      <c r="IS10">
        <v>0</v>
      </c>
      <c r="IT10">
        <v>0</v>
      </c>
      <c r="IU10">
        <v>0</v>
      </c>
      <c r="IV10">
        <v>0</v>
      </c>
      <c r="IW10">
        <v>0</v>
      </c>
      <c r="IX10">
        <v>0</v>
      </c>
      <c r="IY10">
        <v>0</v>
      </c>
      <c r="IZ10">
        <v>0</v>
      </c>
      <c r="JA10">
        <v>0</v>
      </c>
      <c r="JB10">
        <v>0</v>
      </c>
      <c r="JC10">
        <v>0</v>
      </c>
      <c r="JD10">
        <v>1</v>
      </c>
      <c r="JN10">
        <v>0</v>
      </c>
      <c r="JQ10">
        <v>2</v>
      </c>
      <c r="JR10" s="1">
        <v>45504.341666666667</v>
      </c>
      <c r="JS10">
        <v>0</v>
      </c>
      <c r="JT10">
        <v>0</v>
      </c>
      <c r="JU10">
        <v>0</v>
      </c>
      <c r="JV10">
        <v>0</v>
      </c>
      <c r="JW10">
        <v>2</v>
      </c>
      <c r="JX10" s="1">
        <v>45504.342361111114</v>
      </c>
      <c r="JY10">
        <v>31.7</v>
      </c>
      <c r="JZ10">
        <v>2.9</v>
      </c>
      <c r="KI10">
        <v>1</v>
      </c>
      <c r="KJ10">
        <v>38.700000000000003</v>
      </c>
      <c r="KK10">
        <v>5.9</v>
      </c>
      <c r="KL10">
        <v>1</v>
      </c>
      <c r="SQ10">
        <v>1</v>
      </c>
      <c r="SR10">
        <v>31.4</v>
      </c>
      <c r="SS10">
        <v>5</v>
      </c>
      <c r="ST10">
        <v>3</v>
      </c>
      <c r="SU10">
        <v>1</v>
      </c>
      <c r="SV10">
        <v>28.3</v>
      </c>
      <c r="SW10">
        <v>4.5</v>
      </c>
      <c r="SX10">
        <v>6</v>
      </c>
      <c r="TS10">
        <v>5</v>
      </c>
      <c r="TT10">
        <v>27.2</v>
      </c>
      <c r="TU10">
        <v>4.5</v>
      </c>
      <c r="TV10">
        <v>7</v>
      </c>
      <c r="UI10">
        <v>1</v>
      </c>
      <c r="UJ10">
        <v>29.1</v>
      </c>
      <c r="UK10">
        <v>4.5999999999999996</v>
      </c>
      <c r="UL10">
        <v>5</v>
      </c>
      <c r="VC10">
        <v>2</v>
      </c>
      <c r="VD10">
        <v>29.5</v>
      </c>
      <c r="VE10">
        <v>3.6</v>
      </c>
      <c r="VF10">
        <v>8</v>
      </c>
      <c r="WQ10">
        <v>1</v>
      </c>
      <c r="WR10">
        <v>34.6</v>
      </c>
      <c r="WS10">
        <v>5.2</v>
      </c>
      <c r="WT10">
        <v>2</v>
      </c>
      <c r="XC10">
        <v>1</v>
      </c>
      <c r="XD10">
        <v>30.1</v>
      </c>
      <c r="XE10">
        <v>4.7</v>
      </c>
      <c r="XF10">
        <v>4</v>
      </c>
      <c r="YI10">
        <v>4</v>
      </c>
      <c r="YJ10">
        <v>31.7</v>
      </c>
      <c r="YK10">
        <v>2.9</v>
      </c>
      <c r="YL10">
        <v>9</v>
      </c>
      <c r="YQ10">
        <v>2</v>
      </c>
      <c r="YR10" s="1">
        <v>45504.343055555553</v>
      </c>
      <c r="YS10">
        <v>5</v>
      </c>
      <c r="YT10">
        <v>1</v>
      </c>
      <c r="YU10">
        <v>4</v>
      </c>
      <c r="YV10">
        <v>1</v>
      </c>
      <c r="YW10">
        <v>5</v>
      </c>
      <c r="YX10">
        <v>1</v>
      </c>
      <c r="YY10">
        <v>1</v>
      </c>
      <c r="YZ10">
        <v>1</v>
      </c>
      <c r="ZA10">
        <v>5</v>
      </c>
      <c r="ZB10">
        <v>5</v>
      </c>
      <c r="ZC10">
        <v>1</v>
      </c>
      <c r="ZD10">
        <v>5</v>
      </c>
      <c r="ZE10">
        <v>1</v>
      </c>
      <c r="ZF10">
        <v>5</v>
      </c>
      <c r="ZG10">
        <v>1</v>
      </c>
      <c r="ZH10">
        <v>5</v>
      </c>
      <c r="ZI10">
        <v>5</v>
      </c>
      <c r="ZJ10">
        <v>1</v>
      </c>
      <c r="ZK10">
        <v>5</v>
      </c>
      <c r="ZL10">
        <v>1</v>
      </c>
      <c r="ZM10">
        <v>49</v>
      </c>
      <c r="ZN10">
        <v>10</v>
      </c>
      <c r="ZO10">
        <v>2</v>
      </c>
      <c r="ZP10" s="1">
        <v>45504.343055555553</v>
      </c>
      <c r="ZQ10">
        <v>0</v>
      </c>
      <c r="ZR10">
        <v>0</v>
      </c>
      <c r="ZS10">
        <v>0</v>
      </c>
      <c r="ZT10">
        <v>0</v>
      </c>
      <c r="ZU10">
        <v>0</v>
      </c>
      <c r="ZV10">
        <v>0</v>
      </c>
      <c r="ZW10">
        <v>0</v>
      </c>
      <c r="ZX10">
        <v>0</v>
      </c>
      <c r="ZY10">
        <v>0</v>
      </c>
      <c r="ZZ10">
        <v>0</v>
      </c>
      <c r="AAA10">
        <v>0</v>
      </c>
      <c r="AAB10">
        <v>0</v>
      </c>
      <c r="AAC10">
        <v>0</v>
      </c>
      <c r="AAD10">
        <v>0</v>
      </c>
      <c r="AAE10">
        <v>0</v>
      </c>
      <c r="AAF10">
        <v>0</v>
      </c>
      <c r="AAG10">
        <v>0</v>
      </c>
      <c r="AAH10">
        <v>0</v>
      </c>
      <c r="AAI10">
        <v>0</v>
      </c>
      <c r="AAJ10">
        <v>0</v>
      </c>
      <c r="AAK10">
        <v>0</v>
      </c>
      <c r="AAL10">
        <v>0</v>
      </c>
      <c r="AAM10">
        <v>2</v>
      </c>
      <c r="AAN10" s="1">
        <v>45504.34375</v>
      </c>
      <c r="AAO10">
        <v>0</v>
      </c>
      <c r="ABF10">
        <v>2</v>
      </c>
      <c r="ABG10" s="1">
        <v>45504.34375</v>
      </c>
      <c r="ABH10">
        <v>0</v>
      </c>
      <c r="ABI10">
        <v>0</v>
      </c>
      <c r="ABJ10">
        <v>0</v>
      </c>
      <c r="ABK10">
        <v>0</v>
      </c>
      <c r="ABL10">
        <v>0</v>
      </c>
      <c r="ABM10">
        <v>0</v>
      </c>
      <c r="ABN10">
        <v>0</v>
      </c>
      <c r="ABO10">
        <v>0</v>
      </c>
      <c r="ABP10">
        <v>0</v>
      </c>
      <c r="ABQ10">
        <v>0</v>
      </c>
      <c r="ABR10">
        <v>0</v>
      </c>
      <c r="ABS10">
        <v>0</v>
      </c>
      <c r="ABT10">
        <v>0</v>
      </c>
      <c r="ABU10">
        <v>0</v>
      </c>
      <c r="ABV10">
        <v>0</v>
      </c>
      <c r="ABW10">
        <v>0</v>
      </c>
      <c r="ABX10">
        <v>0</v>
      </c>
      <c r="ABY10">
        <v>0</v>
      </c>
      <c r="ABZ10">
        <v>0</v>
      </c>
      <c r="ACA10">
        <v>0</v>
      </c>
      <c r="ACB10">
        <v>0</v>
      </c>
      <c r="ACC10">
        <v>0</v>
      </c>
      <c r="ACD10">
        <v>0</v>
      </c>
      <c r="ACE10">
        <v>0</v>
      </c>
      <c r="ACF10">
        <v>0</v>
      </c>
      <c r="ACG10">
        <v>0</v>
      </c>
      <c r="ACH10">
        <v>0</v>
      </c>
      <c r="ACI10">
        <v>0</v>
      </c>
      <c r="ACJ10">
        <v>0</v>
      </c>
      <c r="ACK10">
        <v>0</v>
      </c>
      <c r="ACL10">
        <v>0</v>
      </c>
      <c r="ACM10">
        <v>0</v>
      </c>
      <c r="ACN10">
        <v>0</v>
      </c>
      <c r="ACO10">
        <v>0</v>
      </c>
      <c r="ACP10">
        <v>0</v>
      </c>
      <c r="ACQ10">
        <v>0</v>
      </c>
      <c r="ACR10">
        <v>0</v>
      </c>
      <c r="ACS10">
        <v>0</v>
      </c>
      <c r="ACT10">
        <v>0</v>
      </c>
      <c r="ACU10">
        <v>0</v>
      </c>
      <c r="ACV10">
        <v>0</v>
      </c>
      <c r="ACW10">
        <v>0</v>
      </c>
      <c r="ACX10">
        <v>0</v>
      </c>
      <c r="ACY10">
        <v>0</v>
      </c>
      <c r="ACZ10">
        <v>0</v>
      </c>
      <c r="ADA10">
        <v>0</v>
      </c>
      <c r="ADB10">
        <v>0</v>
      </c>
      <c r="ADC10">
        <v>0</v>
      </c>
      <c r="ADD10">
        <v>0</v>
      </c>
      <c r="ADE10">
        <v>0</v>
      </c>
      <c r="ADF10">
        <v>0</v>
      </c>
      <c r="ADG10">
        <v>0</v>
      </c>
      <c r="ADH10">
        <v>0</v>
      </c>
      <c r="ADI10">
        <v>0</v>
      </c>
      <c r="ADJ10">
        <v>0</v>
      </c>
      <c r="ADK10">
        <v>0</v>
      </c>
      <c r="ADL10">
        <v>0</v>
      </c>
      <c r="ADM10">
        <v>0</v>
      </c>
      <c r="ADN10">
        <v>0</v>
      </c>
      <c r="ADO10">
        <v>0</v>
      </c>
      <c r="ADP10">
        <v>0</v>
      </c>
      <c r="ADQ10">
        <v>0</v>
      </c>
      <c r="ADR10">
        <v>0</v>
      </c>
      <c r="ADS10">
        <v>0</v>
      </c>
      <c r="ADT10">
        <v>0</v>
      </c>
      <c r="ADU10">
        <v>0</v>
      </c>
      <c r="ADV10">
        <v>0</v>
      </c>
      <c r="ADW10">
        <v>0</v>
      </c>
      <c r="ADX10">
        <v>0</v>
      </c>
      <c r="ADY10">
        <v>0</v>
      </c>
      <c r="ADZ10">
        <v>0</v>
      </c>
      <c r="AEA10">
        <v>0</v>
      </c>
      <c r="AEB10">
        <v>0</v>
      </c>
      <c r="AEC10">
        <v>0</v>
      </c>
      <c r="AEE10">
        <v>2</v>
      </c>
      <c r="AEF10" s="1">
        <v>45504.34375</v>
      </c>
      <c r="AEG10">
        <v>0</v>
      </c>
      <c r="AEH10">
        <v>0</v>
      </c>
      <c r="AEI10">
        <v>0</v>
      </c>
      <c r="AEJ10">
        <v>4</v>
      </c>
      <c r="AEK10">
        <v>0</v>
      </c>
      <c r="AEL10">
        <v>0</v>
      </c>
      <c r="AEM10">
        <v>0</v>
      </c>
      <c r="AEN10">
        <v>4</v>
      </c>
      <c r="AEO10">
        <v>0</v>
      </c>
      <c r="AEP10">
        <v>4</v>
      </c>
      <c r="AEQ10">
        <v>0</v>
      </c>
      <c r="AER10">
        <v>0</v>
      </c>
      <c r="AES10">
        <v>0</v>
      </c>
      <c r="AET10">
        <v>0</v>
      </c>
      <c r="AEU10">
        <v>0</v>
      </c>
      <c r="AEV10">
        <v>0</v>
      </c>
      <c r="AEW10">
        <v>0</v>
      </c>
      <c r="AEX10">
        <v>0</v>
      </c>
      <c r="AEY10">
        <v>0</v>
      </c>
      <c r="AEZ10">
        <v>0</v>
      </c>
      <c r="AFA10">
        <v>0</v>
      </c>
      <c r="AFB10">
        <v>0</v>
      </c>
      <c r="AFC10">
        <v>0</v>
      </c>
      <c r="AFD10">
        <v>0</v>
      </c>
      <c r="AFE10">
        <v>0</v>
      </c>
      <c r="AFF10">
        <v>4</v>
      </c>
      <c r="AFG10">
        <v>4</v>
      </c>
      <c r="AFH10">
        <v>0</v>
      </c>
      <c r="AFI10">
        <v>0</v>
      </c>
      <c r="AFJ10">
        <v>3</v>
      </c>
      <c r="AFK10">
        <v>0</v>
      </c>
      <c r="AFL10">
        <v>0</v>
      </c>
      <c r="AFM10">
        <v>0</v>
      </c>
      <c r="AFN10">
        <v>0</v>
      </c>
      <c r="AFO10">
        <v>4</v>
      </c>
      <c r="AFP10">
        <v>19</v>
      </c>
      <c r="AFQ10">
        <v>-15</v>
      </c>
      <c r="AFR10">
        <v>2</v>
      </c>
      <c r="AFS10" s="1">
        <v>45504.344444444447</v>
      </c>
      <c r="AFT10">
        <v>4</v>
      </c>
      <c r="AFU10">
        <v>4</v>
      </c>
      <c r="AFV10">
        <v>1</v>
      </c>
      <c r="AFW10">
        <v>1</v>
      </c>
      <c r="AFX10">
        <v>4</v>
      </c>
      <c r="AFY10">
        <v>1</v>
      </c>
      <c r="AFZ10">
        <v>1</v>
      </c>
      <c r="AGA10">
        <v>4</v>
      </c>
      <c r="AGB10">
        <v>1</v>
      </c>
      <c r="AGC10">
        <v>4</v>
      </c>
      <c r="AGD10">
        <v>4</v>
      </c>
      <c r="AGE10">
        <v>1</v>
      </c>
      <c r="AGF10">
        <v>1</v>
      </c>
      <c r="AGG10">
        <v>1</v>
      </c>
      <c r="AGH10">
        <v>4</v>
      </c>
      <c r="AGI10">
        <v>4</v>
      </c>
      <c r="AGJ10">
        <v>1</v>
      </c>
      <c r="AGK10">
        <v>1</v>
      </c>
      <c r="AGL10">
        <v>4</v>
      </c>
      <c r="AGM10">
        <v>4</v>
      </c>
      <c r="AGN10">
        <v>20</v>
      </c>
      <c r="AGO10">
        <v>2</v>
      </c>
      <c r="AGP10" s="1">
        <v>45504.344444444447</v>
      </c>
      <c r="AGQ10">
        <v>0</v>
      </c>
      <c r="AGV10">
        <v>0</v>
      </c>
      <c r="AGW10">
        <v>0</v>
      </c>
      <c r="AGX10">
        <v>0</v>
      </c>
      <c r="AGY10">
        <v>0</v>
      </c>
      <c r="AGZ10">
        <v>0</v>
      </c>
      <c r="AHB10">
        <v>2</v>
      </c>
      <c r="AHC10" s="1">
        <v>45504.345138888886</v>
      </c>
      <c r="AHD10" t="s">
        <v>210</v>
      </c>
      <c r="AHE10" t="s">
        <v>212</v>
      </c>
      <c r="AHN10">
        <v>4</v>
      </c>
      <c r="AHO10" t="s">
        <v>219</v>
      </c>
      <c r="AHP10" t="s">
        <v>219</v>
      </c>
      <c r="AHQ10" t="s">
        <v>270</v>
      </c>
      <c r="AHR10" t="s">
        <v>271</v>
      </c>
      <c r="AHS10" t="s">
        <v>210</v>
      </c>
      <c r="AHU10" t="s">
        <v>211</v>
      </c>
    </row>
    <row r="11" spans="1:905">
      <c r="A11">
        <v>134</v>
      </c>
      <c r="B11" t="s">
        <v>205</v>
      </c>
      <c r="C11" t="s">
        <v>272</v>
      </c>
      <c r="D11">
        <v>2</v>
      </c>
      <c r="E11">
        <v>2</v>
      </c>
      <c r="F11">
        <v>50</v>
      </c>
      <c r="G11">
        <v>64</v>
      </c>
      <c r="H11">
        <v>128</v>
      </c>
      <c r="I11">
        <v>0</v>
      </c>
      <c r="J11">
        <v>2</v>
      </c>
      <c r="L11" t="s">
        <v>273</v>
      </c>
      <c r="M11">
        <v>2</v>
      </c>
      <c r="N11" s="1">
        <v>45488.402777777781</v>
      </c>
      <c r="O11">
        <v>10</v>
      </c>
      <c r="P11">
        <v>0</v>
      </c>
      <c r="R11">
        <v>0</v>
      </c>
      <c r="S11">
        <v>1</v>
      </c>
      <c r="T11">
        <v>0</v>
      </c>
      <c r="U11">
        <v>0</v>
      </c>
      <c r="V11">
        <v>0</v>
      </c>
      <c r="W11">
        <v>0</v>
      </c>
      <c r="X11">
        <v>0</v>
      </c>
      <c r="Y11">
        <v>0</v>
      </c>
      <c r="Z11">
        <v>0</v>
      </c>
      <c r="AA11">
        <v>0</v>
      </c>
      <c r="AB11">
        <v>0</v>
      </c>
      <c r="AC11" t="s">
        <v>208</v>
      </c>
      <c r="AD11">
        <v>2</v>
      </c>
      <c r="AE11" s="1">
        <v>45488.405555555553</v>
      </c>
      <c r="AF11">
        <v>3</v>
      </c>
      <c r="AG11">
        <v>2</v>
      </c>
      <c r="AH11">
        <v>3</v>
      </c>
      <c r="AI11">
        <v>2</v>
      </c>
      <c r="AJ11">
        <v>2</v>
      </c>
      <c r="AK11">
        <v>3</v>
      </c>
      <c r="AL11">
        <v>3</v>
      </c>
      <c r="AM11">
        <v>2</v>
      </c>
      <c r="AN11">
        <v>2</v>
      </c>
      <c r="AO11">
        <v>3</v>
      </c>
      <c r="AP11">
        <v>2</v>
      </c>
      <c r="AQ11">
        <v>2</v>
      </c>
      <c r="AR11">
        <v>3</v>
      </c>
      <c r="AS11">
        <v>3</v>
      </c>
      <c r="AT11">
        <v>2</v>
      </c>
      <c r="AU11">
        <v>3</v>
      </c>
      <c r="AV11">
        <v>2</v>
      </c>
      <c r="AW11">
        <v>2</v>
      </c>
      <c r="AX11">
        <v>3</v>
      </c>
      <c r="AY11">
        <v>1</v>
      </c>
      <c r="AZ11">
        <v>39</v>
      </c>
      <c r="BA11">
        <v>2</v>
      </c>
      <c r="BB11" s="1">
        <v>45488.413888888892</v>
      </c>
      <c r="BC11">
        <v>13</v>
      </c>
      <c r="BD11">
        <v>3</v>
      </c>
      <c r="BE11">
        <v>2</v>
      </c>
      <c r="BI11" s="2">
        <v>45461</v>
      </c>
      <c r="BM11" t="s">
        <v>274</v>
      </c>
      <c r="BN11" t="s">
        <v>275</v>
      </c>
      <c r="BO11">
        <v>1</v>
      </c>
      <c r="BP11">
        <v>1</v>
      </c>
      <c r="BQ11">
        <v>0</v>
      </c>
      <c r="BR11">
        <v>0</v>
      </c>
      <c r="BS11">
        <v>0</v>
      </c>
      <c r="BT11">
        <v>0</v>
      </c>
      <c r="BU11">
        <v>0</v>
      </c>
      <c r="BV11">
        <v>0</v>
      </c>
      <c r="BW11">
        <v>0</v>
      </c>
      <c r="BY11">
        <v>2</v>
      </c>
      <c r="BZ11" s="1">
        <v>45488.419444444444</v>
      </c>
      <c r="CA11">
        <v>3</v>
      </c>
      <c r="CB11">
        <v>3</v>
      </c>
      <c r="CC11">
        <v>3</v>
      </c>
      <c r="CD11">
        <v>4</v>
      </c>
      <c r="CE11">
        <v>3</v>
      </c>
      <c r="CF11">
        <v>3</v>
      </c>
      <c r="CG11">
        <v>3</v>
      </c>
      <c r="CH11">
        <v>3</v>
      </c>
      <c r="CI11">
        <v>3</v>
      </c>
      <c r="CJ11">
        <v>3</v>
      </c>
      <c r="CK11">
        <v>2</v>
      </c>
      <c r="CL11">
        <v>3</v>
      </c>
      <c r="CM11">
        <v>2</v>
      </c>
      <c r="CN11">
        <v>3</v>
      </c>
      <c r="CO11">
        <v>3</v>
      </c>
      <c r="CP11">
        <v>2</v>
      </c>
      <c r="CQ11">
        <v>2</v>
      </c>
      <c r="CR11">
        <v>2</v>
      </c>
      <c r="CS11">
        <v>3</v>
      </c>
      <c r="CT11">
        <v>3</v>
      </c>
      <c r="CU11">
        <v>11</v>
      </c>
      <c r="CV11">
        <v>10</v>
      </c>
      <c r="CW11">
        <v>15</v>
      </c>
      <c r="CX11">
        <v>36</v>
      </c>
      <c r="CY11">
        <v>22</v>
      </c>
      <c r="CZ11">
        <v>2</v>
      </c>
      <c r="DA11" s="1">
        <v>45488.423611111109</v>
      </c>
      <c r="DB11">
        <v>0</v>
      </c>
      <c r="DC11">
        <v>0</v>
      </c>
      <c r="DD11">
        <v>0</v>
      </c>
      <c r="DE11">
        <v>1</v>
      </c>
      <c r="DF11">
        <v>0</v>
      </c>
      <c r="DG11">
        <v>0</v>
      </c>
      <c r="DH11">
        <v>0</v>
      </c>
      <c r="DI11">
        <v>0</v>
      </c>
      <c r="DJ11">
        <v>1</v>
      </c>
      <c r="DK11">
        <v>0</v>
      </c>
      <c r="DL11">
        <v>0</v>
      </c>
      <c r="DM11">
        <v>0</v>
      </c>
      <c r="DN11">
        <v>1</v>
      </c>
      <c r="DO11">
        <v>0</v>
      </c>
      <c r="DP11">
        <v>0</v>
      </c>
      <c r="DQ11">
        <v>0</v>
      </c>
      <c r="DR11">
        <v>0</v>
      </c>
      <c r="DS11">
        <v>1</v>
      </c>
      <c r="DT11">
        <v>0</v>
      </c>
      <c r="DU11">
        <v>0</v>
      </c>
      <c r="DV11">
        <v>0</v>
      </c>
      <c r="DW11">
        <v>0</v>
      </c>
      <c r="DX11">
        <v>0</v>
      </c>
      <c r="DY11">
        <v>1</v>
      </c>
      <c r="DZ11">
        <v>0</v>
      </c>
      <c r="EA11">
        <v>0</v>
      </c>
      <c r="EB11">
        <v>0</v>
      </c>
      <c r="EC11">
        <v>0</v>
      </c>
      <c r="ED11">
        <v>0</v>
      </c>
      <c r="EE11">
        <v>1</v>
      </c>
      <c r="EF11">
        <v>0</v>
      </c>
      <c r="EG11">
        <v>0</v>
      </c>
      <c r="EH11">
        <v>0</v>
      </c>
      <c r="EI11">
        <v>0</v>
      </c>
      <c r="EJ11">
        <v>1</v>
      </c>
      <c r="EK11">
        <v>0</v>
      </c>
      <c r="EL11">
        <v>0</v>
      </c>
      <c r="EM11">
        <v>0</v>
      </c>
      <c r="EN11">
        <v>0</v>
      </c>
      <c r="EO11">
        <v>1</v>
      </c>
      <c r="EP11">
        <v>0</v>
      </c>
      <c r="EQ11">
        <v>0</v>
      </c>
      <c r="ER11">
        <v>0</v>
      </c>
      <c r="ES11">
        <v>0</v>
      </c>
      <c r="ET11">
        <v>1</v>
      </c>
      <c r="EU11">
        <v>0</v>
      </c>
      <c r="EV11">
        <v>0</v>
      </c>
      <c r="EW11">
        <v>0</v>
      </c>
      <c r="EX11">
        <v>0</v>
      </c>
      <c r="EY11">
        <v>1</v>
      </c>
      <c r="EZ11">
        <v>0</v>
      </c>
      <c r="FA11">
        <v>0</v>
      </c>
      <c r="FB11">
        <v>0</v>
      </c>
      <c r="FC11">
        <v>0</v>
      </c>
      <c r="FD11">
        <v>1</v>
      </c>
      <c r="FE11">
        <v>0</v>
      </c>
      <c r="FF11">
        <v>1</v>
      </c>
      <c r="FG11">
        <v>0</v>
      </c>
      <c r="FH11">
        <v>0</v>
      </c>
      <c r="FI11">
        <v>0</v>
      </c>
      <c r="FJ11">
        <v>0</v>
      </c>
      <c r="FK11">
        <v>0</v>
      </c>
      <c r="FL11">
        <v>0</v>
      </c>
      <c r="FM11">
        <v>1</v>
      </c>
      <c r="FN11">
        <v>0</v>
      </c>
      <c r="FO11">
        <v>0</v>
      </c>
      <c r="FP11">
        <v>0</v>
      </c>
      <c r="FQ11">
        <v>0</v>
      </c>
      <c r="FR11">
        <v>1</v>
      </c>
      <c r="FS11">
        <v>0</v>
      </c>
      <c r="FT11">
        <v>0</v>
      </c>
      <c r="FU11">
        <v>0</v>
      </c>
      <c r="FV11">
        <v>0</v>
      </c>
      <c r="FW11">
        <v>1</v>
      </c>
      <c r="FX11">
        <v>0</v>
      </c>
      <c r="FY11">
        <v>0</v>
      </c>
      <c r="FZ11">
        <v>0</v>
      </c>
      <c r="GA11">
        <v>0</v>
      </c>
      <c r="GB11">
        <v>0</v>
      </c>
      <c r="GC11">
        <v>1</v>
      </c>
      <c r="GD11">
        <v>1</v>
      </c>
      <c r="GE11">
        <v>0</v>
      </c>
      <c r="GF11">
        <v>0</v>
      </c>
      <c r="GG11">
        <v>0</v>
      </c>
      <c r="GH11">
        <v>0</v>
      </c>
      <c r="GI11">
        <v>2</v>
      </c>
      <c r="GJ11" s="1">
        <v>45488.423611111109</v>
      </c>
      <c r="GK11">
        <v>0</v>
      </c>
      <c r="HF11">
        <v>2</v>
      </c>
      <c r="HG11" s="1">
        <v>45488.424305555556</v>
      </c>
      <c r="HH11">
        <v>8</v>
      </c>
      <c r="HI11">
        <v>12</v>
      </c>
      <c r="HJ11">
        <v>8</v>
      </c>
      <c r="HK11">
        <v>2</v>
      </c>
      <c r="HL11" s="1">
        <v>45502.684027777781</v>
      </c>
      <c r="HM11">
        <v>0</v>
      </c>
      <c r="HN11">
        <v>1</v>
      </c>
      <c r="HO11">
        <v>0</v>
      </c>
      <c r="HP11">
        <v>1</v>
      </c>
      <c r="HQ11">
        <v>0</v>
      </c>
      <c r="HR11">
        <v>0</v>
      </c>
      <c r="HS11">
        <v>1</v>
      </c>
      <c r="HT11">
        <v>0</v>
      </c>
      <c r="HU11">
        <v>0</v>
      </c>
      <c r="HV11">
        <v>0</v>
      </c>
      <c r="HW11">
        <v>0</v>
      </c>
      <c r="HX11">
        <v>1</v>
      </c>
      <c r="HY11">
        <v>0</v>
      </c>
      <c r="HZ11">
        <v>0</v>
      </c>
      <c r="IA11">
        <v>1</v>
      </c>
      <c r="IB11">
        <v>1</v>
      </c>
      <c r="IC11">
        <v>1</v>
      </c>
      <c r="ID11">
        <v>0</v>
      </c>
      <c r="IE11">
        <v>0</v>
      </c>
      <c r="IF11">
        <v>1</v>
      </c>
      <c r="IG11">
        <v>0</v>
      </c>
      <c r="IH11">
        <v>8</v>
      </c>
      <c r="II11">
        <v>2</v>
      </c>
      <c r="IJ11" s="1">
        <v>45502.68472222222</v>
      </c>
      <c r="IK11">
        <v>0</v>
      </c>
      <c r="IL11">
        <v>0</v>
      </c>
      <c r="IM11">
        <v>0</v>
      </c>
      <c r="IN11">
        <v>0</v>
      </c>
      <c r="IO11">
        <v>0</v>
      </c>
      <c r="IP11">
        <v>0</v>
      </c>
      <c r="IQ11">
        <v>0</v>
      </c>
      <c r="IR11">
        <v>0</v>
      </c>
      <c r="IS11">
        <v>0</v>
      </c>
      <c r="IT11">
        <v>0</v>
      </c>
      <c r="IU11">
        <v>0</v>
      </c>
      <c r="IV11">
        <v>0</v>
      </c>
      <c r="IW11">
        <v>0</v>
      </c>
      <c r="IX11">
        <v>0</v>
      </c>
      <c r="IY11">
        <v>0</v>
      </c>
      <c r="IZ11">
        <v>0</v>
      </c>
      <c r="JA11">
        <v>0</v>
      </c>
      <c r="JB11">
        <v>0</v>
      </c>
      <c r="JC11">
        <v>0</v>
      </c>
      <c r="JD11">
        <v>1</v>
      </c>
      <c r="JN11">
        <v>0</v>
      </c>
      <c r="JQ11">
        <v>2</v>
      </c>
      <c r="JR11" s="1">
        <v>45502.685416666667</v>
      </c>
      <c r="JS11">
        <v>0</v>
      </c>
      <c r="JT11">
        <v>0</v>
      </c>
      <c r="JU11">
        <v>0</v>
      </c>
      <c r="JV11">
        <v>0</v>
      </c>
      <c r="JW11">
        <v>2</v>
      </c>
      <c r="JX11" s="1">
        <v>45502.686111111114</v>
      </c>
      <c r="JY11">
        <v>45</v>
      </c>
      <c r="JZ11">
        <v>2.5</v>
      </c>
      <c r="KI11">
        <v>1</v>
      </c>
      <c r="KJ11">
        <v>38.700000000000003</v>
      </c>
      <c r="KK11">
        <v>5.9</v>
      </c>
      <c r="KL11">
        <v>1</v>
      </c>
      <c r="UM11">
        <v>2</v>
      </c>
      <c r="UN11">
        <v>43.4</v>
      </c>
      <c r="UO11">
        <v>2.9</v>
      </c>
      <c r="UP11">
        <v>3</v>
      </c>
      <c r="UQ11">
        <v>2</v>
      </c>
      <c r="UR11">
        <v>45</v>
      </c>
      <c r="US11">
        <v>2.5</v>
      </c>
      <c r="UT11">
        <v>4</v>
      </c>
      <c r="WQ11">
        <v>2</v>
      </c>
      <c r="WR11">
        <v>41.9</v>
      </c>
      <c r="WS11">
        <v>3.6</v>
      </c>
      <c r="WT11">
        <v>2</v>
      </c>
      <c r="YQ11">
        <v>2</v>
      </c>
      <c r="YR11" s="1">
        <v>45502.688194444447</v>
      </c>
      <c r="YS11">
        <v>4</v>
      </c>
      <c r="YT11">
        <v>1</v>
      </c>
      <c r="YU11">
        <v>4</v>
      </c>
      <c r="YV11">
        <v>1</v>
      </c>
      <c r="YW11">
        <v>4</v>
      </c>
      <c r="YX11">
        <v>1</v>
      </c>
      <c r="YY11">
        <v>1</v>
      </c>
      <c r="YZ11">
        <v>1</v>
      </c>
      <c r="ZA11">
        <v>4</v>
      </c>
      <c r="ZB11">
        <v>4</v>
      </c>
      <c r="ZC11">
        <v>2</v>
      </c>
      <c r="ZD11">
        <v>1</v>
      </c>
      <c r="ZE11">
        <v>1</v>
      </c>
      <c r="ZF11">
        <v>4</v>
      </c>
      <c r="ZG11">
        <v>1</v>
      </c>
      <c r="ZH11">
        <v>3</v>
      </c>
      <c r="ZI11">
        <v>4</v>
      </c>
      <c r="ZJ11">
        <v>1</v>
      </c>
      <c r="ZK11">
        <v>4</v>
      </c>
      <c r="ZL11">
        <v>1</v>
      </c>
      <c r="ZM11">
        <v>36</v>
      </c>
      <c r="ZN11">
        <v>11</v>
      </c>
      <c r="ZO11">
        <v>2</v>
      </c>
      <c r="ZP11" s="1">
        <v>45502.689583333333</v>
      </c>
      <c r="ZQ11">
        <v>0</v>
      </c>
      <c r="ZR11">
        <v>0</v>
      </c>
      <c r="ZS11">
        <v>1</v>
      </c>
      <c r="ZT11">
        <v>0</v>
      </c>
      <c r="ZU11">
        <v>0</v>
      </c>
      <c r="ZV11">
        <v>1</v>
      </c>
      <c r="ZW11">
        <v>0</v>
      </c>
      <c r="ZX11">
        <v>0</v>
      </c>
      <c r="ZY11">
        <v>0</v>
      </c>
      <c r="ZZ11">
        <v>0</v>
      </c>
      <c r="AAA11">
        <v>0</v>
      </c>
      <c r="AAB11">
        <v>0</v>
      </c>
      <c r="AAC11">
        <v>0</v>
      </c>
      <c r="AAD11">
        <v>0</v>
      </c>
      <c r="AAE11">
        <v>0</v>
      </c>
      <c r="AAF11">
        <v>1</v>
      </c>
      <c r="AAG11">
        <v>0</v>
      </c>
      <c r="AAH11">
        <v>0</v>
      </c>
      <c r="AAI11">
        <v>1</v>
      </c>
      <c r="AAJ11">
        <v>0</v>
      </c>
      <c r="AAK11">
        <v>2</v>
      </c>
      <c r="AAL11">
        <v>3</v>
      </c>
      <c r="AAM11">
        <v>2</v>
      </c>
      <c r="AAN11" s="1">
        <v>45502.689583333333</v>
      </c>
      <c r="AAO11">
        <v>0</v>
      </c>
      <c r="ABF11">
        <v>2</v>
      </c>
      <c r="ABG11" s="1">
        <v>45502.69027777778</v>
      </c>
      <c r="ABH11">
        <v>0</v>
      </c>
      <c r="ABI11">
        <v>0</v>
      </c>
      <c r="ABJ11">
        <v>0</v>
      </c>
      <c r="ABK11">
        <v>0</v>
      </c>
      <c r="ABL11">
        <v>0</v>
      </c>
      <c r="ABM11">
        <v>0</v>
      </c>
      <c r="ABN11">
        <v>0</v>
      </c>
      <c r="ABO11">
        <v>0</v>
      </c>
      <c r="ABP11">
        <v>0</v>
      </c>
      <c r="ABQ11">
        <v>0</v>
      </c>
      <c r="ABR11">
        <v>0</v>
      </c>
      <c r="ABS11">
        <v>0</v>
      </c>
      <c r="ABT11">
        <v>0</v>
      </c>
      <c r="ABU11">
        <v>0</v>
      </c>
      <c r="ABV11">
        <v>0</v>
      </c>
      <c r="ABW11">
        <v>0</v>
      </c>
      <c r="ABX11">
        <v>0</v>
      </c>
      <c r="ABY11">
        <v>0</v>
      </c>
      <c r="ABZ11">
        <v>0</v>
      </c>
      <c r="ACA11">
        <v>0</v>
      </c>
      <c r="ACB11">
        <v>0</v>
      </c>
      <c r="ACC11">
        <v>0</v>
      </c>
      <c r="ACD11">
        <v>0</v>
      </c>
      <c r="ACE11">
        <v>0</v>
      </c>
      <c r="ACF11">
        <v>0</v>
      </c>
      <c r="ACG11">
        <v>0</v>
      </c>
      <c r="ACH11">
        <v>0</v>
      </c>
      <c r="ACI11">
        <v>0</v>
      </c>
      <c r="ACJ11">
        <v>0</v>
      </c>
      <c r="ACK11">
        <v>0</v>
      </c>
      <c r="ACL11">
        <v>0</v>
      </c>
      <c r="ACM11">
        <v>0</v>
      </c>
      <c r="ACN11">
        <v>0</v>
      </c>
      <c r="ACO11">
        <v>0</v>
      </c>
      <c r="ACP11">
        <v>0</v>
      </c>
      <c r="ACQ11">
        <v>0</v>
      </c>
      <c r="ACR11">
        <v>0</v>
      </c>
      <c r="ACS11">
        <v>0</v>
      </c>
      <c r="ACT11">
        <v>0</v>
      </c>
      <c r="ACU11">
        <v>0</v>
      </c>
      <c r="ACV11">
        <v>0</v>
      </c>
      <c r="ACW11">
        <v>0</v>
      </c>
      <c r="ACX11">
        <v>0</v>
      </c>
      <c r="ACY11">
        <v>0</v>
      </c>
      <c r="ACZ11">
        <v>0</v>
      </c>
      <c r="ADA11">
        <v>0</v>
      </c>
      <c r="ADB11">
        <v>0</v>
      </c>
      <c r="ADC11">
        <v>0</v>
      </c>
      <c r="ADD11">
        <v>0</v>
      </c>
      <c r="ADE11">
        <v>0</v>
      </c>
      <c r="ADF11">
        <v>0</v>
      </c>
      <c r="ADG11">
        <v>0</v>
      </c>
      <c r="ADH11">
        <v>0</v>
      </c>
      <c r="ADI11">
        <v>0</v>
      </c>
      <c r="ADJ11">
        <v>0</v>
      </c>
      <c r="ADK11">
        <v>0</v>
      </c>
      <c r="ADL11">
        <v>0</v>
      </c>
      <c r="ADM11">
        <v>0</v>
      </c>
      <c r="ADN11">
        <v>0</v>
      </c>
      <c r="ADO11">
        <v>0</v>
      </c>
      <c r="ADP11">
        <v>0</v>
      </c>
      <c r="ADQ11">
        <v>0</v>
      </c>
      <c r="ADR11">
        <v>0</v>
      </c>
      <c r="ADS11">
        <v>0</v>
      </c>
      <c r="ADT11">
        <v>0</v>
      </c>
      <c r="ADU11">
        <v>0</v>
      </c>
      <c r="ADV11">
        <v>0</v>
      </c>
      <c r="ADW11">
        <v>0</v>
      </c>
      <c r="ADX11">
        <v>0</v>
      </c>
      <c r="ADY11">
        <v>0</v>
      </c>
      <c r="ADZ11">
        <v>0</v>
      </c>
      <c r="AEA11">
        <v>0</v>
      </c>
      <c r="AEB11">
        <v>0</v>
      </c>
      <c r="AEC11">
        <v>0</v>
      </c>
      <c r="AEE11">
        <v>2</v>
      </c>
      <c r="AEF11" s="1">
        <v>45502.693055555559</v>
      </c>
      <c r="AEG11">
        <v>0</v>
      </c>
      <c r="AEH11">
        <v>0</v>
      </c>
      <c r="AEI11">
        <v>0</v>
      </c>
      <c r="AEJ11">
        <v>3</v>
      </c>
      <c r="AEK11">
        <v>0</v>
      </c>
      <c r="AEL11">
        <v>0</v>
      </c>
      <c r="AEM11">
        <v>0</v>
      </c>
      <c r="AEN11">
        <v>3</v>
      </c>
      <c r="AEO11">
        <v>0</v>
      </c>
      <c r="AEP11">
        <v>3</v>
      </c>
      <c r="AEQ11">
        <v>0</v>
      </c>
      <c r="AER11">
        <v>1</v>
      </c>
      <c r="AES11">
        <v>1</v>
      </c>
      <c r="AET11">
        <v>0</v>
      </c>
      <c r="AEU11">
        <v>0</v>
      </c>
      <c r="AEV11">
        <v>0</v>
      </c>
      <c r="AEW11">
        <v>0</v>
      </c>
      <c r="AEX11">
        <v>0</v>
      </c>
      <c r="AEY11">
        <v>0</v>
      </c>
      <c r="AEZ11">
        <v>0</v>
      </c>
      <c r="AFA11">
        <v>0</v>
      </c>
      <c r="AFB11">
        <v>1</v>
      </c>
      <c r="AFC11">
        <v>0</v>
      </c>
      <c r="AFD11">
        <v>0</v>
      </c>
      <c r="AFE11">
        <v>0</v>
      </c>
      <c r="AFF11">
        <v>3</v>
      </c>
      <c r="AFG11">
        <v>3</v>
      </c>
      <c r="AFH11">
        <v>0</v>
      </c>
      <c r="AFI11">
        <v>0</v>
      </c>
      <c r="AFJ11">
        <v>3</v>
      </c>
      <c r="AFK11">
        <v>1</v>
      </c>
      <c r="AFL11">
        <v>0</v>
      </c>
      <c r="AFM11">
        <v>0</v>
      </c>
      <c r="AFN11">
        <v>2</v>
      </c>
      <c r="AFO11">
        <v>3</v>
      </c>
      <c r="AFP11">
        <v>15</v>
      </c>
      <c r="AFQ11">
        <v>-9</v>
      </c>
      <c r="AFR11">
        <v>2</v>
      </c>
      <c r="AFS11" s="1">
        <v>45502.695138888892</v>
      </c>
      <c r="AFT11">
        <v>4</v>
      </c>
      <c r="AFU11">
        <v>4</v>
      </c>
      <c r="AFV11">
        <v>2</v>
      </c>
      <c r="AFW11">
        <v>1</v>
      </c>
      <c r="AFX11">
        <v>4</v>
      </c>
      <c r="AFY11">
        <v>1</v>
      </c>
      <c r="AFZ11">
        <v>1</v>
      </c>
      <c r="AGA11">
        <v>4</v>
      </c>
      <c r="AGB11">
        <v>1</v>
      </c>
      <c r="AGC11">
        <v>4</v>
      </c>
      <c r="AGD11">
        <v>3</v>
      </c>
      <c r="AGE11">
        <v>1</v>
      </c>
      <c r="AGF11">
        <v>1</v>
      </c>
      <c r="AGG11">
        <v>1</v>
      </c>
      <c r="AGH11">
        <v>4</v>
      </c>
      <c r="AGI11">
        <v>3</v>
      </c>
      <c r="AGJ11">
        <v>2</v>
      </c>
      <c r="AGK11">
        <v>1</v>
      </c>
      <c r="AGL11">
        <v>4</v>
      </c>
      <c r="AGM11">
        <v>3</v>
      </c>
      <c r="AGN11">
        <v>25</v>
      </c>
      <c r="AGO11">
        <v>2</v>
      </c>
      <c r="AGP11" s="1">
        <v>45502.695138888892</v>
      </c>
      <c r="AGQ11">
        <v>0</v>
      </c>
      <c r="AGV11">
        <v>0</v>
      </c>
      <c r="AGW11">
        <v>0</v>
      </c>
      <c r="AGX11">
        <v>0</v>
      </c>
      <c r="AGY11">
        <v>0</v>
      </c>
      <c r="AGZ11">
        <v>0</v>
      </c>
      <c r="AHB11">
        <v>2</v>
      </c>
      <c r="AHC11" s="1">
        <v>45502.697222222225</v>
      </c>
      <c r="AHD11" t="s">
        <v>210</v>
      </c>
      <c r="AHE11" t="s">
        <v>212</v>
      </c>
      <c r="AHN11">
        <v>8</v>
      </c>
      <c r="AHO11">
        <v>8</v>
      </c>
      <c r="AHP11">
        <v>1</v>
      </c>
      <c r="AHQ11" t="s">
        <v>276</v>
      </c>
      <c r="AHR11" t="s">
        <v>276</v>
      </c>
      <c r="AHS11" t="s">
        <v>210</v>
      </c>
      <c r="AHU11" t="s">
        <v>211</v>
      </c>
    </row>
    <row r="12" spans="1:905">
      <c r="A12">
        <v>135</v>
      </c>
      <c r="B12" t="s">
        <v>205</v>
      </c>
      <c r="C12" t="s">
        <v>277</v>
      </c>
      <c r="D12">
        <v>2</v>
      </c>
      <c r="E12">
        <v>2</v>
      </c>
      <c r="F12">
        <v>35</v>
      </c>
      <c r="G12">
        <v>64</v>
      </c>
      <c r="H12">
        <v>198</v>
      </c>
      <c r="I12">
        <v>0</v>
      </c>
      <c r="J12">
        <v>5</v>
      </c>
      <c r="L12" t="s">
        <v>278</v>
      </c>
      <c r="M12">
        <v>2</v>
      </c>
      <c r="N12" s="1">
        <v>45488.620833333334</v>
      </c>
      <c r="O12">
        <v>5</v>
      </c>
      <c r="P12">
        <v>0</v>
      </c>
      <c r="R12">
        <v>0</v>
      </c>
      <c r="S12">
        <v>1</v>
      </c>
      <c r="T12">
        <v>0</v>
      </c>
      <c r="U12">
        <v>0</v>
      </c>
      <c r="V12">
        <v>0</v>
      </c>
      <c r="W12">
        <v>0</v>
      </c>
      <c r="X12">
        <v>0</v>
      </c>
      <c r="Y12">
        <v>0</v>
      </c>
      <c r="Z12">
        <v>0</v>
      </c>
      <c r="AA12">
        <v>0</v>
      </c>
      <c r="AB12">
        <v>0</v>
      </c>
      <c r="AC12" t="s">
        <v>208</v>
      </c>
      <c r="AD12">
        <v>2</v>
      </c>
      <c r="AE12" s="1">
        <v>45488.621527777781</v>
      </c>
      <c r="AF12">
        <v>3</v>
      </c>
      <c r="AG12">
        <v>2</v>
      </c>
      <c r="AH12">
        <v>3</v>
      </c>
      <c r="AI12">
        <v>1</v>
      </c>
      <c r="AJ12">
        <v>2</v>
      </c>
      <c r="AK12">
        <v>3</v>
      </c>
      <c r="AL12">
        <v>4</v>
      </c>
      <c r="AM12">
        <v>2</v>
      </c>
      <c r="AN12">
        <v>1</v>
      </c>
      <c r="AO12">
        <v>3</v>
      </c>
      <c r="AP12">
        <v>1</v>
      </c>
      <c r="AQ12">
        <v>2</v>
      </c>
      <c r="AR12">
        <v>3</v>
      </c>
      <c r="AS12">
        <v>3</v>
      </c>
      <c r="AT12">
        <v>1</v>
      </c>
      <c r="AU12">
        <v>3</v>
      </c>
      <c r="AV12">
        <v>2</v>
      </c>
      <c r="AW12">
        <v>1</v>
      </c>
      <c r="AX12">
        <v>4</v>
      </c>
      <c r="AY12">
        <v>1</v>
      </c>
      <c r="AZ12">
        <v>32</v>
      </c>
      <c r="BA12">
        <v>2</v>
      </c>
      <c r="BB12" s="1">
        <v>45488.62222222222</v>
      </c>
      <c r="BC12">
        <v>9</v>
      </c>
      <c r="BD12">
        <v>1</v>
      </c>
      <c r="BE12">
        <v>1</v>
      </c>
      <c r="BI12" s="2">
        <v>45374</v>
      </c>
      <c r="BM12">
        <v>27</v>
      </c>
      <c r="BN12">
        <v>7</v>
      </c>
      <c r="BO12">
        <v>2</v>
      </c>
      <c r="BP12">
        <v>1</v>
      </c>
      <c r="BQ12">
        <v>0</v>
      </c>
      <c r="BR12">
        <v>0</v>
      </c>
      <c r="BS12">
        <v>0</v>
      </c>
      <c r="BT12">
        <v>0</v>
      </c>
      <c r="BU12">
        <v>0</v>
      </c>
      <c r="BV12">
        <v>0</v>
      </c>
      <c r="BW12">
        <v>0</v>
      </c>
      <c r="BY12">
        <v>2</v>
      </c>
      <c r="BZ12" s="1">
        <v>45488.623611111114</v>
      </c>
      <c r="CA12">
        <v>4</v>
      </c>
      <c r="CB12">
        <v>3</v>
      </c>
      <c r="CC12">
        <v>4</v>
      </c>
      <c r="CD12">
        <v>3</v>
      </c>
      <c r="CE12">
        <v>4</v>
      </c>
      <c r="CF12">
        <v>4</v>
      </c>
      <c r="CG12">
        <v>3</v>
      </c>
      <c r="CH12">
        <v>4</v>
      </c>
      <c r="CI12">
        <v>4</v>
      </c>
      <c r="CJ12">
        <v>3</v>
      </c>
      <c r="CK12">
        <v>3</v>
      </c>
      <c r="CL12">
        <v>4</v>
      </c>
      <c r="CM12">
        <v>3</v>
      </c>
      <c r="CN12">
        <v>3</v>
      </c>
      <c r="CO12">
        <v>3</v>
      </c>
      <c r="CP12">
        <v>4</v>
      </c>
      <c r="CQ12">
        <v>3</v>
      </c>
      <c r="CR12">
        <v>3</v>
      </c>
      <c r="CS12">
        <v>4</v>
      </c>
      <c r="CT12">
        <v>4</v>
      </c>
      <c r="CU12">
        <v>14</v>
      </c>
      <c r="CV12">
        <v>15</v>
      </c>
      <c r="CW12">
        <v>20</v>
      </c>
      <c r="CX12">
        <v>49</v>
      </c>
      <c r="CY12">
        <v>19</v>
      </c>
      <c r="CZ12">
        <v>2</v>
      </c>
      <c r="DA12" s="1">
        <v>45488.624305555553</v>
      </c>
      <c r="DB12">
        <v>1</v>
      </c>
      <c r="DC12">
        <v>0</v>
      </c>
      <c r="DD12">
        <v>0</v>
      </c>
      <c r="DE12">
        <v>0</v>
      </c>
      <c r="DF12">
        <v>0</v>
      </c>
      <c r="DG12">
        <v>1</v>
      </c>
      <c r="DH12">
        <v>0</v>
      </c>
      <c r="DI12">
        <v>0</v>
      </c>
      <c r="DJ12">
        <v>0</v>
      </c>
      <c r="DK12">
        <v>0</v>
      </c>
      <c r="DL12">
        <v>1</v>
      </c>
      <c r="DM12">
        <v>0</v>
      </c>
      <c r="DN12">
        <v>0</v>
      </c>
      <c r="DO12">
        <v>0</v>
      </c>
      <c r="DP12">
        <v>0</v>
      </c>
      <c r="DQ12">
        <v>0</v>
      </c>
      <c r="DR12">
        <v>0</v>
      </c>
      <c r="DS12">
        <v>1</v>
      </c>
      <c r="DT12">
        <v>0</v>
      </c>
      <c r="DU12">
        <v>0</v>
      </c>
      <c r="DV12">
        <v>0</v>
      </c>
      <c r="DW12">
        <v>0</v>
      </c>
      <c r="DX12">
        <v>1</v>
      </c>
      <c r="DY12">
        <v>0</v>
      </c>
      <c r="DZ12">
        <v>0</v>
      </c>
      <c r="EA12">
        <v>1</v>
      </c>
      <c r="EB12">
        <v>0</v>
      </c>
      <c r="EC12">
        <v>0</v>
      </c>
      <c r="ED12">
        <v>0</v>
      </c>
      <c r="EE12">
        <v>0</v>
      </c>
      <c r="EF12">
        <v>0</v>
      </c>
      <c r="EG12">
        <v>0</v>
      </c>
      <c r="EH12">
        <v>1</v>
      </c>
      <c r="EI12">
        <v>0</v>
      </c>
      <c r="EJ12">
        <v>0</v>
      </c>
      <c r="EK12">
        <v>0</v>
      </c>
      <c r="EL12">
        <v>0</v>
      </c>
      <c r="EM12">
        <v>1</v>
      </c>
      <c r="EN12">
        <v>0</v>
      </c>
      <c r="EO12">
        <v>0</v>
      </c>
      <c r="EP12">
        <v>0</v>
      </c>
      <c r="EQ12">
        <v>0</v>
      </c>
      <c r="ER12">
        <v>1</v>
      </c>
      <c r="ES12">
        <v>0</v>
      </c>
      <c r="ET12">
        <v>0</v>
      </c>
      <c r="EU12">
        <v>0</v>
      </c>
      <c r="EV12">
        <v>0</v>
      </c>
      <c r="EW12">
        <v>1</v>
      </c>
      <c r="EX12">
        <v>0</v>
      </c>
      <c r="EY12">
        <v>0</v>
      </c>
      <c r="EZ12">
        <v>0</v>
      </c>
      <c r="FA12">
        <v>0</v>
      </c>
      <c r="FB12">
        <v>1</v>
      </c>
      <c r="FC12">
        <v>0</v>
      </c>
      <c r="FD12">
        <v>0</v>
      </c>
      <c r="FE12">
        <v>0</v>
      </c>
      <c r="FF12">
        <v>0</v>
      </c>
      <c r="FG12">
        <v>1</v>
      </c>
      <c r="FH12">
        <v>0</v>
      </c>
      <c r="FI12">
        <v>0</v>
      </c>
      <c r="FJ12">
        <v>0</v>
      </c>
      <c r="FK12">
        <v>0</v>
      </c>
      <c r="FL12">
        <v>1</v>
      </c>
      <c r="FM12">
        <v>0</v>
      </c>
      <c r="FN12">
        <v>0</v>
      </c>
      <c r="FO12">
        <v>0</v>
      </c>
      <c r="FP12">
        <v>0</v>
      </c>
      <c r="FQ12">
        <v>1</v>
      </c>
      <c r="FR12">
        <v>0</v>
      </c>
      <c r="FS12">
        <v>0</v>
      </c>
      <c r="FT12">
        <v>1</v>
      </c>
      <c r="FU12">
        <v>0</v>
      </c>
      <c r="FV12">
        <v>0</v>
      </c>
      <c r="FW12">
        <v>0</v>
      </c>
      <c r="FX12">
        <v>0</v>
      </c>
      <c r="FY12">
        <v>0</v>
      </c>
      <c r="FZ12">
        <v>0</v>
      </c>
      <c r="GA12">
        <v>0</v>
      </c>
      <c r="GB12">
        <v>1</v>
      </c>
      <c r="GC12">
        <v>0</v>
      </c>
      <c r="GD12">
        <v>1</v>
      </c>
      <c r="GE12">
        <v>0</v>
      </c>
      <c r="GF12">
        <v>0</v>
      </c>
      <c r="GG12">
        <v>0</v>
      </c>
      <c r="GH12">
        <v>0</v>
      </c>
      <c r="GI12">
        <v>2</v>
      </c>
      <c r="GJ12" s="1">
        <v>45488.625</v>
      </c>
      <c r="GK12">
        <v>0</v>
      </c>
      <c r="HF12">
        <v>2</v>
      </c>
      <c r="HG12" s="1">
        <v>45488.625</v>
      </c>
      <c r="HH12">
        <v>6</v>
      </c>
      <c r="HI12">
        <v>2</v>
      </c>
      <c r="HJ12">
        <v>1</v>
      </c>
      <c r="HK12">
        <v>2</v>
      </c>
      <c r="HL12" s="1">
        <v>45496.63958333333</v>
      </c>
      <c r="HM12">
        <v>0</v>
      </c>
      <c r="HN12">
        <v>0</v>
      </c>
      <c r="HO12">
        <v>1</v>
      </c>
      <c r="HP12">
        <v>0</v>
      </c>
      <c r="HQ12">
        <v>2</v>
      </c>
      <c r="HR12">
        <v>0</v>
      </c>
      <c r="HS12">
        <v>0</v>
      </c>
      <c r="HT12">
        <v>1</v>
      </c>
      <c r="HU12">
        <v>0</v>
      </c>
      <c r="HV12">
        <v>0</v>
      </c>
      <c r="HW12">
        <v>1</v>
      </c>
      <c r="HX12">
        <v>0</v>
      </c>
      <c r="HY12">
        <v>1</v>
      </c>
      <c r="HZ12">
        <v>0</v>
      </c>
      <c r="IA12">
        <v>0</v>
      </c>
      <c r="IB12">
        <v>0</v>
      </c>
      <c r="IC12">
        <v>1</v>
      </c>
      <c r="ID12">
        <v>0</v>
      </c>
      <c r="IE12">
        <v>0</v>
      </c>
      <c r="IF12">
        <v>1</v>
      </c>
      <c r="IG12">
        <v>0</v>
      </c>
      <c r="IH12">
        <v>7</v>
      </c>
      <c r="II12">
        <v>2</v>
      </c>
      <c r="IJ12" s="1">
        <v>45496.640277777777</v>
      </c>
      <c r="IK12">
        <v>0</v>
      </c>
      <c r="IL12">
        <v>0</v>
      </c>
      <c r="IM12">
        <v>0</v>
      </c>
      <c r="IN12">
        <v>0</v>
      </c>
      <c r="IO12">
        <v>0</v>
      </c>
      <c r="IP12">
        <v>0</v>
      </c>
      <c r="IQ12">
        <v>0</v>
      </c>
      <c r="IR12">
        <v>0</v>
      </c>
      <c r="IS12">
        <v>0</v>
      </c>
      <c r="IT12">
        <v>0</v>
      </c>
      <c r="IU12">
        <v>0</v>
      </c>
      <c r="IV12">
        <v>0</v>
      </c>
      <c r="IW12">
        <v>0</v>
      </c>
      <c r="IX12">
        <v>0</v>
      </c>
      <c r="IY12">
        <v>0</v>
      </c>
      <c r="IZ12">
        <v>0</v>
      </c>
      <c r="JA12">
        <v>0</v>
      </c>
      <c r="JB12">
        <v>0</v>
      </c>
      <c r="JC12">
        <v>0</v>
      </c>
      <c r="JD12">
        <v>1</v>
      </c>
      <c r="JN12">
        <v>0</v>
      </c>
      <c r="JQ12">
        <v>2</v>
      </c>
      <c r="JR12" s="1">
        <v>45496.640972222223</v>
      </c>
      <c r="JS12">
        <v>0</v>
      </c>
      <c r="JT12">
        <v>0</v>
      </c>
      <c r="JU12">
        <v>0</v>
      </c>
      <c r="JV12">
        <v>0</v>
      </c>
      <c r="JW12">
        <v>2</v>
      </c>
      <c r="JX12" s="1">
        <v>45496.640972222223</v>
      </c>
      <c r="JY12">
        <v>48.5</v>
      </c>
      <c r="JZ12">
        <v>2.2000000000000002</v>
      </c>
      <c r="KI12">
        <v>2</v>
      </c>
      <c r="KJ12">
        <v>47.9</v>
      </c>
      <c r="KK12">
        <v>4</v>
      </c>
      <c r="KL12">
        <v>1</v>
      </c>
      <c r="UA12">
        <v>2</v>
      </c>
      <c r="UB12">
        <v>49.2</v>
      </c>
      <c r="UC12">
        <v>2.5</v>
      </c>
      <c r="UD12">
        <v>3</v>
      </c>
      <c r="WQ12">
        <v>2</v>
      </c>
      <c r="WR12">
        <v>48.5</v>
      </c>
      <c r="WS12">
        <v>2.2000000000000002</v>
      </c>
      <c r="WT12">
        <v>4</v>
      </c>
      <c r="XG12">
        <v>2</v>
      </c>
      <c r="XH12">
        <v>49.2</v>
      </c>
      <c r="XI12">
        <v>3</v>
      </c>
      <c r="XJ12">
        <v>2</v>
      </c>
      <c r="YQ12">
        <v>2</v>
      </c>
      <c r="YR12" s="1">
        <v>45496.642361111109</v>
      </c>
      <c r="YS12">
        <v>5</v>
      </c>
      <c r="YT12">
        <v>2</v>
      </c>
      <c r="YU12">
        <v>4</v>
      </c>
      <c r="YV12">
        <v>1</v>
      </c>
      <c r="YW12">
        <v>2</v>
      </c>
      <c r="YX12">
        <v>1</v>
      </c>
      <c r="YY12">
        <v>1</v>
      </c>
      <c r="YZ12">
        <v>1</v>
      </c>
      <c r="ZA12">
        <v>4</v>
      </c>
      <c r="ZB12">
        <v>4</v>
      </c>
      <c r="ZC12">
        <v>1</v>
      </c>
      <c r="ZD12">
        <v>3</v>
      </c>
      <c r="ZE12">
        <v>1</v>
      </c>
      <c r="ZF12">
        <v>3</v>
      </c>
      <c r="ZG12">
        <v>2</v>
      </c>
      <c r="ZH12">
        <v>5</v>
      </c>
      <c r="ZI12">
        <v>4</v>
      </c>
      <c r="ZJ12">
        <v>1</v>
      </c>
      <c r="ZK12">
        <v>4</v>
      </c>
      <c r="ZL12">
        <v>1</v>
      </c>
      <c r="ZM12">
        <v>38</v>
      </c>
      <c r="ZN12">
        <v>12</v>
      </c>
      <c r="ZO12">
        <v>2</v>
      </c>
      <c r="ZP12" s="1">
        <v>45496.643055555556</v>
      </c>
      <c r="ZQ12">
        <v>0</v>
      </c>
      <c r="ZR12">
        <v>0</v>
      </c>
      <c r="ZS12">
        <v>0</v>
      </c>
      <c r="ZT12">
        <v>0</v>
      </c>
      <c r="ZU12">
        <v>0</v>
      </c>
      <c r="ZV12">
        <v>0</v>
      </c>
      <c r="ZW12">
        <v>0</v>
      </c>
      <c r="ZX12">
        <v>0</v>
      </c>
      <c r="ZY12">
        <v>0</v>
      </c>
      <c r="ZZ12">
        <v>0</v>
      </c>
      <c r="AAA12">
        <v>0</v>
      </c>
      <c r="AAB12">
        <v>0</v>
      </c>
      <c r="AAC12">
        <v>0</v>
      </c>
      <c r="AAD12">
        <v>0</v>
      </c>
      <c r="AAE12">
        <v>0</v>
      </c>
      <c r="AAF12">
        <v>0</v>
      </c>
      <c r="AAG12">
        <v>0</v>
      </c>
      <c r="AAH12">
        <v>0</v>
      </c>
      <c r="AAI12">
        <v>0</v>
      </c>
      <c r="AAJ12">
        <v>0</v>
      </c>
      <c r="AAK12">
        <v>0</v>
      </c>
      <c r="AAL12">
        <v>0</v>
      </c>
      <c r="AAM12">
        <v>2</v>
      </c>
      <c r="AAN12" s="1">
        <v>45496.643055555556</v>
      </c>
      <c r="AAO12">
        <v>0</v>
      </c>
      <c r="ABF12">
        <v>2</v>
      </c>
      <c r="ABG12" s="1">
        <v>45496.643055555556</v>
      </c>
      <c r="ABH12">
        <v>0</v>
      </c>
      <c r="ABI12">
        <v>0</v>
      </c>
      <c r="ABJ12">
        <v>0</v>
      </c>
      <c r="ABK12">
        <v>0</v>
      </c>
      <c r="ABL12">
        <v>0</v>
      </c>
      <c r="ABM12">
        <v>0</v>
      </c>
      <c r="ABN12">
        <v>0</v>
      </c>
      <c r="ABO12">
        <v>0</v>
      </c>
      <c r="ABP12">
        <v>0</v>
      </c>
      <c r="ABQ12">
        <v>0</v>
      </c>
      <c r="ABR12">
        <v>0</v>
      </c>
      <c r="ABS12">
        <v>0</v>
      </c>
      <c r="ABT12">
        <v>0</v>
      </c>
      <c r="ABU12">
        <v>0</v>
      </c>
      <c r="ABV12">
        <v>0</v>
      </c>
      <c r="ABW12">
        <v>0</v>
      </c>
      <c r="ABX12">
        <v>0</v>
      </c>
      <c r="ABY12">
        <v>0</v>
      </c>
      <c r="ABZ12">
        <v>0</v>
      </c>
      <c r="ACA12">
        <v>0</v>
      </c>
      <c r="ACB12">
        <v>0</v>
      </c>
      <c r="ACC12">
        <v>0</v>
      </c>
      <c r="ACD12">
        <v>0</v>
      </c>
      <c r="ACE12">
        <v>0</v>
      </c>
      <c r="ACF12">
        <v>0</v>
      </c>
      <c r="ACG12">
        <v>0</v>
      </c>
      <c r="ACH12">
        <v>0</v>
      </c>
      <c r="ACI12">
        <v>0</v>
      </c>
      <c r="ACJ12">
        <v>0</v>
      </c>
      <c r="ACK12">
        <v>0</v>
      </c>
      <c r="ACL12">
        <v>0</v>
      </c>
      <c r="ACM12">
        <v>0</v>
      </c>
      <c r="ACN12">
        <v>0</v>
      </c>
      <c r="ACO12">
        <v>0</v>
      </c>
      <c r="ACP12">
        <v>0</v>
      </c>
      <c r="ACQ12">
        <v>0</v>
      </c>
      <c r="ACR12">
        <v>0</v>
      </c>
      <c r="ACS12">
        <v>0</v>
      </c>
      <c r="ACT12">
        <v>0</v>
      </c>
      <c r="ACU12">
        <v>0</v>
      </c>
      <c r="ACV12">
        <v>0</v>
      </c>
      <c r="ACW12">
        <v>0</v>
      </c>
      <c r="ACX12">
        <v>0</v>
      </c>
      <c r="ACY12">
        <v>0</v>
      </c>
      <c r="ACZ12">
        <v>0</v>
      </c>
      <c r="ADA12">
        <v>0</v>
      </c>
      <c r="ADB12">
        <v>0</v>
      </c>
      <c r="ADC12">
        <v>0</v>
      </c>
      <c r="ADD12">
        <v>0</v>
      </c>
      <c r="ADE12">
        <v>0</v>
      </c>
      <c r="ADF12">
        <v>0</v>
      </c>
      <c r="ADG12">
        <v>0</v>
      </c>
      <c r="ADH12">
        <v>0</v>
      </c>
      <c r="ADI12">
        <v>0</v>
      </c>
      <c r="ADJ12">
        <v>0</v>
      </c>
      <c r="ADK12">
        <v>0</v>
      </c>
      <c r="ADL12">
        <v>0</v>
      </c>
      <c r="ADM12">
        <v>0</v>
      </c>
      <c r="ADN12">
        <v>0</v>
      </c>
      <c r="ADO12">
        <v>0</v>
      </c>
      <c r="ADP12">
        <v>0</v>
      </c>
      <c r="ADQ12">
        <v>0</v>
      </c>
      <c r="ADR12">
        <v>0</v>
      </c>
      <c r="ADS12">
        <v>0</v>
      </c>
      <c r="ADT12">
        <v>0</v>
      </c>
      <c r="ADU12">
        <v>0</v>
      </c>
      <c r="ADV12">
        <v>0</v>
      </c>
      <c r="ADW12">
        <v>0</v>
      </c>
      <c r="ADX12">
        <v>0</v>
      </c>
      <c r="ADY12">
        <v>0</v>
      </c>
      <c r="ADZ12">
        <v>0</v>
      </c>
      <c r="AEA12">
        <v>0</v>
      </c>
      <c r="AEB12">
        <v>0</v>
      </c>
      <c r="AEC12">
        <v>0</v>
      </c>
      <c r="AEE12">
        <v>2</v>
      </c>
      <c r="AEF12" s="1">
        <v>45496.643750000003</v>
      </c>
      <c r="AEG12">
        <v>1</v>
      </c>
      <c r="AEH12">
        <v>0</v>
      </c>
      <c r="AEI12">
        <v>1</v>
      </c>
      <c r="AEJ12">
        <v>3</v>
      </c>
      <c r="AEK12">
        <v>1</v>
      </c>
      <c r="AEL12">
        <v>0</v>
      </c>
      <c r="AEM12">
        <v>0</v>
      </c>
      <c r="AEN12">
        <v>3</v>
      </c>
      <c r="AEO12">
        <v>0</v>
      </c>
      <c r="AEP12">
        <v>3</v>
      </c>
      <c r="AEQ12">
        <v>0</v>
      </c>
      <c r="AER12">
        <v>0</v>
      </c>
      <c r="AES12">
        <v>0</v>
      </c>
      <c r="AET12">
        <v>0</v>
      </c>
      <c r="AEU12">
        <v>0</v>
      </c>
      <c r="AEV12">
        <v>0</v>
      </c>
      <c r="AEW12">
        <v>0</v>
      </c>
      <c r="AEX12">
        <v>0</v>
      </c>
      <c r="AEY12">
        <v>1</v>
      </c>
      <c r="AEZ12">
        <v>0</v>
      </c>
      <c r="AFA12">
        <v>0</v>
      </c>
      <c r="AFB12">
        <v>1</v>
      </c>
      <c r="AFC12">
        <v>0</v>
      </c>
      <c r="AFD12">
        <v>0</v>
      </c>
      <c r="AFE12">
        <v>0</v>
      </c>
      <c r="AFF12">
        <v>3</v>
      </c>
      <c r="AFG12">
        <v>3</v>
      </c>
      <c r="AFH12">
        <v>0</v>
      </c>
      <c r="AFI12">
        <v>1</v>
      </c>
      <c r="AFJ12">
        <v>0</v>
      </c>
      <c r="AFK12">
        <v>1</v>
      </c>
      <c r="AFL12">
        <v>0</v>
      </c>
      <c r="AFM12">
        <v>0</v>
      </c>
      <c r="AFN12">
        <v>3</v>
      </c>
      <c r="AFO12">
        <v>5</v>
      </c>
      <c r="AFP12">
        <v>12</v>
      </c>
      <c r="AFQ12">
        <v>-3</v>
      </c>
      <c r="AFR12">
        <v>2</v>
      </c>
      <c r="AFS12" s="1">
        <v>45496.645138888889</v>
      </c>
      <c r="AFT12">
        <v>3</v>
      </c>
      <c r="AFU12">
        <v>3</v>
      </c>
      <c r="AFV12">
        <v>2</v>
      </c>
      <c r="AFW12">
        <v>1</v>
      </c>
      <c r="AFX12">
        <v>4</v>
      </c>
      <c r="AFY12">
        <v>1</v>
      </c>
      <c r="AFZ12">
        <v>1</v>
      </c>
      <c r="AGA12">
        <v>3</v>
      </c>
      <c r="AGB12">
        <v>1</v>
      </c>
      <c r="AGC12">
        <v>3</v>
      </c>
      <c r="AGD12">
        <v>4</v>
      </c>
      <c r="AGE12">
        <v>1</v>
      </c>
      <c r="AGF12">
        <v>1</v>
      </c>
      <c r="AGG12">
        <v>1</v>
      </c>
      <c r="AGH12">
        <v>3</v>
      </c>
      <c r="AGI12">
        <v>3</v>
      </c>
      <c r="AGJ12">
        <v>1</v>
      </c>
      <c r="AGK12">
        <v>1</v>
      </c>
      <c r="AGL12">
        <v>3</v>
      </c>
      <c r="AGM12">
        <v>4</v>
      </c>
      <c r="AGN12">
        <v>28</v>
      </c>
      <c r="AGO12">
        <v>2</v>
      </c>
      <c r="AGP12" s="1">
        <v>45496.645138888889</v>
      </c>
      <c r="AGQ12">
        <v>0</v>
      </c>
      <c r="AGV12">
        <v>0</v>
      </c>
      <c r="AGW12">
        <v>0</v>
      </c>
      <c r="AGX12">
        <v>0</v>
      </c>
      <c r="AGY12">
        <v>0</v>
      </c>
      <c r="AGZ12">
        <v>0</v>
      </c>
      <c r="AHB12">
        <v>2</v>
      </c>
      <c r="AHC12" s="1">
        <v>45496.645833333336</v>
      </c>
      <c r="AHD12" t="s">
        <v>210</v>
      </c>
      <c r="AHE12" t="s">
        <v>212</v>
      </c>
      <c r="AHN12">
        <v>7</v>
      </c>
      <c r="AHO12" t="s">
        <v>279</v>
      </c>
      <c r="AHP12" t="s">
        <v>219</v>
      </c>
      <c r="AHQ12" t="s">
        <v>187</v>
      </c>
      <c r="AHR12" t="s">
        <v>280</v>
      </c>
      <c r="AHS12" t="s">
        <v>210</v>
      </c>
      <c r="AHU12" t="s">
        <v>211</v>
      </c>
    </row>
    <row r="13" spans="1:905">
      <c r="A13">
        <v>143</v>
      </c>
      <c r="B13" t="s">
        <v>205</v>
      </c>
      <c r="C13" t="s">
        <v>281</v>
      </c>
      <c r="D13">
        <v>2</v>
      </c>
      <c r="E13">
        <v>2</v>
      </c>
      <c r="F13">
        <v>41</v>
      </c>
      <c r="G13">
        <v>68</v>
      </c>
      <c r="H13">
        <v>186</v>
      </c>
      <c r="I13">
        <v>0</v>
      </c>
      <c r="J13">
        <v>3</v>
      </c>
      <c r="L13" t="s">
        <v>282</v>
      </c>
      <c r="M13">
        <v>2</v>
      </c>
      <c r="N13" s="1">
        <v>45501.487500000003</v>
      </c>
      <c r="O13">
        <v>7</v>
      </c>
      <c r="P13">
        <v>0</v>
      </c>
      <c r="R13">
        <v>0</v>
      </c>
      <c r="S13">
        <v>1</v>
      </c>
      <c r="T13">
        <v>0</v>
      </c>
      <c r="U13">
        <v>0</v>
      </c>
      <c r="V13">
        <v>0</v>
      </c>
      <c r="W13">
        <v>0</v>
      </c>
      <c r="X13">
        <v>0</v>
      </c>
      <c r="Y13">
        <v>0</v>
      </c>
      <c r="Z13">
        <v>0</v>
      </c>
      <c r="AA13">
        <v>0</v>
      </c>
      <c r="AB13">
        <v>0</v>
      </c>
      <c r="AC13" t="s">
        <v>208</v>
      </c>
      <c r="AD13">
        <v>2</v>
      </c>
      <c r="AE13" s="1">
        <v>45501.488888888889</v>
      </c>
      <c r="AF13">
        <v>3</v>
      </c>
      <c r="AG13">
        <v>2</v>
      </c>
      <c r="AH13">
        <v>3</v>
      </c>
      <c r="AI13">
        <v>1</v>
      </c>
      <c r="AJ13">
        <v>1</v>
      </c>
      <c r="AK13">
        <v>1</v>
      </c>
      <c r="AL13">
        <v>3</v>
      </c>
      <c r="AM13">
        <v>2</v>
      </c>
      <c r="AN13">
        <v>1</v>
      </c>
      <c r="AO13">
        <v>4</v>
      </c>
      <c r="AP13">
        <v>1</v>
      </c>
      <c r="AQ13">
        <v>2</v>
      </c>
      <c r="AR13">
        <v>4</v>
      </c>
      <c r="AS13">
        <v>2</v>
      </c>
      <c r="AT13">
        <v>2</v>
      </c>
      <c r="AU13">
        <v>4</v>
      </c>
      <c r="AV13">
        <v>2</v>
      </c>
      <c r="AW13">
        <v>1</v>
      </c>
      <c r="AX13">
        <v>3</v>
      </c>
      <c r="AY13">
        <v>2</v>
      </c>
      <c r="AZ13">
        <v>35</v>
      </c>
      <c r="BA13">
        <v>2</v>
      </c>
      <c r="BB13" s="1">
        <v>45501.490277777775</v>
      </c>
      <c r="BC13">
        <v>15</v>
      </c>
      <c r="BD13">
        <v>3</v>
      </c>
      <c r="BE13">
        <v>1</v>
      </c>
      <c r="BI13" s="2">
        <v>45501</v>
      </c>
      <c r="BM13">
        <v>28</v>
      </c>
      <c r="BN13">
        <v>5</v>
      </c>
      <c r="BO13">
        <v>2</v>
      </c>
      <c r="BP13">
        <v>0</v>
      </c>
      <c r="BQ13">
        <v>0</v>
      </c>
      <c r="BR13">
        <v>0</v>
      </c>
      <c r="BS13">
        <v>0</v>
      </c>
      <c r="BT13">
        <v>0</v>
      </c>
      <c r="BU13">
        <v>0</v>
      </c>
      <c r="BV13">
        <v>0</v>
      </c>
      <c r="BW13">
        <v>1</v>
      </c>
      <c r="BX13" t="s">
        <v>283</v>
      </c>
      <c r="BY13">
        <v>2</v>
      </c>
      <c r="BZ13" s="1">
        <v>45501.491666666669</v>
      </c>
      <c r="CA13">
        <v>3</v>
      </c>
      <c r="CB13">
        <v>3</v>
      </c>
      <c r="CC13">
        <v>3</v>
      </c>
      <c r="CD13">
        <v>3</v>
      </c>
      <c r="CE13">
        <v>4</v>
      </c>
      <c r="CF13">
        <v>3</v>
      </c>
      <c r="CG13">
        <v>2</v>
      </c>
      <c r="CH13">
        <v>3</v>
      </c>
      <c r="CI13">
        <v>3</v>
      </c>
      <c r="CJ13">
        <v>3</v>
      </c>
      <c r="CK13">
        <v>3</v>
      </c>
      <c r="CL13">
        <v>3</v>
      </c>
      <c r="CM13">
        <v>2</v>
      </c>
      <c r="CN13">
        <v>3</v>
      </c>
      <c r="CO13">
        <v>3</v>
      </c>
      <c r="CP13">
        <v>2</v>
      </c>
      <c r="CQ13">
        <v>2</v>
      </c>
      <c r="CR13">
        <v>2</v>
      </c>
      <c r="CS13">
        <v>2</v>
      </c>
      <c r="CT13">
        <v>2</v>
      </c>
      <c r="CU13">
        <v>11</v>
      </c>
      <c r="CV13">
        <v>12</v>
      </c>
      <c r="CW13">
        <v>13</v>
      </c>
      <c r="CX13">
        <v>36</v>
      </c>
      <c r="CY13">
        <v>20</v>
      </c>
      <c r="CZ13">
        <v>2</v>
      </c>
      <c r="DA13" s="1">
        <v>45501.496527777781</v>
      </c>
      <c r="DB13">
        <v>1</v>
      </c>
      <c r="DC13">
        <v>1</v>
      </c>
      <c r="DD13">
        <v>1</v>
      </c>
      <c r="DE13">
        <v>0</v>
      </c>
      <c r="DF13">
        <v>0</v>
      </c>
      <c r="DG13">
        <v>1</v>
      </c>
      <c r="DH13">
        <v>1</v>
      </c>
      <c r="DI13">
        <v>1</v>
      </c>
      <c r="DJ13">
        <v>0</v>
      </c>
      <c r="DK13">
        <v>0</v>
      </c>
      <c r="DL13">
        <v>1</v>
      </c>
      <c r="DM13">
        <v>1</v>
      </c>
      <c r="DN13">
        <v>1</v>
      </c>
      <c r="DO13">
        <v>0</v>
      </c>
      <c r="DP13">
        <v>0</v>
      </c>
      <c r="DQ13">
        <v>1</v>
      </c>
      <c r="DR13">
        <v>1</v>
      </c>
      <c r="DS13">
        <v>1</v>
      </c>
      <c r="DT13">
        <v>0</v>
      </c>
      <c r="DU13">
        <v>0</v>
      </c>
      <c r="DV13">
        <v>0</v>
      </c>
      <c r="DW13">
        <v>0</v>
      </c>
      <c r="DX13">
        <v>0</v>
      </c>
      <c r="DY13">
        <v>1</v>
      </c>
      <c r="DZ13">
        <v>0</v>
      </c>
      <c r="EA13">
        <v>1</v>
      </c>
      <c r="EB13">
        <v>1</v>
      </c>
      <c r="EC13">
        <v>1</v>
      </c>
      <c r="ED13">
        <v>0</v>
      </c>
      <c r="EE13">
        <v>0</v>
      </c>
      <c r="EF13">
        <v>1</v>
      </c>
      <c r="EG13">
        <v>1</v>
      </c>
      <c r="EH13">
        <v>1</v>
      </c>
      <c r="EI13">
        <v>0</v>
      </c>
      <c r="EJ13">
        <v>0</v>
      </c>
      <c r="EK13">
        <v>1</v>
      </c>
      <c r="EL13">
        <v>0</v>
      </c>
      <c r="EM13">
        <v>0</v>
      </c>
      <c r="EN13">
        <v>0</v>
      </c>
      <c r="EO13">
        <v>0</v>
      </c>
      <c r="EP13">
        <v>1</v>
      </c>
      <c r="EQ13">
        <v>0</v>
      </c>
      <c r="ER13">
        <v>0</v>
      </c>
      <c r="ES13">
        <v>0</v>
      </c>
      <c r="ET13">
        <v>0</v>
      </c>
      <c r="EU13">
        <v>0</v>
      </c>
      <c r="EV13">
        <v>0</v>
      </c>
      <c r="EW13">
        <v>0</v>
      </c>
      <c r="EX13">
        <v>0</v>
      </c>
      <c r="EY13">
        <v>1</v>
      </c>
      <c r="EZ13">
        <v>0</v>
      </c>
      <c r="FA13">
        <v>0</v>
      </c>
      <c r="FB13">
        <v>0</v>
      </c>
      <c r="FC13">
        <v>0</v>
      </c>
      <c r="FD13">
        <v>1</v>
      </c>
      <c r="FE13">
        <v>1</v>
      </c>
      <c r="FF13">
        <v>1</v>
      </c>
      <c r="FG13">
        <v>1</v>
      </c>
      <c r="FH13">
        <v>0</v>
      </c>
      <c r="FI13">
        <v>0</v>
      </c>
      <c r="FJ13">
        <v>0</v>
      </c>
      <c r="FK13">
        <v>1</v>
      </c>
      <c r="FL13">
        <v>0</v>
      </c>
      <c r="FM13">
        <v>0</v>
      </c>
      <c r="FN13">
        <v>0</v>
      </c>
      <c r="FO13">
        <v>0</v>
      </c>
      <c r="FP13">
        <v>0</v>
      </c>
      <c r="FQ13">
        <v>0</v>
      </c>
      <c r="FR13">
        <v>0</v>
      </c>
      <c r="FS13">
        <v>1</v>
      </c>
      <c r="FT13">
        <v>1</v>
      </c>
      <c r="FU13">
        <v>0</v>
      </c>
      <c r="FV13">
        <v>1</v>
      </c>
      <c r="FW13">
        <v>0</v>
      </c>
      <c r="FX13">
        <v>0</v>
      </c>
      <c r="FY13">
        <v>0</v>
      </c>
      <c r="FZ13">
        <v>0</v>
      </c>
      <c r="GA13">
        <v>0</v>
      </c>
      <c r="GB13">
        <v>0</v>
      </c>
      <c r="GC13">
        <v>1</v>
      </c>
      <c r="GD13">
        <v>1</v>
      </c>
      <c r="GE13">
        <v>1</v>
      </c>
      <c r="GF13">
        <v>1</v>
      </c>
      <c r="GG13">
        <v>0</v>
      </c>
      <c r="GH13">
        <v>0</v>
      </c>
      <c r="GI13">
        <v>2</v>
      </c>
      <c r="GJ13" s="1">
        <v>45501.498611111114</v>
      </c>
      <c r="GK13">
        <v>1</v>
      </c>
      <c r="GL13">
        <v>3</v>
      </c>
      <c r="GM13">
        <v>2</v>
      </c>
      <c r="GN13">
        <v>2</v>
      </c>
      <c r="GO13">
        <v>3</v>
      </c>
      <c r="GP13">
        <v>3</v>
      </c>
      <c r="GQ13">
        <v>3</v>
      </c>
      <c r="GR13">
        <v>2</v>
      </c>
      <c r="GS13">
        <v>3</v>
      </c>
      <c r="GT13">
        <v>3</v>
      </c>
      <c r="GU13">
        <v>2</v>
      </c>
      <c r="GV13">
        <v>2</v>
      </c>
      <c r="GW13">
        <v>3</v>
      </c>
      <c r="GX13">
        <v>3</v>
      </c>
      <c r="GY13">
        <v>2</v>
      </c>
      <c r="GZ13">
        <v>2</v>
      </c>
      <c r="HA13">
        <v>3</v>
      </c>
      <c r="HB13">
        <v>2</v>
      </c>
      <c r="HC13">
        <v>16</v>
      </c>
      <c r="HD13">
        <v>12</v>
      </c>
      <c r="HE13">
        <v>39</v>
      </c>
      <c r="HF13">
        <v>2</v>
      </c>
      <c r="HG13" s="1">
        <v>45501.499305555553</v>
      </c>
      <c r="HH13">
        <v>8</v>
      </c>
      <c r="HI13">
        <v>11</v>
      </c>
      <c r="HJ13">
        <v>6</v>
      </c>
      <c r="HK13">
        <v>2</v>
      </c>
      <c r="HL13" s="1">
        <v>45507.402083333334</v>
      </c>
      <c r="HM13">
        <v>0</v>
      </c>
      <c r="HN13">
        <v>0</v>
      </c>
      <c r="HO13">
        <v>0</v>
      </c>
      <c r="HP13">
        <v>0</v>
      </c>
      <c r="HQ13">
        <v>0</v>
      </c>
      <c r="HR13">
        <v>0</v>
      </c>
      <c r="HS13">
        <v>0</v>
      </c>
      <c r="HT13">
        <v>0</v>
      </c>
      <c r="HU13">
        <v>0</v>
      </c>
      <c r="HV13">
        <v>0</v>
      </c>
      <c r="HW13">
        <v>1</v>
      </c>
      <c r="HX13">
        <v>0</v>
      </c>
      <c r="HY13">
        <v>0</v>
      </c>
      <c r="HZ13">
        <v>0</v>
      </c>
      <c r="IA13">
        <v>1</v>
      </c>
      <c r="IB13">
        <v>1</v>
      </c>
      <c r="IC13">
        <v>1</v>
      </c>
      <c r="ID13">
        <v>0</v>
      </c>
      <c r="IE13">
        <v>1</v>
      </c>
      <c r="IF13">
        <v>1</v>
      </c>
      <c r="IG13">
        <v>1</v>
      </c>
      <c r="IH13">
        <v>7</v>
      </c>
      <c r="II13">
        <v>2</v>
      </c>
      <c r="IJ13" s="1">
        <v>45507.40347222222</v>
      </c>
      <c r="IK13">
        <v>0</v>
      </c>
      <c r="IL13">
        <v>0</v>
      </c>
      <c r="IM13">
        <v>1</v>
      </c>
      <c r="IN13">
        <v>1</v>
      </c>
      <c r="IO13">
        <v>1</v>
      </c>
      <c r="IP13">
        <v>1</v>
      </c>
      <c r="IQ13">
        <v>1</v>
      </c>
      <c r="IR13">
        <v>1</v>
      </c>
      <c r="IS13">
        <v>1</v>
      </c>
      <c r="IT13">
        <v>1</v>
      </c>
      <c r="IU13">
        <v>0</v>
      </c>
      <c r="IV13">
        <v>0</v>
      </c>
      <c r="IW13">
        <v>0</v>
      </c>
      <c r="IX13">
        <v>0</v>
      </c>
      <c r="IY13">
        <v>1</v>
      </c>
      <c r="IZ13">
        <v>0</v>
      </c>
      <c r="JA13">
        <v>1</v>
      </c>
      <c r="JB13">
        <v>0</v>
      </c>
      <c r="JC13">
        <v>1</v>
      </c>
      <c r="JD13">
        <v>0</v>
      </c>
      <c r="JE13">
        <v>2</v>
      </c>
      <c r="JF13">
        <v>2</v>
      </c>
      <c r="JG13">
        <v>1</v>
      </c>
      <c r="JH13">
        <v>2</v>
      </c>
      <c r="JI13">
        <v>0</v>
      </c>
      <c r="JJ13">
        <v>0</v>
      </c>
      <c r="JK13">
        <v>1</v>
      </c>
      <c r="JL13" t="s">
        <v>284</v>
      </c>
      <c r="JM13" t="s">
        <v>285</v>
      </c>
      <c r="JN13">
        <v>11</v>
      </c>
      <c r="JO13">
        <v>8</v>
      </c>
      <c r="JP13">
        <v>1</v>
      </c>
      <c r="JQ13">
        <v>2</v>
      </c>
      <c r="JR13" s="1">
        <v>45507.40347222222</v>
      </c>
      <c r="JS13">
        <v>0</v>
      </c>
      <c r="JT13">
        <v>0</v>
      </c>
      <c r="JU13">
        <v>0</v>
      </c>
      <c r="JV13">
        <v>0</v>
      </c>
      <c r="JW13">
        <v>2</v>
      </c>
      <c r="JX13" s="1">
        <v>45507.406944444447</v>
      </c>
      <c r="JY13">
        <v>56</v>
      </c>
      <c r="JZ13">
        <v>2.6</v>
      </c>
      <c r="KI13">
        <v>1</v>
      </c>
      <c r="KJ13">
        <v>38.700000000000003</v>
      </c>
      <c r="KK13">
        <v>5.9</v>
      </c>
      <c r="KL13">
        <v>1</v>
      </c>
      <c r="UA13">
        <v>3</v>
      </c>
      <c r="UB13">
        <v>56</v>
      </c>
      <c r="UC13">
        <v>2.6</v>
      </c>
      <c r="UD13">
        <v>4</v>
      </c>
      <c r="WQ13">
        <v>4</v>
      </c>
      <c r="WR13">
        <v>49.9</v>
      </c>
      <c r="WS13">
        <v>5.2</v>
      </c>
      <c r="WT13">
        <v>2</v>
      </c>
      <c r="XG13">
        <v>3</v>
      </c>
      <c r="XH13">
        <v>55</v>
      </c>
      <c r="XI13">
        <v>3.5</v>
      </c>
      <c r="XJ13">
        <v>3</v>
      </c>
      <c r="YQ13">
        <v>2</v>
      </c>
      <c r="YR13" s="1">
        <v>45507.408333333333</v>
      </c>
      <c r="YS13">
        <v>4</v>
      </c>
      <c r="YT13">
        <v>2</v>
      </c>
      <c r="YU13">
        <v>4</v>
      </c>
      <c r="YV13">
        <v>2</v>
      </c>
      <c r="YW13">
        <v>2</v>
      </c>
      <c r="YX13">
        <v>1</v>
      </c>
      <c r="YY13">
        <v>1</v>
      </c>
      <c r="YZ13">
        <v>1</v>
      </c>
      <c r="ZA13">
        <v>4</v>
      </c>
      <c r="ZB13">
        <v>4</v>
      </c>
      <c r="ZC13">
        <v>3</v>
      </c>
      <c r="ZD13">
        <v>3</v>
      </c>
      <c r="ZE13">
        <v>1</v>
      </c>
      <c r="ZF13">
        <v>4</v>
      </c>
      <c r="ZG13">
        <v>1</v>
      </c>
      <c r="ZH13">
        <v>4</v>
      </c>
      <c r="ZI13">
        <v>3</v>
      </c>
      <c r="ZJ13">
        <v>1</v>
      </c>
      <c r="ZK13">
        <v>4</v>
      </c>
      <c r="ZL13">
        <v>1</v>
      </c>
      <c r="ZM13">
        <v>36</v>
      </c>
      <c r="ZN13">
        <v>14</v>
      </c>
      <c r="ZO13">
        <v>2</v>
      </c>
      <c r="ZP13" s="1">
        <v>45507.40902777778</v>
      </c>
      <c r="ZQ13">
        <v>2</v>
      </c>
      <c r="ZR13">
        <v>0</v>
      </c>
      <c r="ZS13">
        <v>0</v>
      </c>
      <c r="ZT13">
        <v>2</v>
      </c>
      <c r="ZU13">
        <v>0</v>
      </c>
      <c r="ZV13">
        <v>1</v>
      </c>
      <c r="ZW13">
        <v>1</v>
      </c>
      <c r="ZX13">
        <v>0</v>
      </c>
      <c r="ZY13">
        <v>1</v>
      </c>
      <c r="ZZ13">
        <v>2</v>
      </c>
      <c r="AAA13">
        <v>0</v>
      </c>
      <c r="AAB13">
        <v>0</v>
      </c>
      <c r="AAC13">
        <v>0</v>
      </c>
      <c r="AAD13">
        <v>0</v>
      </c>
      <c r="AAE13">
        <v>1</v>
      </c>
      <c r="AAF13">
        <v>0</v>
      </c>
      <c r="AAG13">
        <v>0</v>
      </c>
      <c r="AAH13">
        <v>0</v>
      </c>
      <c r="AAI13">
        <v>7</v>
      </c>
      <c r="AAJ13">
        <v>0</v>
      </c>
      <c r="AAK13">
        <v>3</v>
      </c>
      <c r="AAL13">
        <v>10</v>
      </c>
      <c r="AAM13">
        <v>2</v>
      </c>
      <c r="AAN13" s="1">
        <v>45507.409722222219</v>
      </c>
      <c r="AAO13">
        <v>1</v>
      </c>
      <c r="AAP13">
        <v>7</v>
      </c>
      <c r="AAQ13">
        <v>7</v>
      </c>
      <c r="AAR13">
        <v>5</v>
      </c>
      <c r="AAS13">
        <v>3</v>
      </c>
      <c r="AAT13">
        <v>19</v>
      </c>
      <c r="AAU13">
        <v>5</v>
      </c>
      <c r="AAV13">
        <v>5</v>
      </c>
      <c r="AAW13">
        <v>3</v>
      </c>
      <c r="AAX13">
        <v>4</v>
      </c>
      <c r="AAY13">
        <v>2</v>
      </c>
      <c r="AAZ13">
        <v>3</v>
      </c>
      <c r="ABA13">
        <v>3</v>
      </c>
      <c r="ABB13">
        <v>5</v>
      </c>
      <c r="ABC13">
        <v>3</v>
      </c>
      <c r="ABD13">
        <v>5.5</v>
      </c>
      <c r="ABE13">
        <v>3.5714285710000002</v>
      </c>
      <c r="ABF13">
        <v>2</v>
      </c>
      <c r="ABG13" s="1">
        <v>45507.410416666666</v>
      </c>
      <c r="ABH13">
        <v>0</v>
      </c>
      <c r="ABI13">
        <v>0</v>
      </c>
      <c r="ABJ13">
        <v>0</v>
      </c>
      <c r="ABK13">
        <v>0</v>
      </c>
      <c r="ABL13">
        <v>1</v>
      </c>
      <c r="ABM13">
        <v>1</v>
      </c>
      <c r="ABN13">
        <v>0</v>
      </c>
      <c r="ABO13">
        <v>0</v>
      </c>
      <c r="ABP13">
        <v>0</v>
      </c>
      <c r="ABQ13">
        <v>0</v>
      </c>
      <c r="ABR13">
        <v>1</v>
      </c>
      <c r="ABS13">
        <v>1</v>
      </c>
      <c r="ABT13">
        <v>0</v>
      </c>
      <c r="ABU13">
        <v>0</v>
      </c>
      <c r="ABV13">
        <v>1</v>
      </c>
      <c r="ABW13">
        <v>0</v>
      </c>
      <c r="ABX13">
        <v>0</v>
      </c>
      <c r="ABY13">
        <v>1</v>
      </c>
      <c r="ABZ13">
        <v>0</v>
      </c>
      <c r="ACA13">
        <v>1</v>
      </c>
      <c r="ACB13">
        <v>0</v>
      </c>
      <c r="ACC13">
        <v>0</v>
      </c>
      <c r="ACD13">
        <v>1</v>
      </c>
      <c r="ACE13">
        <v>0</v>
      </c>
      <c r="ACF13">
        <v>1</v>
      </c>
      <c r="ACG13">
        <v>1</v>
      </c>
      <c r="ACH13">
        <v>1</v>
      </c>
      <c r="ACI13">
        <v>1</v>
      </c>
      <c r="ACJ13">
        <v>0</v>
      </c>
      <c r="ACK13">
        <v>0</v>
      </c>
      <c r="ACL13">
        <v>0</v>
      </c>
      <c r="ACM13">
        <v>0</v>
      </c>
      <c r="ACN13">
        <v>0</v>
      </c>
      <c r="ACO13">
        <v>0</v>
      </c>
      <c r="ACP13">
        <v>0</v>
      </c>
      <c r="ACQ13">
        <v>0</v>
      </c>
      <c r="ACR13">
        <v>0</v>
      </c>
      <c r="ACS13">
        <v>0</v>
      </c>
      <c r="ACT13">
        <v>0</v>
      </c>
      <c r="ACU13">
        <v>0</v>
      </c>
      <c r="ACV13">
        <v>1</v>
      </c>
      <c r="ACW13">
        <v>1</v>
      </c>
      <c r="ACX13">
        <v>0</v>
      </c>
      <c r="ACY13">
        <v>0</v>
      </c>
      <c r="ACZ13">
        <v>0</v>
      </c>
      <c r="ADA13">
        <v>0</v>
      </c>
      <c r="ADB13">
        <v>1</v>
      </c>
      <c r="ADC13">
        <v>0</v>
      </c>
      <c r="ADD13">
        <v>0</v>
      </c>
      <c r="ADE13">
        <v>1</v>
      </c>
      <c r="ADF13">
        <v>0</v>
      </c>
      <c r="ADG13">
        <v>0</v>
      </c>
      <c r="ADH13">
        <v>1</v>
      </c>
      <c r="ADI13">
        <v>0</v>
      </c>
      <c r="ADJ13">
        <v>0</v>
      </c>
      <c r="ADK13">
        <v>1</v>
      </c>
      <c r="ADL13">
        <v>0</v>
      </c>
      <c r="ADM13">
        <v>1</v>
      </c>
      <c r="ADN13">
        <v>0</v>
      </c>
      <c r="ADO13">
        <v>0</v>
      </c>
      <c r="ADP13">
        <v>1</v>
      </c>
      <c r="ADQ13">
        <v>0</v>
      </c>
      <c r="ADR13">
        <v>1</v>
      </c>
      <c r="ADS13">
        <v>1</v>
      </c>
      <c r="ADT13">
        <v>1</v>
      </c>
      <c r="ADU13">
        <v>1</v>
      </c>
      <c r="ADV13">
        <v>0</v>
      </c>
      <c r="ADW13">
        <v>0</v>
      </c>
      <c r="ADX13">
        <v>0</v>
      </c>
      <c r="ADY13">
        <v>0</v>
      </c>
      <c r="ADZ13">
        <v>0</v>
      </c>
      <c r="AEA13">
        <v>0</v>
      </c>
      <c r="AEB13">
        <v>0</v>
      </c>
      <c r="AEC13">
        <v>0</v>
      </c>
      <c r="AEE13">
        <v>2</v>
      </c>
      <c r="AEF13" s="1">
        <v>45507.411111111112</v>
      </c>
      <c r="AEG13">
        <v>1</v>
      </c>
      <c r="AEH13">
        <v>0</v>
      </c>
      <c r="AEI13">
        <v>2</v>
      </c>
      <c r="AEJ13">
        <v>3</v>
      </c>
      <c r="AEK13">
        <v>0</v>
      </c>
      <c r="AEL13">
        <v>0</v>
      </c>
      <c r="AEM13">
        <v>0</v>
      </c>
      <c r="AEN13">
        <v>3</v>
      </c>
      <c r="AEO13">
        <v>0</v>
      </c>
      <c r="AEP13">
        <v>3</v>
      </c>
      <c r="AEQ13">
        <v>0</v>
      </c>
      <c r="AER13">
        <v>0</v>
      </c>
      <c r="AES13">
        <v>2</v>
      </c>
      <c r="AET13">
        <v>0</v>
      </c>
      <c r="AEU13">
        <v>0</v>
      </c>
      <c r="AEV13">
        <v>0</v>
      </c>
      <c r="AEW13">
        <v>0</v>
      </c>
      <c r="AEX13">
        <v>1</v>
      </c>
      <c r="AEY13">
        <v>2</v>
      </c>
      <c r="AEZ13">
        <v>0</v>
      </c>
      <c r="AFA13">
        <v>0</v>
      </c>
      <c r="AFB13">
        <v>0</v>
      </c>
      <c r="AFC13">
        <v>1</v>
      </c>
      <c r="AFD13">
        <v>0</v>
      </c>
      <c r="AFE13">
        <v>0</v>
      </c>
      <c r="AFF13">
        <v>2</v>
      </c>
      <c r="AFG13">
        <v>1</v>
      </c>
      <c r="AFH13">
        <v>0</v>
      </c>
      <c r="AFI13">
        <v>1</v>
      </c>
      <c r="AFJ13">
        <v>1</v>
      </c>
      <c r="AFK13">
        <v>1</v>
      </c>
      <c r="AFL13">
        <v>0</v>
      </c>
      <c r="AFM13">
        <v>0</v>
      </c>
      <c r="AFN13">
        <v>7</v>
      </c>
      <c r="AFO13">
        <v>4</v>
      </c>
      <c r="AFP13">
        <v>11</v>
      </c>
      <c r="AFQ13">
        <v>1</v>
      </c>
      <c r="AFR13">
        <v>2</v>
      </c>
      <c r="AFS13" s="1">
        <v>45507.411805555559</v>
      </c>
      <c r="AFT13">
        <v>3</v>
      </c>
      <c r="AFU13">
        <v>3</v>
      </c>
      <c r="AFV13">
        <v>1</v>
      </c>
      <c r="AFW13">
        <v>1</v>
      </c>
      <c r="AFX13">
        <v>3</v>
      </c>
      <c r="AFY13">
        <v>1</v>
      </c>
      <c r="AFZ13">
        <v>1</v>
      </c>
      <c r="AGA13">
        <v>3</v>
      </c>
      <c r="AGB13">
        <v>1</v>
      </c>
      <c r="AGC13">
        <v>4</v>
      </c>
      <c r="AGD13">
        <v>3</v>
      </c>
      <c r="AGE13">
        <v>1</v>
      </c>
      <c r="AGF13">
        <v>1</v>
      </c>
      <c r="AGG13">
        <v>1</v>
      </c>
      <c r="AGH13">
        <v>3</v>
      </c>
      <c r="AGI13">
        <v>3</v>
      </c>
      <c r="AGJ13">
        <v>1</v>
      </c>
      <c r="AGK13">
        <v>1</v>
      </c>
      <c r="AGL13">
        <v>3</v>
      </c>
      <c r="AGM13">
        <v>3</v>
      </c>
      <c r="AGN13">
        <v>29</v>
      </c>
      <c r="AGO13">
        <v>2</v>
      </c>
      <c r="AGP13" s="1">
        <v>45507.411805555559</v>
      </c>
      <c r="AGQ13">
        <v>0</v>
      </c>
      <c r="AGV13">
        <v>0</v>
      </c>
      <c r="AGW13">
        <v>0</v>
      </c>
      <c r="AGX13">
        <v>0</v>
      </c>
      <c r="AGY13">
        <v>0</v>
      </c>
      <c r="AGZ13">
        <v>0</v>
      </c>
      <c r="AHB13">
        <v>2</v>
      </c>
      <c r="AHC13" s="1">
        <v>45507.414583333331</v>
      </c>
      <c r="AHD13" t="s">
        <v>212</v>
      </c>
      <c r="AHE13" t="s">
        <v>212</v>
      </c>
      <c r="AHF13" t="s">
        <v>286</v>
      </c>
      <c r="AHG13">
        <v>9</v>
      </c>
      <c r="AHH13">
        <v>9</v>
      </c>
      <c r="AHI13" t="s">
        <v>287</v>
      </c>
      <c r="AHJ13" t="s">
        <v>288</v>
      </c>
      <c r="AHK13" t="s">
        <v>289</v>
      </c>
      <c r="AHL13" t="s">
        <v>212</v>
      </c>
      <c r="AHM13" t="s">
        <v>290</v>
      </c>
      <c r="AHN13">
        <v>8</v>
      </c>
      <c r="AHO13">
        <v>5</v>
      </c>
      <c r="AHP13">
        <v>5</v>
      </c>
      <c r="AHQ13" t="s">
        <v>291</v>
      </c>
      <c r="AHR13" t="s">
        <v>292</v>
      </c>
      <c r="AHS13" t="s">
        <v>210</v>
      </c>
      <c r="AHU13" t="s">
        <v>211</v>
      </c>
    </row>
    <row r="14" spans="1:905">
      <c r="A14">
        <v>144</v>
      </c>
      <c r="B14" t="s">
        <v>205</v>
      </c>
      <c r="C14" t="s">
        <v>293</v>
      </c>
      <c r="D14">
        <v>2</v>
      </c>
      <c r="E14">
        <v>2</v>
      </c>
      <c r="F14">
        <v>42</v>
      </c>
      <c r="G14">
        <v>64</v>
      </c>
      <c r="H14">
        <v>135</v>
      </c>
      <c r="I14">
        <v>0</v>
      </c>
      <c r="J14">
        <v>3</v>
      </c>
      <c r="L14" t="s">
        <v>294</v>
      </c>
      <c r="M14">
        <v>2</v>
      </c>
      <c r="N14" s="1">
        <v>45499.371527777781</v>
      </c>
      <c r="O14">
        <v>5</v>
      </c>
      <c r="P14">
        <v>0</v>
      </c>
      <c r="R14">
        <v>0</v>
      </c>
      <c r="S14">
        <v>0</v>
      </c>
      <c r="T14">
        <v>0</v>
      </c>
      <c r="U14">
        <v>0</v>
      </c>
      <c r="V14">
        <v>0</v>
      </c>
      <c r="W14">
        <v>0</v>
      </c>
      <c r="X14">
        <v>0</v>
      </c>
      <c r="Y14">
        <v>0</v>
      </c>
      <c r="Z14">
        <v>0</v>
      </c>
      <c r="AA14">
        <v>0</v>
      </c>
      <c r="AB14">
        <v>1</v>
      </c>
      <c r="AC14" t="s">
        <v>208</v>
      </c>
      <c r="AD14">
        <v>2</v>
      </c>
      <c r="AE14" s="1">
        <v>45499.37222222222</v>
      </c>
      <c r="AF14">
        <v>2</v>
      </c>
      <c r="AG14">
        <v>2</v>
      </c>
      <c r="AH14">
        <v>3</v>
      </c>
      <c r="AI14">
        <v>2</v>
      </c>
      <c r="AJ14">
        <v>2</v>
      </c>
      <c r="AK14">
        <v>1</v>
      </c>
      <c r="AL14">
        <v>3</v>
      </c>
      <c r="AM14">
        <v>2</v>
      </c>
      <c r="AN14">
        <v>2</v>
      </c>
      <c r="AO14">
        <v>3</v>
      </c>
      <c r="AP14">
        <v>1</v>
      </c>
      <c r="AQ14">
        <v>1</v>
      </c>
      <c r="AR14">
        <v>2</v>
      </c>
      <c r="AS14">
        <v>1</v>
      </c>
      <c r="AT14">
        <v>2</v>
      </c>
      <c r="AU14">
        <v>3</v>
      </c>
      <c r="AV14">
        <v>2</v>
      </c>
      <c r="AW14">
        <v>1</v>
      </c>
      <c r="AX14">
        <v>3</v>
      </c>
      <c r="AY14">
        <v>1</v>
      </c>
      <c r="AZ14">
        <v>42</v>
      </c>
      <c r="BA14">
        <v>2</v>
      </c>
      <c r="BB14" s="1">
        <v>45499.372916666667</v>
      </c>
      <c r="BC14">
        <v>13</v>
      </c>
      <c r="BD14">
        <v>3</v>
      </c>
      <c r="BE14">
        <v>1</v>
      </c>
      <c r="BI14" s="2">
        <v>45499</v>
      </c>
      <c r="BM14">
        <v>28</v>
      </c>
      <c r="BN14">
        <v>3</v>
      </c>
      <c r="BO14">
        <v>1</v>
      </c>
      <c r="BP14">
        <v>1</v>
      </c>
      <c r="BQ14">
        <v>0</v>
      </c>
      <c r="BR14">
        <v>0</v>
      </c>
      <c r="BS14">
        <v>0</v>
      </c>
      <c r="BT14">
        <v>0</v>
      </c>
      <c r="BU14">
        <v>0</v>
      </c>
      <c r="BV14">
        <v>0</v>
      </c>
      <c r="BW14">
        <v>0</v>
      </c>
      <c r="BY14">
        <v>2</v>
      </c>
      <c r="BZ14" s="1">
        <v>45499.377083333333</v>
      </c>
      <c r="CA14">
        <v>4</v>
      </c>
      <c r="CB14">
        <v>2</v>
      </c>
      <c r="CC14">
        <v>3</v>
      </c>
      <c r="CD14">
        <v>3</v>
      </c>
      <c r="CE14">
        <v>3</v>
      </c>
      <c r="CF14">
        <v>2</v>
      </c>
      <c r="CG14">
        <v>2</v>
      </c>
      <c r="CH14">
        <v>4</v>
      </c>
      <c r="CI14">
        <v>1</v>
      </c>
      <c r="CJ14">
        <v>1</v>
      </c>
      <c r="CK14">
        <v>1</v>
      </c>
      <c r="CL14">
        <v>4</v>
      </c>
      <c r="CM14">
        <v>2</v>
      </c>
      <c r="CN14">
        <v>1</v>
      </c>
      <c r="CO14">
        <v>3</v>
      </c>
      <c r="CP14">
        <v>1</v>
      </c>
      <c r="CQ14">
        <v>1</v>
      </c>
      <c r="CR14">
        <v>3</v>
      </c>
      <c r="CS14">
        <v>3</v>
      </c>
      <c r="CT14">
        <v>3</v>
      </c>
      <c r="CU14">
        <v>7</v>
      </c>
      <c r="CV14">
        <v>6</v>
      </c>
      <c r="CW14">
        <v>18</v>
      </c>
      <c r="CX14">
        <v>31</v>
      </c>
      <c r="CY14">
        <v>16</v>
      </c>
      <c r="CZ14">
        <v>2</v>
      </c>
      <c r="DA14" s="1">
        <v>45499.379166666666</v>
      </c>
      <c r="DB14">
        <v>1</v>
      </c>
      <c r="DC14">
        <v>1</v>
      </c>
      <c r="DD14">
        <v>1</v>
      </c>
      <c r="DE14">
        <v>0</v>
      </c>
      <c r="DF14">
        <v>0</v>
      </c>
      <c r="DG14">
        <v>0</v>
      </c>
      <c r="DH14">
        <v>0</v>
      </c>
      <c r="DI14">
        <v>0</v>
      </c>
      <c r="DJ14">
        <v>0</v>
      </c>
      <c r="DK14">
        <v>1</v>
      </c>
      <c r="DL14">
        <v>1</v>
      </c>
      <c r="DM14">
        <v>1</v>
      </c>
      <c r="DN14">
        <v>1</v>
      </c>
      <c r="DO14">
        <v>0</v>
      </c>
      <c r="DP14">
        <v>0</v>
      </c>
      <c r="DQ14">
        <v>0</v>
      </c>
      <c r="DR14">
        <v>0</v>
      </c>
      <c r="DS14">
        <v>0</v>
      </c>
      <c r="DT14">
        <v>1</v>
      </c>
      <c r="DU14">
        <v>0</v>
      </c>
      <c r="DV14">
        <v>1</v>
      </c>
      <c r="DW14">
        <v>0</v>
      </c>
      <c r="DX14">
        <v>0</v>
      </c>
      <c r="DY14">
        <v>0</v>
      </c>
      <c r="DZ14">
        <v>0</v>
      </c>
      <c r="EA14">
        <v>1</v>
      </c>
      <c r="EB14">
        <v>1</v>
      </c>
      <c r="EC14">
        <v>1</v>
      </c>
      <c r="ED14">
        <v>0</v>
      </c>
      <c r="EE14">
        <v>0</v>
      </c>
      <c r="EF14">
        <v>1</v>
      </c>
      <c r="EG14">
        <v>1</v>
      </c>
      <c r="EH14">
        <v>1</v>
      </c>
      <c r="EI14">
        <v>0</v>
      </c>
      <c r="EJ14">
        <v>0</v>
      </c>
      <c r="EK14">
        <v>0</v>
      </c>
      <c r="EL14">
        <v>0</v>
      </c>
      <c r="EM14">
        <v>1</v>
      </c>
      <c r="EN14">
        <v>0</v>
      </c>
      <c r="EO14">
        <v>0</v>
      </c>
      <c r="EP14">
        <v>1</v>
      </c>
      <c r="EQ14">
        <v>1</v>
      </c>
      <c r="ER14">
        <v>1</v>
      </c>
      <c r="ES14">
        <v>0</v>
      </c>
      <c r="ET14">
        <v>0</v>
      </c>
      <c r="EU14">
        <v>0</v>
      </c>
      <c r="EV14">
        <v>0</v>
      </c>
      <c r="EW14">
        <v>0</v>
      </c>
      <c r="EX14">
        <v>1</v>
      </c>
      <c r="EY14">
        <v>0</v>
      </c>
      <c r="EZ14">
        <v>0</v>
      </c>
      <c r="FA14">
        <v>0</v>
      </c>
      <c r="FB14">
        <v>0</v>
      </c>
      <c r="FC14">
        <v>1</v>
      </c>
      <c r="FD14">
        <v>0</v>
      </c>
      <c r="FE14">
        <v>0</v>
      </c>
      <c r="FF14">
        <v>1</v>
      </c>
      <c r="FG14">
        <v>1</v>
      </c>
      <c r="FH14">
        <v>0</v>
      </c>
      <c r="FI14">
        <v>0</v>
      </c>
      <c r="FJ14">
        <v>0</v>
      </c>
      <c r="FK14">
        <v>0</v>
      </c>
      <c r="FL14">
        <v>0</v>
      </c>
      <c r="FM14">
        <v>1</v>
      </c>
      <c r="FN14">
        <v>0</v>
      </c>
      <c r="FO14">
        <v>0</v>
      </c>
      <c r="FP14">
        <v>0</v>
      </c>
      <c r="FQ14">
        <v>0</v>
      </c>
      <c r="FR14">
        <v>1</v>
      </c>
      <c r="FS14">
        <v>0</v>
      </c>
      <c r="FT14">
        <v>1</v>
      </c>
      <c r="FU14">
        <v>1</v>
      </c>
      <c r="FV14">
        <v>1</v>
      </c>
      <c r="FW14">
        <v>0</v>
      </c>
      <c r="FX14">
        <v>0</v>
      </c>
      <c r="FY14">
        <v>0</v>
      </c>
      <c r="FZ14">
        <v>0</v>
      </c>
      <c r="GA14">
        <v>0</v>
      </c>
      <c r="GB14">
        <v>1</v>
      </c>
      <c r="GC14">
        <v>0</v>
      </c>
      <c r="GD14">
        <v>0</v>
      </c>
      <c r="GE14">
        <v>0</v>
      </c>
      <c r="GF14">
        <v>0</v>
      </c>
      <c r="GG14">
        <v>1</v>
      </c>
      <c r="GH14">
        <v>0</v>
      </c>
      <c r="GI14">
        <v>2</v>
      </c>
      <c r="GJ14" s="1">
        <v>45499.380555555559</v>
      </c>
      <c r="GK14">
        <v>1</v>
      </c>
      <c r="GL14">
        <v>4</v>
      </c>
      <c r="GM14">
        <v>4</v>
      </c>
      <c r="GN14">
        <v>3</v>
      </c>
      <c r="GO14">
        <v>1</v>
      </c>
      <c r="GP14">
        <v>2</v>
      </c>
      <c r="GQ14">
        <v>3</v>
      </c>
      <c r="GR14">
        <v>1</v>
      </c>
      <c r="GS14">
        <v>3</v>
      </c>
      <c r="GT14">
        <v>3</v>
      </c>
      <c r="GU14">
        <v>1</v>
      </c>
      <c r="GV14">
        <v>2</v>
      </c>
      <c r="GW14">
        <v>1</v>
      </c>
      <c r="GX14">
        <v>3</v>
      </c>
      <c r="GY14">
        <v>2</v>
      </c>
      <c r="GZ14">
        <v>2</v>
      </c>
      <c r="HA14">
        <v>4</v>
      </c>
      <c r="HB14">
        <v>2</v>
      </c>
      <c r="HC14">
        <v>19</v>
      </c>
      <c r="HD14">
        <v>14</v>
      </c>
      <c r="HE14">
        <v>43</v>
      </c>
      <c r="HF14">
        <v>2</v>
      </c>
      <c r="HG14" s="1">
        <v>45499.381249999999</v>
      </c>
      <c r="HH14">
        <v>1</v>
      </c>
      <c r="HI14">
        <v>1</v>
      </c>
      <c r="HJ14">
        <v>9</v>
      </c>
      <c r="HK14">
        <v>2</v>
      </c>
      <c r="HL14" s="1">
        <v>45499.552083333336</v>
      </c>
      <c r="HM14">
        <v>0</v>
      </c>
      <c r="HN14">
        <v>0</v>
      </c>
      <c r="HO14">
        <v>1</v>
      </c>
      <c r="HP14">
        <v>1</v>
      </c>
      <c r="HQ14">
        <v>0</v>
      </c>
      <c r="HR14">
        <v>0</v>
      </c>
      <c r="HS14">
        <v>1</v>
      </c>
      <c r="HT14">
        <v>1</v>
      </c>
      <c r="HU14">
        <v>0</v>
      </c>
      <c r="HV14">
        <v>0</v>
      </c>
      <c r="HW14">
        <v>0</v>
      </c>
      <c r="HX14">
        <v>1</v>
      </c>
      <c r="HY14">
        <v>0</v>
      </c>
      <c r="HZ14">
        <v>0</v>
      </c>
      <c r="IA14">
        <v>2</v>
      </c>
      <c r="IB14">
        <v>2</v>
      </c>
      <c r="IC14">
        <v>1</v>
      </c>
      <c r="ID14">
        <v>0</v>
      </c>
      <c r="IE14">
        <v>1</v>
      </c>
      <c r="IF14">
        <v>2</v>
      </c>
      <c r="IG14">
        <v>3</v>
      </c>
      <c r="IH14">
        <v>16</v>
      </c>
      <c r="II14">
        <v>2</v>
      </c>
      <c r="IJ14" s="1">
        <v>45499.552777777775</v>
      </c>
      <c r="IK14">
        <v>1</v>
      </c>
      <c r="IL14">
        <v>1</v>
      </c>
      <c r="IM14">
        <v>0</v>
      </c>
      <c r="IN14">
        <v>0</v>
      </c>
      <c r="IO14">
        <v>0</v>
      </c>
      <c r="IP14">
        <v>0</v>
      </c>
      <c r="IQ14">
        <v>0</v>
      </c>
      <c r="IR14">
        <v>0</v>
      </c>
      <c r="IS14">
        <v>0</v>
      </c>
      <c r="IT14">
        <v>0</v>
      </c>
      <c r="IU14">
        <v>0</v>
      </c>
      <c r="IV14">
        <v>0</v>
      </c>
      <c r="IW14">
        <v>0</v>
      </c>
      <c r="IX14">
        <v>0</v>
      </c>
      <c r="IY14">
        <v>0</v>
      </c>
      <c r="IZ14">
        <v>0</v>
      </c>
      <c r="JA14">
        <v>1</v>
      </c>
      <c r="JB14">
        <v>1</v>
      </c>
      <c r="JC14">
        <v>1</v>
      </c>
      <c r="JD14">
        <v>0</v>
      </c>
      <c r="JE14">
        <v>6</v>
      </c>
      <c r="JF14">
        <v>2</v>
      </c>
      <c r="JG14">
        <v>1</v>
      </c>
      <c r="JH14">
        <v>3</v>
      </c>
      <c r="JI14">
        <v>1</v>
      </c>
      <c r="JJ14">
        <v>1</v>
      </c>
      <c r="JK14">
        <v>1</v>
      </c>
      <c r="JL14" t="s">
        <v>214</v>
      </c>
      <c r="JM14" t="s">
        <v>210</v>
      </c>
      <c r="JN14">
        <v>5</v>
      </c>
      <c r="JO14">
        <v>9</v>
      </c>
      <c r="JP14">
        <v>3</v>
      </c>
      <c r="JQ14">
        <v>2</v>
      </c>
      <c r="JR14" s="1">
        <v>45499.552777777775</v>
      </c>
      <c r="JS14">
        <v>0</v>
      </c>
      <c r="JT14">
        <v>0</v>
      </c>
      <c r="JU14">
        <v>0</v>
      </c>
      <c r="JV14">
        <v>0</v>
      </c>
      <c r="JW14">
        <v>2</v>
      </c>
      <c r="JX14" s="1">
        <v>45499.553472222222</v>
      </c>
      <c r="JY14">
        <v>65.900000000000006</v>
      </c>
      <c r="JZ14">
        <v>2.2999999999999998</v>
      </c>
      <c r="KI14">
        <v>4</v>
      </c>
      <c r="KJ14">
        <v>62.3</v>
      </c>
      <c r="KK14">
        <v>4.2</v>
      </c>
      <c r="KL14">
        <v>1</v>
      </c>
      <c r="UA14">
        <v>4</v>
      </c>
      <c r="UB14">
        <v>65.900000000000006</v>
      </c>
      <c r="UC14">
        <v>2.2999999999999998</v>
      </c>
      <c r="UD14">
        <v>4</v>
      </c>
      <c r="WQ14">
        <v>5</v>
      </c>
      <c r="WR14">
        <v>66.3</v>
      </c>
      <c r="WS14">
        <v>2.6</v>
      </c>
      <c r="WT14">
        <v>3</v>
      </c>
      <c r="XG14">
        <v>4</v>
      </c>
      <c r="XH14">
        <v>63.9</v>
      </c>
      <c r="XI14">
        <v>3</v>
      </c>
      <c r="XJ14">
        <v>2</v>
      </c>
      <c r="YQ14">
        <v>2</v>
      </c>
      <c r="YR14" s="1">
        <v>45499.554166666669</v>
      </c>
      <c r="YS14">
        <v>3</v>
      </c>
      <c r="YT14">
        <v>2</v>
      </c>
      <c r="YU14">
        <v>1</v>
      </c>
      <c r="YV14">
        <v>1</v>
      </c>
      <c r="YW14">
        <v>1</v>
      </c>
      <c r="YX14">
        <v>1</v>
      </c>
      <c r="YY14">
        <v>1</v>
      </c>
      <c r="YZ14">
        <v>1</v>
      </c>
      <c r="ZA14">
        <v>2</v>
      </c>
      <c r="ZB14">
        <v>3</v>
      </c>
      <c r="ZC14">
        <v>3</v>
      </c>
      <c r="ZD14">
        <v>2</v>
      </c>
      <c r="ZE14">
        <v>1</v>
      </c>
      <c r="ZF14">
        <v>2</v>
      </c>
      <c r="ZG14">
        <v>3</v>
      </c>
      <c r="ZH14">
        <v>2</v>
      </c>
      <c r="ZI14">
        <v>2</v>
      </c>
      <c r="ZJ14">
        <v>1</v>
      </c>
      <c r="ZK14">
        <v>2</v>
      </c>
      <c r="ZL14">
        <v>1</v>
      </c>
      <c r="ZM14">
        <v>20</v>
      </c>
      <c r="ZN14">
        <v>15</v>
      </c>
      <c r="ZO14">
        <v>2</v>
      </c>
      <c r="ZP14" s="1">
        <v>45499.554861111108</v>
      </c>
      <c r="ZQ14">
        <v>2</v>
      </c>
      <c r="ZR14">
        <v>1</v>
      </c>
      <c r="ZS14">
        <v>1</v>
      </c>
      <c r="ZT14">
        <v>0</v>
      </c>
      <c r="ZU14">
        <v>0</v>
      </c>
      <c r="ZV14">
        <v>2</v>
      </c>
      <c r="ZW14">
        <v>1</v>
      </c>
      <c r="ZX14">
        <v>1</v>
      </c>
      <c r="ZY14">
        <v>0</v>
      </c>
      <c r="ZZ14">
        <v>0</v>
      </c>
      <c r="AAA14">
        <v>0</v>
      </c>
      <c r="AAB14">
        <v>0</v>
      </c>
      <c r="AAC14">
        <v>0</v>
      </c>
      <c r="AAD14">
        <v>0</v>
      </c>
      <c r="AAE14">
        <v>1</v>
      </c>
      <c r="AAF14">
        <v>2</v>
      </c>
      <c r="AAG14">
        <v>0</v>
      </c>
      <c r="AAH14">
        <v>0</v>
      </c>
      <c r="AAI14">
        <v>5</v>
      </c>
      <c r="AAJ14">
        <v>2</v>
      </c>
      <c r="AAK14">
        <v>4</v>
      </c>
      <c r="AAL14">
        <v>11</v>
      </c>
      <c r="AAM14">
        <v>2</v>
      </c>
      <c r="AAN14" s="1">
        <v>45499.555555555555</v>
      </c>
      <c r="AAO14">
        <v>1</v>
      </c>
      <c r="AAP14">
        <v>8</v>
      </c>
      <c r="AAQ14">
        <v>5</v>
      </c>
      <c r="AAR14">
        <v>6</v>
      </c>
      <c r="AAS14">
        <v>6</v>
      </c>
      <c r="AAT14">
        <v>16</v>
      </c>
      <c r="AAU14">
        <v>6</v>
      </c>
      <c r="AAV14">
        <v>6</v>
      </c>
      <c r="AAW14">
        <v>5</v>
      </c>
      <c r="AAX14">
        <v>6</v>
      </c>
      <c r="AAY14">
        <v>3</v>
      </c>
      <c r="AAZ14">
        <v>6</v>
      </c>
      <c r="ABA14">
        <v>5</v>
      </c>
      <c r="ABB14">
        <v>4</v>
      </c>
      <c r="ABC14">
        <v>0</v>
      </c>
      <c r="ABD14">
        <v>6.25</v>
      </c>
      <c r="ABE14">
        <v>5.2857142860000002</v>
      </c>
      <c r="ABF14">
        <v>2</v>
      </c>
      <c r="ABG14" s="1">
        <v>45499.555555555555</v>
      </c>
      <c r="ABH14">
        <v>0</v>
      </c>
      <c r="ABI14">
        <v>0</v>
      </c>
      <c r="ABJ14">
        <v>0</v>
      </c>
      <c r="ABK14">
        <v>0</v>
      </c>
      <c r="ABL14">
        <v>0</v>
      </c>
      <c r="ABM14">
        <v>0</v>
      </c>
      <c r="ABN14">
        <v>0</v>
      </c>
      <c r="ABO14">
        <v>0</v>
      </c>
      <c r="ABP14">
        <v>0</v>
      </c>
      <c r="ABQ14">
        <v>0</v>
      </c>
      <c r="ABR14">
        <v>0</v>
      </c>
      <c r="ABS14">
        <v>0</v>
      </c>
      <c r="ABT14">
        <v>0</v>
      </c>
      <c r="ABU14">
        <v>0</v>
      </c>
      <c r="ABV14">
        <v>0</v>
      </c>
      <c r="ABW14">
        <v>0</v>
      </c>
      <c r="ABX14">
        <v>0</v>
      </c>
      <c r="ABY14">
        <v>0</v>
      </c>
      <c r="ABZ14">
        <v>0</v>
      </c>
      <c r="ACA14">
        <v>0</v>
      </c>
      <c r="ACB14">
        <v>0</v>
      </c>
      <c r="ACC14">
        <v>0</v>
      </c>
      <c r="ACD14">
        <v>0</v>
      </c>
      <c r="ACE14">
        <v>0</v>
      </c>
      <c r="ACF14">
        <v>1</v>
      </c>
      <c r="ACG14">
        <v>0</v>
      </c>
      <c r="ACH14">
        <v>0</v>
      </c>
      <c r="ACI14">
        <v>1</v>
      </c>
      <c r="ACJ14">
        <v>0</v>
      </c>
      <c r="ACK14">
        <v>0</v>
      </c>
      <c r="ACL14">
        <v>0</v>
      </c>
      <c r="ACM14">
        <v>0</v>
      </c>
      <c r="ACN14">
        <v>1</v>
      </c>
      <c r="ACO14">
        <v>1</v>
      </c>
      <c r="ACP14">
        <v>0</v>
      </c>
      <c r="ACQ14">
        <v>0</v>
      </c>
      <c r="ACR14">
        <v>0</v>
      </c>
      <c r="ACS14">
        <v>0</v>
      </c>
      <c r="ACT14">
        <v>0</v>
      </c>
      <c r="ACU14">
        <v>0</v>
      </c>
      <c r="ACV14">
        <v>1</v>
      </c>
      <c r="ACW14">
        <v>1</v>
      </c>
      <c r="ACX14">
        <v>1</v>
      </c>
      <c r="ACY14">
        <v>1</v>
      </c>
      <c r="ACZ14">
        <v>1</v>
      </c>
      <c r="ADA14">
        <v>1</v>
      </c>
      <c r="ADB14">
        <v>0</v>
      </c>
      <c r="ADC14">
        <v>1</v>
      </c>
      <c r="ADD14">
        <v>1</v>
      </c>
      <c r="ADE14">
        <v>0</v>
      </c>
      <c r="ADF14">
        <v>0</v>
      </c>
      <c r="ADG14">
        <v>0</v>
      </c>
      <c r="ADH14">
        <v>0</v>
      </c>
      <c r="ADI14">
        <v>1</v>
      </c>
      <c r="ADJ14">
        <v>1</v>
      </c>
      <c r="ADK14">
        <v>0</v>
      </c>
      <c r="ADL14">
        <v>0</v>
      </c>
      <c r="ADM14">
        <v>0</v>
      </c>
      <c r="ADN14">
        <v>0</v>
      </c>
      <c r="ADO14">
        <v>0</v>
      </c>
      <c r="ADP14">
        <v>0</v>
      </c>
      <c r="ADQ14">
        <v>0</v>
      </c>
      <c r="ADR14">
        <v>1</v>
      </c>
      <c r="ADS14">
        <v>0</v>
      </c>
      <c r="ADT14">
        <v>0</v>
      </c>
      <c r="ADU14">
        <v>1</v>
      </c>
      <c r="ADV14">
        <v>0</v>
      </c>
      <c r="ADW14">
        <v>0</v>
      </c>
      <c r="ADX14">
        <v>0</v>
      </c>
      <c r="ADY14">
        <v>0</v>
      </c>
      <c r="ADZ14">
        <v>1</v>
      </c>
      <c r="AEA14">
        <v>1</v>
      </c>
      <c r="AEB14">
        <v>0</v>
      </c>
      <c r="AEC14">
        <v>0</v>
      </c>
      <c r="AEE14">
        <v>2</v>
      </c>
      <c r="AEF14" s="1">
        <v>45499.556944444441</v>
      </c>
      <c r="AEG14">
        <v>1</v>
      </c>
      <c r="AEH14">
        <v>0</v>
      </c>
      <c r="AEI14">
        <v>3</v>
      </c>
      <c r="AEJ14">
        <v>0</v>
      </c>
      <c r="AEK14">
        <v>0</v>
      </c>
      <c r="AEL14">
        <v>0</v>
      </c>
      <c r="AEM14">
        <v>0</v>
      </c>
      <c r="AEN14">
        <v>0</v>
      </c>
      <c r="AEO14">
        <v>0</v>
      </c>
      <c r="AEP14">
        <v>0</v>
      </c>
      <c r="AEQ14">
        <v>0</v>
      </c>
      <c r="AER14">
        <v>0</v>
      </c>
      <c r="AES14">
        <v>3</v>
      </c>
      <c r="AET14">
        <v>1</v>
      </c>
      <c r="AEU14">
        <v>0</v>
      </c>
      <c r="AEV14">
        <v>0</v>
      </c>
      <c r="AEW14">
        <v>0</v>
      </c>
      <c r="AEX14">
        <v>0</v>
      </c>
      <c r="AEY14">
        <v>3</v>
      </c>
      <c r="AEZ14">
        <v>1</v>
      </c>
      <c r="AFA14">
        <v>0</v>
      </c>
      <c r="AFB14">
        <v>3</v>
      </c>
      <c r="AFC14">
        <v>2</v>
      </c>
      <c r="AFD14">
        <v>0</v>
      </c>
      <c r="AFE14">
        <v>0</v>
      </c>
      <c r="AFF14">
        <v>0</v>
      </c>
      <c r="AFG14">
        <v>0</v>
      </c>
      <c r="AFH14">
        <v>0</v>
      </c>
      <c r="AFI14">
        <v>0</v>
      </c>
      <c r="AFJ14">
        <v>0</v>
      </c>
      <c r="AFK14">
        <v>2</v>
      </c>
      <c r="AFL14">
        <v>0</v>
      </c>
      <c r="AFM14">
        <v>1</v>
      </c>
      <c r="AFN14">
        <v>14</v>
      </c>
      <c r="AFO14">
        <v>0</v>
      </c>
      <c r="AFP14">
        <v>0</v>
      </c>
      <c r="AFQ14">
        <v>17</v>
      </c>
      <c r="AFR14">
        <v>2</v>
      </c>
      <c r="AFS14" s="1">
        <v>45499.556944444441</v>
      </c>
      <c r="AFT14">
        <v>3</v>
      </c>
      <c r="AFU14">
        <v>3</v>
      </c>
      <c r="AFV14">
        <v>2</v>
      </c>
      <c r="AFW14">
        <v>1</v>
      </c>
      <c r="AFX14">
        <v>2</v>
      </c>
      <c r="AFY14">
        <v>1</v>
      </c>
      <c r="AFZ14">
        <v>1</v>
      </c>
      <c r="AGA14">
        <v>3</v>
      </c>
      <c r="AGB14">
        <v>1</v>
      </c>
      <c r="AGC14">
        <v>2</v>
      </c>
      <c r="AGD14">
        <v>2</v>
      </c>
      <c r="AGE14">
        <v>2</v>
      </c>
      <c r="AGF14">
        <v>1</v>
      </c>
      <c r="AGG14">
        <v>1</v>
      </c>
      <c r="AGH14">
        <v>1</v>
      </c>
      <c r="AGI14">
        <v>2</v>
      </c>
      <c r="AGJ14">
        <v>1</v>
      </c>
      <c r="AGK14">
        <v>1</v>
      </c>
      <c r="AGL14">
        <v>2</v>
      </c>
      <c r="AGM14">
        <v>1</v>
      </c>
      <c r="AGN14">
        <v>41</v>
      </c>
      <c r="AGO14">
        <v>2</v>
      </c>
      <c r="AGP14" s="1">
        <v>45499.557638888888</v>
      </c>
      <c r="AGQ14">
        <v>1</v>
      </c>
      <c r="AGR14" t="s">
        <v>295</v>
      </c>
      <c r="AGS14" t="s">
        <v>296</v>
      </c>
      <c r="AGT14">
        <v>25</v>
      </c>
      <c r="AGU14">
        <v>25</v>
      </c>
      <c r="AGV14">
        <v>1</v>
      </c>
      <c r="AGW14">
        <v>0</v>
      </c>
      <c r="AGX14">
        <v>0</v>
      </c>
      <c r="AGY14">
        <v>0</v>
      </c>
      <c r="AGZ14">
        <v>0</v>
      </c>
      <c r="AHB14">
        <v>2</v>
      </c>
      <c r="AHC14" s="1">
        <v>45499.55972222222</v>
      </c>
      <c r="AHD14" t="s">
        <v>212</v>
      </c>
      <c r="AHE14" t="s">
        <v>212</v>
      </c>
      <c r="AHF14">
        <v>2</v>
      </c>
      <c r="AHG14">
        <v>5</v>
      </c>
      <c r="AHH14">
        <v>5</v>
      </c>
      <c r="AHI14" t="s">
        <v>297</v>
      </c>
      <c r="AHJ14" t="s">
        <v>298</v>
      </c>
      <c r="AHK14" t="s">
        <v>214</v>
      </c>
      <c r="AHL14" t="s">
        <v>212</v>
      </c>
      <c r="AHM14" t="s">
        <v>299</v>
      </c>
      <c r="AHN14">
        <v>4</v>
      </c>
      <c r="AHO14">
        <v>4</v>
      </c>
      <c r="AHP14">
        <v>5</v>
      </c>
      <c r="AHQ14" t="s">
        <v>214</v>
      </c>
      <c r="AHR14" t="s">
        <v>300</v>
      </c>
      <c r="AHS14" t="s">
        <v>212</v>
      </c>
      <c r="AHT14" t="s">
        <v>301</v>
      </c>
      <c r="AHU14" t="s">
        <v>211</v>
      </c>
    </row>
    <row r="15" spans="1:905">
      <c r="A15">
        <v>145</v>
      </c>
      <c r="B15" t="s">
        <v>205</v>
      </c>
      <c r="C15" t="s">
        <v>302</v>
      </c>
      <c r="D15">
        <v>2</v>
      </c>
      <c r="E15">
        <v>2</v>
      </c>
      <c r="F15">
        <v>53</v>
      </c>
      <c r="G15">
        <v>62</v>
      </c>
      <c r="H15">
        <v>120</v>
      </c>
      <c r="I15">
        <v>0</v>
      </c>
      <c r="J15">
        <v>3</v>
      </c>
      <c r="L15" t="s">
        <v>303</v>
      </c>
      <c r="M15">
        <v>2</v>
      </c>
      <c r="N15" s="1">
        <v>45496.874305555553</v>
      </c>
      <c r="O15">
        <v>6</v>
      </c>
      <c r="P15">
        <v>0</v>
      </c>
      <c r="R15">
        <v>1</v>
      </c>
      <c r="S15">
        <v>0</v>
      </c>
      <c r="T15">
        <v>1</v>
      </c>
      <c r="U15">
        <v>0</v>
      </c>
      <c r="V15">
        <v>0</v>
      </c>
      <c r="W15">
        <v>0</v>
      </c>
      <c r="X15">
        <v>0</v>
      </c>
      <c r="Y15">
        <v>0</v>
      </c>
      <c r="Z15">
        <v>0</v>
      </c>
      <c r="AA15">
        <v>0</v>
      </c>
      <c r="AB15">
        <v>0</v>
      </c>
      <c r="AC15" t="s">
        <v>208</v>
      </c>
      <c r="AD15">
        <v>2</v>
      </c>
      <c r="AE15" s="1">
        <v>45496.876388888886</v>
      </c>
      <c r="AF15">
        <v>2</v>
      </c>
      <c r="AG15">
        <v>3</v>
      </c>
      <c r="AH15">
        <v>1</v>
      </c>
      <c r="AI15">
        <v>2</v>
      </c>
      <c r="AJ15">
        <v>3</v>
      </c>
      <c r="AK15">
        <v>2</v>
      </c>
      <c r="AL15">
        <v>1</v>
      </c>
      <c r="AM15">
        <v>4</v>
      </c>
      <c r="AN15">
        <v>3</v>
      </c>
      <c r="AO15">
        <v>2</v>
      </c>
      <c r="AP15">
        <v>2</v>
      </c>
      <c r="AQ15">
        <v>3</v>
      </c>
      <c r="AR15">
        <v>1</v>
      </c>
      <c r="AS15">
        <v>1</v>
      </c>
      <c r="AT15">
        <v>4</v>
      </c>
      <c r="AU15">
        <v>2</v>
      </c>
      <c r="AV15">
        <v>3</v>
      </c>
      <c r="AW15">
        <v>2</v>
      </c>
      <c r="AX15">
        <v>2</v>
      </c>
      <c r="AY15">
        <v>4</v>
      </c>
      <c r="AZ15">
        <v>64</v>
      </c>
      <c r="BA15">
        <v>2</v>
      </c>
      <c r="BB15" s="1">
        <v>45496.87777777778</v>
      </c>
      <c r="BC15">
        <v>15</v>
      </c>
      <c r="BD15">
        <v>3</v>
      </c>
      <c r="BE15">
        <v>6</v>
      </c>
      <c r="BG15" t="s">
        <v>304</v>
      </c>
      <c r="BI15" s="2">
        <v>44208</v>
      </c>
      <c r="BJ15">
        <v>5</v>
      </c>
      <c r="BK15">
        <v>1</v>
      </c>
      <c r="BL15">
        <v>4</v>
      </c>
      <c r="BM15">
        <v>28</v>
      </c>
      <c r="BN15">
        <v>5</v>
      </c>
      <c r="BO15">
        <v>1</v>
      </c>
      <c r="BP15">
        <v>1</v>
      </c>
      <c r="BQ15">
        <v>0</v>
      </c>
      <c r="BR15">
        <v>0</v>
      </c>
      <c r="BS15">
        <v>0</v>
      </c>
      <c r="BT15">
        <v>0</v>
      </c>
      <c r="BU15">
        <v>0</v>
      </c>
      <c r="BV15">
        <v>0</v>
      </c>
      <c r="BW15">
        <v>0</v>
      </c>
      <c r="BY15">
        <v>2</v>
      </c>
      <c r="BZ15" s="1">
        <v>45496.879166666666</v>
      </c>
      <c r="CA15">
        <v>3</v>
      </c>
      <c r="CB15">
        <v>4</v>
      </c>
      <c r="CC15">
        <v>2</v>
      </c>
      <c r="CD15">
        <v>4</v>
      </c>
      <c r="CE15">
        <v>2</v>
      </c>
      <c r="CF15">
        <v>2</v>
      </c>
      <c r="CG15">
        <v>4</v>
      </c>
      <c r="CH15">
        <v>3</v>
      </c>
      <c r="CI15">
        <v>2</v>
      </c>
      <c r="CJ15">
        <v>4</v>
      </c>
      <c r="CK15">
        <v>2</v>
      </c>
      <c r="CL15">
        <v>3</v>
      </c>
      <c r="CM15">
        <v>1</v>
      </c>
      <c r="CN15">
        <v>2</v>
      </c>
      <c r="CO15">
        <v>4</v>
      </c>
      <c r="CP15">
        <v>2</v>
      </c>
      <c r="CQ15">
        <v>1</v>
      </c>
      <c r="CR15">
        <v>1</v>
      </c>
      <c r="CS15">
        <v>2</v>
      </c>
      <c r="CT15">
        <v>2</v>
      </c>
      <c r="CU15">
        <v>7</v>
      </c>
      <c r="CV15">
        <v>8</v>
      </c>
      <c r="CW15">
        <v>13</v>
      </c>
      <c r="CX15">
        <v>28</v>
      </c>
      <c r="CY15">
        <v>28</v>
      </c>
      <c r="CZ15">
        <v>2</v>
      </c>
      <c r="DA15" s="1">
        <v>45496.881944444445</v>
      </c>
      <c r="DB15">
        <v>0</v>
      </c>
      <c r="DC15">
        <v>0</v>
      </c>
      <c r="DD15">
        <v>1</v>
      </c>
      <c r="DE15">
        <v>0</v>
      </c>
      <c r="DF15">
        <v>0</v>
      </c>
      <c r="DG15">
        <v>0</v>
      </c>
      <c r="DH15">
        <v>0</v>
      </c>
      <c r="DI15">
        <v>1</v>
      </c>
      <c r="DJ15">
        <v>0</v>
      </c>
      <c r="DK15">
        <v>0</v>
      </c>
      <c r="DL15">
        <v>1</v>
      </c>
      <c r="DM15">
        <v>1</v>
      </c>
      <c r="DN15">
        <v>1</v>
      </c>
      <c r="DO15">
        <v>0</v>
      </c>
      <c r="DP15">
        <v>0</v>
      </c>
      <c r="DQ15">
        <v>0</v>
      </c>
      <c r="DR15">
        <v>0</v>
      </c>
      <c r="DS15">
        <v>1</v>
      </c>
      <c r="DT15">
        <v>0</v>
      </c>
      <c r="DU15">
        <v>0</v>
      </c>
      <c r="DV15">
        <v>0</v>
      </c>
      <c r="DW15">
        <v>0</v>
      </c>
      <c r="DX15">
        <v>1</v>
      </c>
      <c r="DY15">
        <v>0</v>
      </c>
      <c r="DZ15">
        <v>0</v>
      </c>
      <c r="EA15">
        <v>1</v>
      </c>
      <c r="EB15">
        <v>1</v>
      </c>
      <c r="EC15">
        <v>1</v>
      </c>
      <c r="ED15">
        <v>0</v>
      </c>
      <c r="EE15">
        <v>0</v>
      </c>
      <c r="EF15">
        <v>1</v>
      </c>
      <c r="EG15">
        <v>0</v>
      </c>
      <c r="EH15">
        <v>1</v>
      </c>
      <c r="EI15">
        <v>0</v>
      </c>
      <c r="EJ15">
        <v>0</v>
      </c>
      <c r="EK15">
        <v>1</v>
      </c>
      <c r="EL15">
        <v>0</v>
      </c>
      <c r="EM15">
        <v>1</v>
      </c>
      <c r="EN15">
        <v>0</v>
      </c>
      <c r="EO15">
        <v>0</v>
      </c>
      <c r="EP15">
        <v>1</v>
      </c>
      <c r="EQ15">
        <v>1</v>
      </c>
      <c r="ER15">
        <v>1</v>
      </c>
      <c r="ES15">
        <v>0</v>
      </c>
      <c r="ET15">
        <v>0</v>
      </c>
      <c r="EU15">
        <v>0</v>
      </c>
      <c r="EV15">
        <v>0</v>
      </c>
      <c r="EW15">
        <v>1</v>
      </c>
      <c r="EX15">
        <v>0</v>
      </c>
      <c r="EY15">
        <v>0</v>
      </c>
      <c r="EZ15">
        <v>0</v>
      </c>
      <c r="FA15">
        <v>0</v>
      </c>
      <c r="FB15">
        <v>0</v>
      </c>
      <c r="FC15">
        <v>1</v>
      </c>
      <c r="FD15">
        <v>0</v>
      </c>
      <c r="FE15">
        <v>1</v>
      </c>
      <c r="FF15">
        <v>1</v>
      </c>
      <c r="FG15">
        <v>1</v>
      </c>
      <c r="FH15">
        <v>0</v>
      </c>
      <c r="FI15">
        <v>0</v>
      </c>
      <c r="FJ15">
        <v>0</v>
      </c>
      <c r="FK15">
        <v>0</v>
      </c>
      <c r="FL15">
        <v>1</v>
      </c>
      <c r="FM15">
        <v>1</v>
      </c>
      <c r="FN15">
        <v>0</v>
      </c>
      <c r="FO15">
        <v>0</v>
      </c>
      <c r="FP15">
        <v>0</v>
      </c>
      <c r="FQ15">
        <v>1</v>
      </c>
      <c r="FR15">
        <v>0</v>
      </c>
      <c r="FS15">
        <v>0</v>
      </c>
      <c r="FT15">
        <v>1</v>
      </c>
      <c r="FU15">
        <v>1</v>
      </c>
      <c r="FV15">
        <v>1</v>
      </c>
      <c r="FW15">
        <v>0</v>
      </c>
      <c r="FX15">
        <v>0</v>
      </c>
      <c r="FY15">
        <v>0</v>
      </c>
      <c r="FZ15">
        <v>0</v>
      </c>
      <c r="GA15">
        <v>0</v>
      </c>
      <c r="GB15">
        <v>0</v>
      </c>
      <c r="GC15">
        <v>1</v>
      </c>
      <c r="GD15">
        <v>1</v>
      </c>
      <c r="GE15">
        <v>1</v>
      </c>
      <c r="GF15">
        <v>1</v>
      </c>
      <c r="GG15">
        <v>0</v>
      </c>
      <c r="GH15">
        <v>0</v>
      </c>
      <c r="GI15">
        <v>2</v>
      </c>
      <c r="GJ15" s="1">
        <v>45496.884027777778</v>
      </c>
      <c r="GK15">
        <v>1</v>
      </c>
      <c r="GL15">
        <v>3</v>
      </c>
      <c r="GM15">
        <v>3</v>
      </c>
      <c r="GN15">
        <v>3</v>
      </c>
      <c r="GO15">
        <v>2</v>
      </c>
      <c r="GP15">
        <v>4</v>
      </c>
      <c r="GQ15">
        <v>4</v>
      </c>
      <c r="GR15">
        <v>1</v>
      </c>
      <c r="GS15">
        <v>4</v>
      </c>
      <c r="GT15">
        <v>3</v>
      </c>
      <c r="GU15">
        <v>3</v>
      </c>
      <c r="GV15">
        <v>3</v>
      </c>
      <c r="GW15">
        <v>3</v>
      </c>
      <c r="GX15">
        <v>3</v>
      </c>
      <c r="GY15">
        <v>2</v>
      </c>
      <c r="GZ15">
        <v>3</v>
      </c>
      <c r="HA15">
        <v>2</v>
      </c>
      <c r="HB15">
        <v>2</v>
      </c>
      <c r="HC15">
        <v>18</v>
      </c>
      <c r="HD15">
        <v>15</v>
      </c>
      <c r="HE15">
        <v>46</v>
      </c>
      <c r="HF15">
        <v>2</v>
      </c>
      <c r="HG15" s="1">
        <v>45496.884722222225</v>
      </c>
      <c r="HH15">
        <v>3</v>
      </c>
      <c r="HI15">
        <v>11</v>
      </c>
      <c r="HJ15">
        <v>10</v>
      </c>
      <c r="HK15">
        <v>2</v>
      </c>
      <c r="HL15" s="1">
        <v>45499.43472222222</v>
      </c>
      <c r="HM15">
        <v>1</v>
      </c>
      <c r="HN15">
        <v>1</v>
      </c>
      <c r="HO15">
        <v>3</v>
      </c>
      <c r="HP15">
        <v>2</v>
      </c>
      <c r="HQ15">
        <v>3</v>
      </c>
      <c r="HR15">
        <v>3</v>
      </c>
      <c r="HS15">
        <v>2</v>
      </c>
      <c r="HT15">
        <v>2</v>
      </c>
      <c r="HU15">
        <v>0</v>
      </c>
      <c r="HV15">
        <v>1</v>
      </c>
      <c r="HW15">
        <v>1</v>
      </c>
      <c r="HX15">
        <v>1</v>
      </c>
      <c r="HY15">
        <v>3</v>
      </c>
      <c r="HZ15">
        <v>2</v>
      </c>
      <c r="IA15">
        <v>2</v>
      </c>
      <c r="IB15">
        <v>0</v>
      </c>
      <c r="IC15">
        <v>1</v>
      </c>
      <c r="ID15">
        <v>1</v>
      </c>
      <c r="IE15">
        <v>3</v>
      </c>
      <c r="IF15">
        <v>2</v>
      </c>
      <c r="IG15">
        <v>2</v>
      </c>
      <c r="IH15">
        <v>34</v>
      </c>
      <c r="II15">
        <v>2</v>
      </c>
      <c r="IJ15" s="1">
        <v>45499.438194444447</v>
      </c>
      <c r="IK15">
        <v>0</v>
      </c>
      <c r="IL15">
        <v>1</v>
      </c>
      <c r="IM15">
        <v>0</v>
      </c>
      <c r="IN15">
        <v>1</v>
      </c>
      <c r="IO15">
        <v>0</v>
      </c>
      <c r="IP15">
        <v>1</v>
      </c>
      <c r="IQ15">
        <v>1</v>
      </c>
      <c r="IR15">
        <v>1</v>
      </c>
      <c r="IS15">
        <v>1</v>
      </c>
      <c r="IT15">
        <v>0</v>
      </c>
      <c r="IU15">
        <v>1</v>
      </c>
      <c r="IV15">
        <v>0</v>
      </c>
      <c r="IW15">
        <v>0</v>
      </c>
      <c r="IX15">
        <v>1</v>
      </c>
      <c r="IY15">
        <v>0</v>
      </c>
      <c r="IZ15">
        <v>0</v>
      </c>
      <c r="JA15">
        <v>1</v>
      </c>
      <c r="JB15">
        <v>1</v>
      </c>
      <c r="JC15">
        <v>1</v>
      </c>
      <c r="JD15">
        <v>0</v>
      </c>
      <c r="JE15">
        <v>30</v>
      </c>
      <c r="JF15">
        <v>2</v>
      </c>
      <c r="JG15">
        <v>3</v>
      </c>
      <c r="JH15">
        <v>1</v>
      </c>
      <c r="JI15">
        <v>0</v>
      </c>
      <c r="JJ15">
        <v>1</v>
      </c>
      <c r="JK15">
        <v>1</v>
      </c>
      <c r="JL15" t="s">
        <v>305</v>
      </c>
      <c r="JM15" t="s">
        <v>306</v>
      </c>
      <c r="JN15">
        <v>11</v>
      </c>
      <c r="JO15">
        <v>9</v>
      </c>
      <c r="JP15">
        <v>2</v>
      </c>
      <c r="JQ15">
        <v>2</v>
      </c>
      <c r="JR15" s="1">
        <v>45499.438888888886</v>
      </c>
      <c r="JS15">
        <v>0</v>
      </c>
      <c r="JT15">
        <v>0</v>
      </c>
      <c r="JU15">
        <v>0</v>
      </c>
      <c r="JV15">
        <v>0</v>
      </c>
      <c r="JW15">
        <v>2</v>
      </c>
      <c r="JX15" s="1">
        <v>45499.438888888886</v>
      </c>
      <c r="JY15">
        <v>73.900000000000006</v>
      </c>
      <c r="JZ15">
        <v>2.9</v>
      </c>
      <c r="KI15">
        <v>5</v>
      </c>
      <c r="KJ15">
        <v>70.5</v>
      </c>
      <c r="KK15">
        <v>5.0999999999999996</v>
      </c>
      <c r="KL15">
        <v>1</v>
      </c>
      <c r="UM15">
        <v>5</v>
      </c>
      <c r="UN15">
        <v>75.400000000000006</v>
      </c>
      <c r="UO15">
        <v>3.9</v>
      </c>
      <c r="UP15">
        <v>3</v>
      </c>
      <c r="UQ15">
        <v>5</v>
      </c>
      <c r="UR15">
        <v>73.599999999999994</v>
      </c>
      <c r="US15">
        <v>4.2</v>
      </c>
      <c r="UT15">
        <v>2</v>
      </c>
      <c r="WM15" t="s">
        <v>307</v>
      </c>
      <c r="WN15">
        <v>73.900000000000006</v>
      </c>
      <c r="WO15">
        <v>2.9</v>
      </c>
      <c r="WP15">
        <v>4</v>
      </c>
      <c r="YQ15">
        <v>2</v>
      </c>
      <c r="YR15" s="1">
        <v>45499.439583333333</v>
      </c>
      <c r="YS15">
        <v>2</v>
      </c>
      <c r="YT15">
        <v>4</v>
      </c>
      <c r="YU15">
        <v>1</v>
      </c>
      <c r="YV15">
        <v>3</v>
      </c>
      <c r="YW15">
        <v>1</v>
      </c>
      <c r="YX15">
        <v>4</v>
      </c>
      <c r="YY15">
        <v>4</v>
      </c>
      <c r="YZ15">
        <v>2</v>
      </c>
      <c r="ZA15">
        <v>1</v>
      </c>
      <c r="ZB15">
        <v>1</v>
      </c>
      <c r="ZC15">
        <v>4</v>
      </c>
      <c r="ZD15">
        <v>1</v>
      </c>
      <c r="ZE15">
        <v>4</v>
      </c>
      <c r="ZF15">
        <v>1</v>
      </c>
      <c r="ZG15">
        <v>4</v>
      </c>
      <c r="ZH15">
        <v>2</v>
      </c>
      <c r="ZI15">
        <v>1</v>
      </c>
      <c r="ZJ15">
        <v>2</v>
      </c>
      <c r="ZK15">
        <v>2</v>
      </c>
      <c r="ZL15">
        <v>3</v>
      </c>
      <c r="ZM15">
        <v>13</v>
      </c>
      <c r="ZN15">
        <v>34</v>
      </c>
      <c r="ZO15">
        <v>2</v>
      </c>
      <c r="ZP15" s="1">
        <v>45499.440972222219</v>
      </c>
      <c r="ZQ15">
        <v>2</v>
      </c>
      <c r="ZR15">
        <v>3</v>
      </c>
      <c r="ZS15">
        <v>1</v>
      </c>
      <c r="ZT15">
        <v>0</v>
      </c>
      <c r="ZU15">
        <v>4</v>
      </c>
      <c r="ZV15">
        <v>2</v>
      </c>
      <c r="ZW15">
        <v>1</v>
      </c>
      <c r="ZX15">
        <v>4</v>
      </c>
      <c r="ZY15">
        <v>2</v>
      </c>
      <c r="ZZ15">
        <v>1</v>
      </c>
      <c r="AAA15">
        <v>3</v>
      </c>
      <c r="AAB15">
        <v>2</v>
      </c>
      <c r="AAC15">
        <v>2</v>
      </c>
      <c r="AAD15">
        <v>3</v>
      </c>
      <c r="AAE15">
        <v>1</v>
      </c>
      <c r="AAF15">
        <v>2</v>
      </c>
      <c r="AAG15">
        <v>0</v>
      </c>
      <c r="AAH15">
        <v>2</v>
      </c>
      <c r="AAI15">
        <v>8</v>
      </c>
      <c r="AAJ15">
        <v>17</v>
      </c>
      <c r="AAK15">
        <v>10</v>
      </c>
      <c r="AAL15">
        <v>35</v>
      </c>
      <c r="AAM15">
        <v>2</v>
      </c>
      <c r="AAN15" s="1">
        <v>45499.442361111112</v>
      </c>
      <c r="AAO15">
        <v>1</v>
      </c>
      <c r="AAP15">
        <v>6</v>
      </c>
      <c r="AAQ15">
        <v>3</v>
      </c>
      <c r="AAR15">
        <v>5</v>
      </c>
      <c r="AAS15">
        <v>5</v>
      </c>
      <c r="AAT15">
        <v>15</v>
      </c>
      <c r="AAU15">
        <v>7</v>
      </c>
      <c r="AAV15">
        <v>8</v>
      </c>
      <c r="AAW15">
        <v>6</v>
      </c>
      <c r="AAX15">
        <v>7</v>
      </c>
      <c r="AAY15">
        <v>7</v>
      </c>
      <c r="AAZ15">
        <v>4</v>
      </c>
      <c r="ABA15">
        <v>7</v>
      </c>
      <c r="ABB15">
        <v>8</v>
      </c>
      <c r="ABC15">
        <v>5</v>
      </c>
      <c r="ABD15">
        <v>4.75</v>
      </c>
      <c r="ABE15">
        <v>6.5714285710000002</v>
      </c>
      <c r="ABF15">
        <v>2</v>
      </c>
      <c r="ABG15" s="1">
        <v>45499.442361111112</v>
      </c>
      <c r="ABH15">
        <v>1</v>
      </c>
      <c r="ABI15">
        <v>0</v>
      </c>
      <c r="ABJ15">
        <v>1</v>
      </c>
      <c r="ABK15">
        <v>0</v>
      </c>
      <c r="ABL15">
        <v>1</v>
      </c>
      <c r="ABM15">
        <v>1</v>
      </c>
      <c r="ABN15">
        <v>1</v>
      </c>
      <c r="ABO15">
        <v>0</v>
      </c>
      <c r="ABP15">
        <v>0</v>
      </c>
      <c r="ABQ15">
        <v>0</v>
      </c>
      <c r="ABR15">
        <v>0</v>
      </c>
      <c r="ABS15">
        <v>0</v>
      </c>
      <c r="ABT15">
        <v>0</v>
      </c>
      <c r="ABU15">
        <v>0</v>
      </c>
      <c r="ABV15">
        <v>0</v>
      </c>
      <c r="ABW15">
        <v>0</v>
      </c>
      <c r="ABX15">
        <v>0</v>
      </c>
      <c r="ABY15">
        <v>0</v>
      </c>
      <c r="ABZ15">
        <v>0</v>
      </c>
      <c r="ACA15">
        <v>1</v>
      </c>
      <c r="ACB15">
        <v>0</v>
      </c>
      <c r="ACC15">
        <v>0</v>
      </c>
      <c r="ACD15">
        <v>1</v>
      </c>
      <c r="ACE15">
        <v>0</v>
      </c>
      <c r="ACF15">
        <v>0</v>
      </c>
      <c r="ACG15">
        <v>0</v>
      </c>
      <c r="ACH15">
        <v>1</v>
      </c>
      <c r="ACI15">
        <v>0</v>
      </c>
      <c r="ACJ15">
        <v>0</v>
      </c>
      <c r="ACK15">
        <v>1</v>
      </c>
      <c r="ACL15">
        <v>0</v>
      </c>
      <c r="ACM15">
        <v>0</v>
      </c>
      <c r="ACN15">
        <v>0</v>
      </c>
      <c r="ACO15">
        <v>0</v>
      </c>
      <c r="ACP15">
        <v>0</v>
      </c>
      <c r="ACQ15">
        <v>1</v>
      </c>
      <c r="ACR15">
        <v>0</v>
      </c>
      <c r="ACS15">
        <v>1</v>
      </c>
      <c r="ACT15">
        <v>0</v>
      </c>
      <c r="ACU15">
        <v>1</v>
      </c>
      <c r="ACV15">
        <v>1</v>
      </c>
      <c r="ACW15">
        <v>1</v>
      </c>
      <c r="ACX15">
        <v>0</v>
      </c>
      <c r="ACY15">
        <v>0</v>
      </c>
      <c r="ACZ15">
        <v>0</v>
      </c>
      <c r="ADA15">
        <v>1</v>
      </c>
      <c r="ADB15">
        <v>0</v>
      </c>
      <c r="ADC15">
        <v>1</v>
      </c>
      <c r="ADD15">
        <v>1</v>
      </c>
      <c r="ADE15">
        <v>0</v>
      </c>
      <c r="ADF15">
        <v>0</v>
      </c>
      <c r="ADG15">
        <v>0</v>
      </c>
      <c r="ADH15">
        <v>0</v>
      </c>
      <c r="ADI15">
        <v>1</v>
      </c>
      <c r="ADJ15">
        <v>1</v>
      </c>
      <c r="ADK15">
        <v>0</v>
      </c>
      <c r="ADL15">
        <v>0</v>
      </c>
      <c r="ADM15">
        <v>1</v>
      </c>
      <c r="ADN15">
        <v>0</v>
      </c>
      <c r="ADO15">
        <v>0</v>
      </c>
      <c r="ADP15">
        <v>1</v>
      </c>
      <c r="ADQ15">
        <v>0</v>
      </c>
      <c r="ADR15">
        <v>0</v>
      </c>
      <c r="ADS15">
        <v>1</v>
      </c>
      <c r="ADT15">
        <v>0</v>
      </c>
      <c r="ADU15">
        <v>0</v>
      </c>
      <c r="ADV15">
        <v>1</v>
      </c>
      <c r="ADW15">
        <v>0</v>
      </c>
      <c r="ADX15">
        <v>0</v>
      </c>
      <c r="ADY15">
        <v>0</v>
      </c>
      <c r="ADZ15">
        <v>0</v>
      </c>
      <c r="AEA15">
        <v>0</v>
      </c>
      <c r="AEB15">
        <v>1</v>
      </c>
      <c r="AEC15">
        <v>0</v>
      </c>
      <c r="AEE15">
        <v>2</v>
      </c>
      <c r="AEF15" s="1">
        <v>45499.443749999999</v>
      </c>
      <c r="AEG15">
        <v>3</v>
      </c>
      <c r="AEH15">
        <v>0</v>
      </c>
      <c r="AEI15">
        <v>2</v>
      </c>
      <c r="AEJ15">
        <v>0</v>
      </c>
      <c r="AEK15">
        <v>1</v>
      </c>
      <c r="AEL15">
        <v>1</v>
      </c>
      <c r="AEM15">
        <v>3</v>
      </c>
      <c r="AEN15">
        <v>0</v>
      </c>
      <c r="AEO15">
        <v>1</v>
      </c>
      <c r="AEP15">
        <v>0</v>
      </c>
      <c r="AEQ15">
        <v>2</v>
      </c>
      <c r="AER15">
        <v>1</v>
      </c>
      <c r="AES15">
        <v>3</v>
      </c>
      <c r="AET15">
        <v>0</v>
      </c>
      <c r="AEU15">
        <v>1</v>
      </c>
      <c r="AEV15">
        <v>2</v>
      </c>
      <c r="AEW15">
        <v>2</v>
      </c>
      <c r="AEX15">
        <v>2</v>
      </c>
      <c r="AEY15">
        <v>2</v>
      </c>
      <c r="AEZ15">
        <v>2</v>
      </c>
      <c r="AFA15">
        <v>2</v>
      </c>
      <c r="AFB15">
        <v>3</v>
      </c>
      <c r="AFC15">
        <v>3</v>
      </c>
      <c r="AFD15">
        <v>1</v>
      </c>
      <c r="AFE15">
        <v>0</v>
      </c>
      <c r="AFF15">
        <v>0</v>
      </c>
      <c r="AFG15">
        <v>0</v>
      </c>
      <c r="AFH15">
        <v>1</v>
      </c>
      <c r="AFI15">
        <v>3</v>
      </c>
      <c r="AFJ15">
        <v>1</v>
      </c>
      <c r="AFK15">
        <v>9</v>
      </c>
      <c r="AFL15">
        <v>10</v>
      </c>
      <c r="AFM15">
        <v>2</v>
      </c>
      <c r="AFN15">
        <v>13</v>
      </c>
      <c r="AFO15">
        <v>7</v>
      </c>
      <c r="AFP15">
        <v>1</v>
      </c>
      <c r="AFQ15">
        <v>40</v>
      </c>
      <c r="AFR15">
        <v>2</v>
      </c>
      <c r="AFS15" s="1">
        <v>45499.445138888892</v>
      </c>
      <c r="AFT15">
        <v>2</v>
      </c>
      <c r="AFU15">
        <v>2</v>
      </c>
      <c r="AFV15">
        <v>3</v>
      </c>
      <c r="AFW15">
        <v>3</v>
      </c>
      <c r="AFX15">
        <v>1</v>
      </c>
      <c r="AFY15">
        <v>2</v>
      </c>
      <c r="AFZ15">
        <v>2</v>
      </c>
      <c r="AGA15">
        <v>1</v>
      </c>
      <c r="AGB15">
        <v>2</v>
      </c>
      <c r="AGC15">
        <v>2</v>
      </c>
      <c r="AGD15">
        <v>1</v>
      </c>
      <c r="AGE15">
        <v>3</v>
      </c>
      <c r="AGF15">
        <v>2</v>
      </c>
      <c r="AGG15">
        <v>4</v>
      </c>
      <c r="AGH15">
        <v>1</v>
      </c>
      <c r="AGI15">
        <v>1</v>
      </c>
      <c r="AGJ15">
        <v>3</v>
      </c>
      <c r="AGK15">
        <v>2</v>
      </c>
      <c r="AGL15">
        <v>1</v>
      </c>
      <c r="AGM15">
        <v>2</v>
      </c>
      <c r="AGN15">
        <v>62</v>
      </c>
      <c r="AGO15">
        <v>2</v>
      </c>
      <c r="AGP15" s="1">
        <v>45499.445138888892</v>
      </c>
      <c r="AGQ15">
        <v>0</v>
      </c>
      <c r="AGV15">
        <v>0</v>
      </c>
      <c r="AGW15">
        <v>0</v>
      </c>
      <c r="AGX15">
        <v>0</v>
      </c>
      <c r="AGY15">
        <v>0</v>
      </c>
      <c r="AGZ15">
        <v>0</v>
      </c>
      <c r="AHB15">
        <v>2</v>
      </c>
      <c r="AHC15" s="1">
        <v>45499.448611111111</v>
      </c>
      <c r="AHD15" t="s">
        <v>212</v>
      </c>
      <c r="AHE15" t="s">
        <v>212</v>
      </c>
      <c r="AHF15">
        <v>8</v>
      </c>
      <c r="AHG15">
        <v>3</v>
      </c>
      <c r="AHH15">
        <v>8</v>
      </c>
      <c r="AHI15" t="s">
        <v>308</v>
      </c>
      <c r="AHJ15" t="s">
        <v>309</v>
      </c>
      <c r="AHK15" t="s">
        <v>310</v>
      </c>
      <c r="AHL15" t="s">
        <v>212</v>
      </c>
      <c r="AHM15" t="s">
        <v>311</v>
      </c>
      <c r="AHN15">
        <v>7</v>
      </c>
      <c r="AHO15">
        <v>4</v>
      </c>
      <c r="AHP15">
        <v>8</v>
      </c>
      <c r="AHQ15" t="s">
        <v>312</v>
      </c>
      <c r="AHR15" t="s">
        <v>313</v>
      </c>
      <c r="AHS15" t="s">
        <v>212</v>
      </c>
      <c r="AHT15" t="s">
        <v>314</v>
      </c>
      <c r="AHU15" t="s">
        <v>211</v>
      </c>
    </row>
    <row r="16" spans="1:905">
      <c r="A16">
        <v>146</v>
      </c>
      <c r="B16" t="s">
        <v>205</v>
      </c>
      <c r="C16" t="s">
        <v>315</v>
      </c>
      <c r="D16">
        <v>2</v>
      </c>
      <c r="E16">
        <v>2</v>
      </c>
      <c r="F16">
        <v>27</v>
      </c>
      <c r="G16">
        <v>68</v>
      </c>
      <c r="H16">
        <v>178</v>
      </c>
      <c r="I16">
        <v>0</v>
      </c>
      <c r="J16">
        <v>3</v>
      </c>
      <c r="L16" t="s">
        <v>316</v>
      </c>
      <c r="M16">
        <v>2</v>
      </c>
      <c r="N16" s="1">
        <v>45495.694444444445</v>
      </c>
      <c r="O16">
        <v>7</v>
      </c>
      <c r="P16">
        <v>0</v>
      </c>
      <c r="R16">
        <v>0</v>
      </c>
      <c r="S16">
        <v>1</v>
      </c>
      <c r="T16">
        <v>0</v>
      </c>
      <c r="U16">
        <v>0</v>
      </c>
      <c r="V16">
        <v>0</v>
      </c>
      <c r="W16">
        <v>0</v>
      </c>
      <c r="X16">
        <v>0</v>
      </c>
      <c r="Y16">
        <v>0</v>
      </c>
      <c r="Z16">
        <v>0</v>
      </c>
      <c r="AA16">
        <v>0</v>
      </c>
      <c r="AB16">
        <v>0</v>
      </c>
      <c r="AC16" t="s">
        <v>208</v>
      </c>
      <c r="AD16">
        <v>2</v>
      </c>
      <c r="AE16" s="1">
        <v>45495.695138888892</v>
      </c>
      <c r="AF16">
        <v>2</v>
      </c>
      <c r="AG16">
        <v>2</v>
      </c>
      <c r="AH16">
        <v>2</v>
      </c>
      <c r="AI16">
        <v>2</v>
      </c>
      <c r="AJ16">
        <v>1</v>
      </c>
      <c r="AK16">
        <v>1</v>
      </c>
      <c r="AL16">
        <v>2</v>
      </c>
      <c r="AM16">
        <v>2</v>
      </c>
      <c r="AN16">
        <v>2</v>
      </c>
      <c r="AO16">
        <v>2</v>
      </c>
      <c r="AP16">
        <v>2</v>
      </c>
      <c r="AQ16">
        <v>2</v>
      </c>
      <c r="AR16">
        <v>2</v>
      </c>
      <c r="AS16">
        <v>1</v>
      </c>
      <c r="AT16">
        <v>2</v>
      </c>
      <c r="AU16">
        <v>2</v>
      </c>
      <c r="AV16">
        <v>2</v>
      </c>
      <c r="AW16">
        <v>2</v>
      </c>
      <c r="AX16">
        <v>2</v>
      </c>
      <c r="AY16">
        <v>2</v>
      </c>
      <c r="AZ16">
        <v>50</v>
      </c>
      <c r="BA16">
        <v>2</v>
      </c>
      <c r="BB16" s="1">
        <v>45495.695833333331</v>
      </c>
      <c r="BC16">
        <v>12</v>
      </c>
      <c r="BD16">
        <v>2</v>
      </c>
      <c r="BE16">
        <v>1</v>
      </c>
      <c r="BI16" s="2">
        <v>45468</v>
      </c>
      <c r="BM16">
        <v>30</v>
      </c>
      <c r="BN16">
        <v>7</v>
      </c>
      <c r="BO16">
        <v>1</v>
      </c>
      <c r="BP16">
        <v>1</v>
      </c>
      <c r="BQ16">
        <v>0</v>
      </c>
      <c r="BR16">
        <v>0</v>
      </c>
      <c r="BS16">
        <v>0</v>
      </c>
      <c r="BT16">
        <v>0</v>
      </c>
      <c r="BU16">
        <v>0</v>
      </c>
      <c r="BV16">
        <v>0</v>
      </c>
      <c r="BW16">
        <v>0</v>
      </c>
      <c r="BY16">
        <v>2</v>
      </c>
      <c r="BZ16" s="1">
        <v>45495.696527777778</v>
      </c>
      <c r="CA16">
        <v>3</v>
      </c>
      <c r="CB16">
        <v>4</v>
      </c>
      <c r="CC16">
        <v>2</v>
      </c>
      <c r="CD16">
        <v>4</v>
      </c>
      <c r="CE16">
        <v>3</v>
      </c>
      <c r="CF16">
        <v>3</v>
      </c>
      <c r="CG16">
        <v>4</v>
      </c>
      <c r="CH16">
        <v>2</v>
      </c>
      <c r="CI16">
        <v>2</v>
      </c>
      <c r="CJ16">
        <v>4</v>
      </c>
      <c r="CK16">
        <v>2</v>
      </c>
      <c r="CL16">
        <v>3</v>
      </c>
      <c r="CM16">
        <v>2</v>
      </c>
      <c r="CN16">
        <v>2</v>
      </c>
      <c r="CO16">
        <v>4</v>
      </c>
      <c r="CP16">
        <v>2</v>
      </c>
      <c r="CQ16">
        <v>2</v>
      </c>
      <c r="CR16">
        <v>2</v>
      </c>
      <c r="CS16">
        <v>3</v>
      </c>
      <c r="CT16">
        <v>3</v>
      </c>
      <c r="CU16">
        <v>9</v>
      </c>
      <c r="CV16">
        <v>9</v>
      </c>
      <c r="CW16">
        <v>14</v>
      </c>
      <c r="CX16">
        <v>32</v>
      </c>
      <c r="CY16">
        <v>26</v>
      </c>
      <c r="CZ16">
        <v>2</v>
      </c>
      <c r="DA16" s="1">
        <v>45495.729861111111</v>
      </c>
      <c r="DB16">
        <v>0</v>
      </c>
      <c r="DC16">
        <v>0</v>
      </c>
      <c r="DD16">
        <v>1</v>
      </c>
      <c r="DE16">
        <v>0</v>
      </c>
      <c r="DF16">
        <v>0</v>
      </c>
      <c r="DG16">
        <v>0</v>
      </c>
      <c r="DH16">
        <v>0</v>
      </c>
      <c r="DI16">
        <v>1</v>
      </c>
      <c r="DJ16">
        <v>0</v>
      </c>
      <c r="DK16">
        <v>0</v>
      </c>
      <c r="DL16">
        <v>1</v>
      </c>
      <c r="DM16">
        <v>0</v>
      </c>
      <c r="DN16">
        <v>0</v>
      </c>
      <c r="DO16">
        <v>0</v>
      </c>
      <c r="DP16">
        <v>0</v>
      </c>
      <c r="DQ16">
        <v>0</v>
      </c>
      <c r="DR16">
        <v>0</v>
      </c>
      <c r="DS16">
        <v>0</v>
      </c>
      <c r="DT16">
        <v>0</v>
      </c>
      <c r="DU16">
        <v>1</v>
      </c>
      <c r="DV16">
        <v>0</v>
      </c>
      <c r="DW16">
        <v>0</v>
      </c>
      <c r="DX16">
        <v>1</v>
      </c>
      <c r="DY16">
        <v>0</v>
      </c>
      <c r="DZ16">
        <v>0</v>
      </c>
      <c r="EA16">
        <v>0</v>
      </c>
      <c r="EB16">
        <v>0</v>
      </c>
      <c r="EC16">
        <v>0</v>
      </c>
      <c r="ED16">
        <v>0</v>
      </c>
      <c r="EE16">
        <v>1</v>
      </c>
      <c r="EF16">
        <v>0</v>
      </c>
      <c r="EG16">
        <v>0</v>
      </c>
      <c r="EH16">
        <v>0</v>
      </c>
      <c r="EI16">
        <v>0</v>
      </c>
      <c r="EJ16">
        <v>1</v>
      </c>
      <c r="EK16">
        <v>0</v>
      </c>
      <c r="EL16">
        <v>0</v>
      </c>
      <c r="EM16">
        <v>1</v>
      </c>
      <c r="EN16">
        <v>0</v>
      </c>
      <c r="EO16">
        <v>0</v>
      </c>
      <c r="EP16">
        <v>1</v>
      </c>
      <c r="EQ16">
        <v>0</v>
      </c>
      <c r="ER16">
        <v>0</v>
      </c>
      <c r="ES16">
        <v>0</v>
      </c>
      <c r="ET16">
        <v>0</v>
      </c>
      <c r="EU16">
        <v>0</v>
      </c>
      <c r="EV16">
        <v>0</v>
      </c>
      <c r="EW16">
        <v>0</v>
      </c>
      <c r="EX16">
        <v>0</v>
      </c>
      <c r="EY16">
        <v>1</v>
      </c>
      <c r="EZ16">
        <v>0</v>
      </c>
      <c r="FA16">
        <v>0</v>
      </c>
      <c r="FB16">
        <v>0</v>
      </c>
      <c r="FC16">
        <v>0</v>
      </c>
      <c r="FD16">
        <v>1</v>
      </c>
      <c r="FE16">
        <v>0</v>
      </c>
      <c r="FF16">
        <v>1</v>
      </c>
      <c r="FG16">
        <v>0</v>
      </c>
      <c r="FH16">
        <v>0</v>
      </c>
      <c r="FI16">
        <v>0</v>
      </c>
      <c r="FJ16">
        <v>0</v>
      </c>
      <c r="FK16">
        <v>0</v>
      </c>
      <c r="FL16">
        <v>0</v>
      </c>
      <c r="FM16">
        <v>1</v>
      </c>
      <c r="FN16">
        <v>0</v>
      </c>
      <c r="FO16">
        <v>0</v>
      </c>
      <c r="FP16">
        <v>0</v>
      </c>
      <c r="FQ16">
        <v>1</v>
      </c>
      <c r="FR16">
        <v>0</v>
      </c>
      <c r="FS16">
        <v>0</v>
      </c>
      <c r="FT16">
        <v>0</v>
      </c>
      <c r="FU16">
        <v>1</v>
      </c>
      <c r="FV16">
        <v>0</v>
      </c>
      <c r="FW16">
        <v>0</v>
      </c>
      <c r="FX16">
        <v>0</v>
      </c>
      <c r="FY16">
        <v>0</v>
      </c>
      <c r="FZ16">
        <v>0</v>
      </c>
      <c r="GA16">
        <v>0</v>
      </c>
      <c r="GB16">
        <v>0</v>
      </c>
      <c r="GC16">
        <v>1</v>
      </c>
      <c r="GD16">
        <v>1</v>
      </c>
      <c r="GE16">
        <v>1</v>
      </c>
      <c r="GF16">
        <v>0</v>
      </c>
      <c r="GG16">
        <v>0</v>
      </c>
      <c r="GH16">
        <v>0</v>
      </c>
      <c r="GI16">
        <v>2</v>
      </c>
      <c r="GJ16" s="1">
        <v>45495.730555555558</v>
      </c>
      <c r="GK16">
        <v>1</v>
      </c>
      <c r="GL16">
        <v>3</v>
      </c>
      <c r="GM16">
        <v>3</v>
      </c>
      <c r="GN16">
        <v>2</v>
      </c>
      <c r="GO16">
        <v>3</v>
      </c>
      <c r="GP16">
        <v>3</v>
      </c>
      <c r="GQ16">
        <v>3</v>
      </c>
      <c r="GR16">
        <v>2</v>
      </c>
      <c r="GS16">
        <v>3</v>
      </c>
      <c r="GT16">
        <v>3</v>
      </c>
      <c r="GU16">
        <v>2</v>
      </c>
      <c r="GV16">
        <v>2</v>
      </c>
      <c r="GW16">
        <v>3</v>
      </c>
      <c r="GX16">
        <v>3</v>
      </c>
      <c r="GY16">
        <v>1</v>
      </c>
      <c r="GZ16">
        <v>3</v>
      </c>
      <c r="HA16">
        <v>3</v>
      </c>
      <c r="HB16">
        <v>2</v>
      </c>
      <c r="HC16">
        <v>17</v>
      </c>
      <c r="HD16">
        <v>12</v>
      </c>
      <c r="HE16">
        <v>40</v>
      </c>
      <c r="HF16">
        <v>2</v>
      </c>
      <c r="HG16" s="1">
        <v>45495.730555555558</v>
      </c>
      <c r="HH16">
        <v>3</v>
      </c>
      <c r="HI16">
        <v>5</v>
      </c>
      <c r="HJ16">
        <v>6</v>
      </c>
      <c r="HK16">
        <v>2</v>
      </c>
      <c r="HL16" s="1">
        <v>45503.40625</v>
      </c>
      <c r="HM16">
        <v>0</v>
      </c>
      <c r="HN16">
        <v>0</v>
      </c>
      <c r="HO16">
        <v>0</v>
      </c>
      <c r="HP16">
        <v>0</v>
      </c>
      <c r="HQ16">
        <v>0</v>
      </c>
      <c r="HR16">
        <v>0</v>
      </c>
      <c r="HS16">
        <v>0</v>
      </c>
      <c r="HT16">
        <v>0</v>
      </c>
      <c r="HU16">
        <v>0</v>
      </c>
      <c r="HV16">
        <v>1</v>
      </c>
      <c r="HW16">
        <v>1</v>
      </c>
      <c r="HX16">
        <v>1</v>
      </c>
      <c r="HY16">
        <v>1</v>
      </c>
      <c r="HZ16">
        <v>0</v>
      </c>
      <c r="IA16">
        <v>2</v>
      </c>
      <c r="IB16">
        <v>2</v>
      </c>
      <c r="IC16">
        <v>1</v>
      </c>
      <c r="ID16">
        <v>1</v>
      </c>
      <c r="IE16">
        <v>2</v>
      </c>
      <c r="IF16">
        <v>2</v>
      </c>
      <c r="IG16">
        <v>0</v>
      </c>
      <c r="IH16">
        <v>14</v>
      </c>
      <c r="II16">
        <v>2</v>
      </c>
      <c r="IJ16" s="1">
        <v>45503.407638888886</v>
      </c>
      <c r="IK16">
        <v>1</v>
      </c>
      <c r="IL16">
        <v>1</v>
      </c>
      <c r="IM16">
        <v>1</v>
      </c>
      <c r="IN16">
        <v>1</v>
      </c>
      <c r="IO16">
        <v>1</v>
      </c>
      <c r="IP16">
        <v>1</v>
      </c>
      <c r="IQ16">
        <v>1</v>
      </c>
      <c r="IR16">
        <v>0</v>
      </c>
      <c r="IS16">
        <v>0</v>
      </c>
      <c r="IT16">
        <v>0</v>
      </c>
      <c r="IU16">
        <v>1</v>
      </c>
      <c r="IV16">
        <v>1</v>
      </c>
      <c r="IW16">
        <v>1</v>
      </c>
      <c r="IX16">
        <v>1</v>
      </c>
      <c r="IY16">
        <v>0</v>
      </c>
      <c r="IZ16">
        <v>0</v>
      </c>
      <c r="JA16">
        <v>1</v>
      </c>
      <c r="JB16">
        <v>1</v>
      </c>
      <c r="JC16">
        <v>1</v>
      </c>
      <c r="JD16">
        <v>0</v>
      </c>
      <c r="JE16">
        <v>5</v>
      </c>
      <c r="JF16">
        <v>2</v>
      </c>
      <c r="JG16">
        <v>2</v>
      </c>
      <c r="JH16">
        <v>2</v>
      </c>
      <c r="JI16">
        <v>1</v>
      </c>
      <c r="JJ16">
        <v>1</v>
      </c>
      <c r="JK16">
        <v>1</v>
      </c>
      <c r="JL16" t="s">
        <v>317</v>
      </c>
      <c r="JM16" t="s">
        <v>318</v>
      </c>
      <c r="JN16">
        <v>14</v>
      </c>
      <c r="JO16">
        <v>9</v>
      </c>
      <c r="JP16">
        <v>3</v>
      </c>
      <c r="JQ16">
        <v>2</v>
      </c>
      <c r="JR16" s="1">
        <v>45503.407638888886</v>
      </c>
      <c r="JS16">
        <v>0</v>
      </c>
      <c r="JT16">
        <v>0</v>
      </c>
      <c r="JU16">
        <v>6</v>
      </c>
      <c r="JV16">
        <v>6</v>
      </c>
      <c r="JW16">
        <v>2</v>
      </c>
      <c r="JX16" s="1">
        <v>45503.407638888886</v>
      </c>
      <c r="JY16">
        <v>65.900000000000006</v>
      </c>
      <c r="JZ16">
        <v>2.2999999999999998</v>
      </c>
      <c r="KI16">
        <v>4</v>
      </c>
      <c r="KJ16">
        <v>62.3</v>
      </c>
      <c r="KK16">
        <v>4.2</v>
      </c>
      <c r="KL16">
        <v>1</v>
      </c>
      <c r="UA16">
        <v>4</v>
      </c>
      <c r="UB16">
        <v>65.900000000000006</v>
      </c>
      <c r="UC16">
        <v>2.2999999999999998</v>
      </c>
      <c r="UD16">
        <v>4</v>
      </c>
      <c r="WQ16">
        <v>5</v>
      </c>
      <c r="WR16">
        <v>66.3</v>
      </c>
      <c r="WS16">
        <v>2.6</v>
      </c>
      <c r="WT16">
        <v>3</v>
      </c>
      <c r="XG16">
        <v>4</v>
      </c>
      <c r="XH16">
        <v>63.9</v>
      </c>
      <c r="XI16">
        <v>3</v>
      </c>
      <c r="XJ16">
        <v>2</v>
      </c>
      <c r="YQ16">
        <v>2</v>
      </c>
      <c r="YR16" s="1">
        <v>45503.408333333333</v>
      </c>
      <c r="YS16">
        <v>3</v>
      </c>
      <c r="YT16">
        <v>3</v>
      </c>
      <c r="YU16">
        <v>2</v>
      </c>
      <c r="YV16">
        <v>3</v>
      </c>
      <c r="YW16">
        <v>1</v>
      </c>
      <c r="YX16">
        <v>1</v>
      </c>
      <c r="YY16">
        <v>1</v>
      </c>
      <c r="YZ16">
        <v>1</v>
      </c>
      <c r="ZA16">
        <v>2</v>
      </c>
      <c r="ZB16">
        <v>3</v>
      </c>
      <c r="ZC16">
        <v>3</v>
      </c>
      <c r="ZD16">
        <v>2</v>
      </c>
      <c r="ZE16">
        <v>1</v>
      </c>
      <c r="ZF16">
        <v>2</v>
      </c>
      <c r="ZG16">
        <v>2</v>
      </c>
      <c r="ZH16">
        <v>3</v>
      </c>
      <c r="ZI16">
        <v>2</v>
      </c>
      <c r="ZJ16">
        <v>2</v>
      </c>
      <c r="ZK16">
        <v>2</v>
      </c>
      <c r="ZL16">
        <v>1</v>
      </c>
      <c r="ZM16">
        <v>22</v>
      </c>
      <c r="ZN16">
        <v>18</v>
      </c>
      <c r="ZO16">
        <v>2</v>
      </c>
      <c r="ZP16" s="1">
        <v>45503.408333333333</v>
      </c>
      <c r="ZQ16">
        <v>1</v>
      </c>
      <c r="ZR16">
        <v>2</v>
      </c>
      <c r="ZS16">
        <v>1</v>
      </c>
      <c r="ZT16">
        <v>0</v>
      </c>
      <c r="ZU16">
        <v>1</v>
      </c>
      <c r="ZV16">
        <v>2</v>
      </c>
      <c r="ZW16">
        <v>1</v>
      </c>
      <c r="ZX16">
        <v>1</v>
      </c>
      <c r="ZY16">
        <v>0</v>
      </c>
      <c r="ZZ16">
        <v>1</v>
      </c>
      <c r="AAA16">
        <v>0</v>
      </c>
      <c r="AAB16">
        <v>0</v>
      </c>
      <c r="AAC16">
        <v>1</v>
      </c>
      <c r="AAD16">
        <v>0</v>
      </c>
      <c r="AAE16">
        <v>1</v>
      </c>
      <c r="AAF16">
        <v>3</v>
      </c>
      <c r="AAG16">
        <v>0</v>
      </c>
      <c r="AAH16">
        <v>0</v>
      </c>
      <c r="AAI16">
        <v>7</v>
      </c>
      <c r="AAJ16">
        <v>4</v>
      </c>
      <c r="AAK16">
        <v>4</v>
      </c>
      <c r="AAL16">
        <v>15</v>
      </c>
      <c r="AAM16">
        <v>2</v>
      </c>
      <c r="AAN16" s="1">
        <v>45503.40902777778</v>
      </c>
      <c r="AAO16">
        <v>1</v>
      </c>
      <c r="AAP16">
        <v>7</v>
      </c>
      <c r="AAQ16">
        <v>4</v>
      </c>
      <c r="AAR16">
        <v>7</v>
      </c>
      <c r="AAS16">
        <v>5</v>
      </c>
      <c r="AAT16">
        <v>16</v>
      </c>
      <c r="AAU16">
        <v>5</v>
      </c>
      <c r="AAV16">
        <v>6</v>
      </c>
      <c r="AAW16">
        <v>0</v>
      </c>
      <c r="AAX16">
        <v>7</v>
      </c>
      <c r="AAY16">
        <v>7</v>
      </c>
      <c r="AAZ16">
        <v>7</v>
      </c>
      <c r="ABA16">
        <v>8</v>
      </c>
      <c r="ABB16">
        <v>8</v>
      </c>
      <c r="ABC16">
        <v>8</v>
      </c>
      <c r="ABD16">
        <v>5.75</v>
      </c>
      <c r="ABE16">
        <v>7.4285714289999998</v>
      </c>
      <c r="ABF16">
        <v>2</v>
      </c>
      <c r="ABG16" s="1">
        <v>45503.409722222219</v>
      </c>
      <c r="ABH16">
        <v>1</v>
      </c>
      <c r="ABI16">
        <v>1</v>
      </c>
      <c r="ABJ16">
        <v>0</v>
      </c>
      <c r="ABK16">
        <v>0</v>
      </c>
      <c r="ABL16">
        <v>1</v>
      </c>
      <c r="ABM16">
        <v>1</v>
      </c>
      <c r="ABN16">
        <v>1</v>
      </c>
      <c r="ABO16">
        <v>0</v>
      </c>
      <c r="ABP16">
        <v>0</v>
      </c>
      <c r="ABQ16">
        <v>1</v>
      </c>
      <c r="ABR16">
        <v>1</v>
      </c>
      <c r="ABS16">
        <v>1</v>
      </c>
      <c r="ABT16">
        <v>0</v>
      </c>
      <c r="ABU16">
        <v>0</v>
      </c>
      <c r="ABV16">
        <v>1</v>
      </c>
      <c r="ABW16">
        <v>0</v>
      </c>
      <c r="ABX16">
        <v>0</v>
      </c>
      <c r="ABY16">
        <v>1</v>
      </c>
      <c r="ABZ16">
        <v>1</v>
      </c>
      <c r="ACA16">
        <v>1</v>
      </c>
      <c r="ACB16">
        <v>0</v>
      </c>
      <c r="ACC16">
        <v>0</v>
      </c>
      <c r="ACD16">
        <v>1</v>
      </c>
      <c r="ACE16">
        <v>1</v>
      </c>
      <c r="ACF16">
        <v>1</v>
      </c>
      <c r="ACG16">
        <v>0</v>
      </c>
      <c r="ACH16">
        <v>0</v>
      </c>
      <c r="ACI16">
        <v>1</v>
      </c>
      <c r="ACJ16">
        <v>0</v>
      </c>
      <c r="ACK16">
        <v>0</v>
      </c>
      <c r="ACL16">
        <v>1</v>
      </c>
      <c r="ACM16">
        <v>1</v>
      </c>
      <c r="ACN16">
        <v>1</v>
      </c>
      <c r="ACO16">
        <v>1</v>
      </c>
      <c r="ACP16">
        <v>0</v>
      </c>
      <c r="ACQ16">
        <v>0</v>
      </c>
      <c r="ACR16">
        <v>0</v>
      </c>
      <c r="ACS16">
        <v>0</v>
      </c>
      <c r="ACT16">
        <v>0</v>
      </c>
      <c r="ACU16">
        <v>0</v>
      </c>
      <c r="ACV16">
        <v>1</v>
      </c>
      <c r="ACW16">
        <v>1</v>
      </c>
      <c r="ACX16">
        <v>1</v>
      </c>
      <c r="ACY16">
        <v>1</v>
      </c>
      <c r="ACZ16">
        <v>1</v>
      </c>
      <c r="ADA16">
        <v>1</v>
      </c>
      <c r="ADB16">
        <v>1</v>
      </c>
      <c r="ADC16">
        <v>1</v>
      </c>
      <c r="ADD16">
        <v>1</v>
      </c>
      <c r="ADE16">
        <v>1</v>
      </c>
      <c r="ADF16">
        <v>0</v>
      </c>
      <c r="ADG16">
        <v>0</v>
      </c>
      <c r="ADH16">
        <v>1</v>
      </c>
      <c r="ADI16">
        <v>1</v>
      </c>
      <c r="ADJ16">
        <v>1</v>
      </c>
      <c r="ADK16">
        <v>1</v>
      </c>
      <c r="ADL16">
        <v>1</v>
      </c>
      <c r="ADM16">
        <v>1</v>
      </c>
      <c r="ADN16">
        <v>1</v>
      </c>
      <c r="ADO16">
        <v>1</v>
      </c>
      <c r="ADP16">
        <v>1</v>
      </c>
      <c r="ADQ16">
        <v>1</v>
      </c>
      <c r="ADR16">
        <v>0</v>
      </c>
      <c r="ADS16">
        <v>0</v>
      </c>
      <c r="ADT16">
        <v>0</v>
      </c>
      <c r="ADU16">
        <v>0</v>
      </c>
      <c r="ADV16">
        <v>0</v>
      </c>
      <c r="ADW16">
        <v>0</v>
      </c>
      <c r="ADX16">
        <v>1</v>
      </c>
      <c r="ADY16">
        <v>1</v>
      </c>
      <c r="ADZ16">
        <v>1</v>
      </c>
      <c r="AEA16">
        <v>1</v>
      </c>
      <c r="AEB16">
        <v>0</v>
      </c>
      <c r="AEC16">
        <v>0</v>
      </c>
      <c r="AEE16">
        <v>2</v>
      </c>
      <c r="AEF16" s="1">
        <v>45503.410416666666</v>
      </c>
      <c r="AEG16">
        <v>1</v>
      </c>
      <c r="AEH16">
        <v>0</v>
      </c>
      <c r="AEI16">
        <v>4</v>
      </c>
      <c r="AEJ16">
        <v>0</v>
      </c>
      <c r="AEK16">
        <v>0</v>
      </c>
      <c r="AEL16">
        <v>0</v>
      </c>
      <c r="AEM16">
        <v>1</v>
      </c>
      <c r="AEN16">
        <v>0</v>
      </c>
      <c r="AEO16">
        <v>0</v>
      </c>
      <c r="AEP16">
        <v>0</v>
      </c>
      <c r="AEQ16">
        <v>0</v>
      </c>
      <c r="AER16">
        <v>0</v>
      </c>
      <c r="AES16">
        <v>4</v>
      </c>
      <c r="AET16">
        <v>0</v>
      </c>
      <c r="AEU16">
        <v>1</v>
      </c>
      <c r="AEV16">
        <v>0</v>
      </c>
      <c r="AEW16">
        <v>1</v>
      </c>
      <c r="AEX16">
        <v>2</v>
      </c>
      <c r="AEY16">
        <v>4</v>
      </c>
      <c r="AEZ16">
        <v>0</v>
      </c>
      <c r="AFA16">
        <v>1</v>
      </c>
      <c r="AFB16">
        <v>4</v>
      </c>
      <c r="AFC16">
        <v>1</v>
      </c>
      <c r="AFD16">
        <v>0</v>
      </c>
      <c r="AFE16">
        <v>0</v>
      </c>
      <c r="AFF16">
        <v>1</v>
      </c>
      <c r="AFG16">
        <v>0</v>
      </c>
      <c r="AFH16">
        <v>0</v>
      </c>
      <c r="AFI16">
        <v>2</v>
      </c>
      <c r="AFJ16">
        <v>0</v>
      </c>
      <c r="AFK16">
        <v>1</v>
      </c>
      <c r="AFL16">
        <v>4</v>
      </c>
      <c r="AFM16">
        <v>0</v>
      </c>
      <c r="AFN16">
        <v>17</v>
      </c>
      <c r="AFO16">
        <v>5</v>
      </c>
      <c r="AFP16">
        <v>0</v>
      </c>
      <c r="AFQ16">
        <v>27</v>
      </c>
      <c r="AFR16">
        <v>2</v>
      </c>
      <c r="AFS16" s="1">
        <v>45503.410416666666</v>
      </c>
      <c r="AFT16">
        <v>3</v>
      </c>
      <c r="AFU16">
        <v>3</v>
      </c>
      <c r="AFV16">
        <v>2</v>
      </c>
      <c r="AFW16">
        <v>3</v>
      </c>
      <c r="AFX16">
        <v>2</v>
      </c>
      <c r="AFY16">
        <v>1</v>
      </c>
      <c r="AFZ16">
        <v>1</v>
      </c>
      <c r="AGA16">
        <v>3</v>
      </c>
      <c r="AGB16">
        <v>1</v>
      </c>
      <c r="AGC16">
        <v>3</v>
      </c>
      <c r="AGD16">
        <v>3</v>
      </c>
      <c r="AGE16">
        <v>1</v>
      </c>
      <c r="AGF16">
        <v>1</v>
      </c>
      <c r="AGG16">
        <v>2</v>
      </c>
      <c r="AGH16">
        <v>2</v>
      </c>
      <c r="AGI16">
        <v>3</v>
      </c>
      <c r="AGJ16">
        <v>1</v>
      </c>
      <c r="AGK16">
        <v>1</v>
      </c>
      <c r="AGL16">
        <v>2</v>
      </c>
      <c r="AGM16">
        <v>2</v>
      </c>
      <c r="AGN16">
        <v>38</v>
      </c>
      <c r="AGO16">
        <v>2</v>
      </c>
      <c r="AGP16" s="1">
        <v>45503.411111111112</v>
      </c>
      <c r="AGQ16">
        <v>0</v>
      </c>
      <c r="AGV16">
        <v>0</v>
      </c>
      <c r="AGW16">
        <v>0</v>
      </c>
      <c r="AGX16">
        <v>0</v>
      </c>
      <c r="AGY16">
        <v>0</v>
      </c>
      <c r="AGZ16">
        <v>0</v>
      </c>
      <c r="AHB16">
        <v>2</v>
      </c>
      <c r="AHC16" s="1">
        <v>45503.411111111112</v>
      </c>
      <c r="AHD16" t="s">
        <v>210</v>
      </c>
      <c r="AHE16" t="s">
        <v>212</v>
      </c>
      <c r="AHN16">
        <v>6</v>
      </c>
      <c r="AHO16">
        <v>4</v>
      </c>
      <c r="AHP16">
        <v>8</v>
      </c>
      <c r="AHQ16" t="s">
        <v>319</v>
      </c>
      <c r="AHR16" t="s">
        <v>320</v>
      </c>
      <c r="AHS16" t="s">
        <v>210</v>
      </c>
      <c r="AHU16" t="s">
        <v>211</v>
      </c>
    </row>
    <row r="17" spans="1:905">
      <c r="A17">
        <v>147</v>
      </c>
      <c r="B17" t="s">
        <v>205</v>
      </c>
      <c r="C17" t="s">
        <v>321</v>
      </c>
      <c r="D17">
        <v>2</v>
      </c>
      <c r="E17">
        <v>2</v>
      </c>
      <c r="F17">
        <v>60</v>
      </c>
      <c r="G17">
        <v>64</v>
      </c>
      <c r="H17">
        <v>115.6</v>
      </c>
      <c r="I17">
        <v>0</v>
      </c>
      <c r="J17">
        <v>6</v>
      </c>
      <c r="K17" t="s">
        <v>322</v>
      </c>
      <c r="L17" t="s">
        <v>323</v>
      </c>
      <c r="M17">
        <v>2</v>
      </c>
      <c r="N17" s="1">
        <v>45509.821527777778</v>
      </c>
      <c r="O17">
        <v>6</v>
      </c>
      <c r="P17">
        <v>0</v>
      </c>
      <c r="R17">
        <v>0</v>
      </c>
      <c r="S17">
        <v>1</v>
      </c>
      <c r="T17">
        <v>0</v>
      </c>
      <c r="U17">
        <v>0</v>
      </c>
      <c r="V17">
        <v>0</v>
      </c>
      <c r="W17">
        <v>0</v>
      </c>
      <c r="X17">
        <v>0</v>
      </c>
      <c r="Y17">
        <v>0</v>
      </c>
      <c r="Z17">
        <v>0</v>
      </c>
      <c r="AA17">
        <v>0</v>
      </c>
      <c r="AB17">
        <v>0</v>
      </c>
      <c r="AC17" t="s">
        <v>208</v>
      </c>
      <c r="AD17">
        <v>2</v>
      </c>
      <c r="AE17" s="1">
        <v>45509.824999999997</v>
      </c>
      <c r="AF17">
        <v>4</v>
      </c>
      <c r="AG17">
        <v>1</v>
      </c>
      <c r="AH17">
        <v>4</v>
      </c>
      <c r="AI17">
        <v>1</v>
      </c>
      <c r="AJ17">
        <v>1</v>
      </c>
      <c r="AK17">
        <v>1</v>
      </c>
      <c r="AL17">
        <v>3</v>
      </c>
      <c r="AM17">
        <v>1</v>
      </c>
      <c r="AN17">
        <v>1</v>
      </c>
      <c r="AO17">
        <v>4</v>
      </c>
      <c r="AP17">
        <v>1</v>
      </c>
      <c r="AQ17">
        <v>1</v>
      </c>
      <c r="AR17">
        <v>4</v>
      </c>
      <c r="AS17">
        <v>3</v>
      </c>
      <c r="AT17">
        <v>1</v>
      </c>
      <c r="AU17">
        <v>4</v>
      </c>
      <c r="AV17">
        <v>1</v>
      </c>
      <c r="AW17">
        <v>1</v>
      </c>
      <c r="AX17">
        <v>4</v>
      </c>
      <c r="AY17">
        <v>1</v>
      </c>
      <c r="AZ17">
        <v>25</v>
      </c>
      <c r="BA17">
        <v>2</v>
      </c>
      <c r="BB17" s="1">
        <v>45509.82708333333</v>
      </c>
      <c r="BC17">
        <v>16</v>
      </c>
      <c r="BD17">
        <v>4</v>
      </c>
      <c r="BE17">
        <v>4</v>
      </c>
      <c r="BI17" s="2">
        <v>43831</v>
      </c>
      <c r="BJ17">
        <v>7</v>
      </c>
      <c r="BK17">
        <v>2</v>
      </c>
      <c r="BM17">
        <v>17</v>
      </c>
      <c r="BN17">
        <v>10</v>
      </c>
      <c r="BO17">
        <v>3</v>
      </c>
      <c r="BP17">
        <v>1</v>
      </c>
      <c r="BQ17">
        <v>0</v>
      </c>
      <c r="BR17">
        <v>0</v>
      </c>
      <c r="BS17">
        <v>0</v>
      </c>
      <c r="BT17">
        <v>0</v>
      </c>
      <c r="BU17">
        <v>0</v>
      </c>
      <c r="BV17">
        <v>0</v>
      </c>
      <c r="BW17">
        <v>0</v>
      </c>
      <c r="BY17">
        <v>2</v>
      </c>
      <c r="BZ17" s="1">
        <v>45509.828472222223</v>
      </c>
      <c r="CA17">
        <v>4</v>
      </c>
      <c r="CB17">
        <v>3</v>
      </c>
      <c r="CC17">
        <v>3</v>
      </c>
      <c r="CD17">
        <v>3</v>
      </c>
      <c r="CE17">
        <v>4</v>
      </c>
      <c r="CF17">
        <v>4</v>
      </c>
      <c r="CG17">
        <v>1</v>
      </c>
      <c r="CH17">
        <v>3</v>
      </c>
      <c r="CI17">
        <v>4</v>
      </c>
      <c r="CJ17">
        <v>3</v>
      </c>
      <c r="CK17">
        <v>3</v>
      </c>
      <c r="CL17">
        <v>4</v>
      </c>
      <c r="CM17">
        <v>3</v>
      </c>
      <c r="CN17">
        <v>3</v>
      </c>
      <c r="CO17">
        <v>3</v>
      </c>
      <c r="CP17">
        <v>4</v>
      </c>
      <c r="CQ17">
        <v>3</v>
      </c>
      <c r="CR17">
        <v>4</v>
      </c>
      <c r="CS17">
        <v>3</v>
      </c>
      <c r="CT17">
        <v>4</v>
      </c>
      <c r="CU17">
        <v>13</v>
      </c>
      <c r="CV17">
        <v>15</v>
      </c>
      <c r="CW17">
        <v>18</v>
      </c>
      <c r="CX17">
        <v>46</v>
      </c>
      <c r="CY17">
        <v>16</v>
      </c>
      <c r="CZ17">
        <v>2</v>
      </c>
      <c r="DA17" s="1">
        <v>45509.830555555556</v>
      </c>
      <c r="DB17">
        <v>0</v>
      </c>
      <c r="DC17">
        <v>0</v>
      </c>
      <c r="DD17">
        <v>0</v>
      </c>
      <c r="DE17">
        <v>0</v>
      </c>
      <c r="DF17">
        <v>1</v>
      </c>
      <c r="DG17">
        <v>0</v>
      </c>
      <c r="DH17">
        <v>0</v>
      </c>
      <c r="DI17">
        <v>1</v>
      </c>
      <c r="DJ17">
        <v>0</v>
      </c>
      <c r="DK17">
        <v>0</v>
      </c>
      <c r="DL17">
        <v>0</v>
      </c>
      <c r="DM17">
        <v>0</v>
      </c>
      <c r="DN17">
        <v>0</v>
      </c>
      <c r="DO17">
        <v>0</v>
      </c>
      <c r="DP17">
        <v>1</v>
      </c>
      <c r="DQ17">
        <v>0</v>
      </c>
      <c r="DR17">
        <v>0</v>
      </c>
      <c r="DS17">
        <v>0</v>
      </c>
      <c r="DT17">
        <v>0</v>
      </c>
      <c r="DU17">
        <v>1</v>
      </c>
      <c r="DV17">
        <v>0</v>
      </c>
      <c r="DW17">
        <v>0</v>
      </c>
      <c r="DX17">
        <v>0</v>
      </c>
      <c r="DY17">
        <v>0</v>
      </c>
      <c r="DZ17">
        <v>1</v>
      </c>
      <c r="EA17">
        <v>0</v>
      </c>
      <c r="EB17">
        <v>0</v>
      </c>
      <c r="EC17">
        <v>1</v>
      </c>
      <c r="ED17">
        <v>0</v>
      </c>
      <c r="EE17">
        <v>0</v>
      </c>
      <c r="EF17">
        <v>0</v>
      </c>
      <c r="EG17">
        <v>0</v>
      </c>
      <c r="EH17">
        <v>1</v>
      </c>
      <c r="EI17">
        <v>0</v>
      </c>
      <c r="EJ17">
        <v>0</v>
      </c>
      <c r="EK17">
        <v>1</v>
      </c>
      <c r="EL17">
        <v>0</v>
      </c>
      <c r="EM17">
        <v>0</v>
      </c>
      <c r="EN17">
        <v>0</v>
      </c>
      <c r="EO17">
        <v>0</v>
      </c>
      <c r="EP17">
        <v>0</v>
      </c>
      <c r="EQ17">
        <v>0</v>
      </c>
      <c r="ER17">
        <v>0</v>
      </c>
      <c r="ES17">
        <v>0</v>
      </c>
      <c r="ET17">
        <v>1</v>
      </c>
      <c r="EU17">
        <v>0</v>
      </c>
      <c r="EV17">
        <v>0</v>
      </c>
      <c r="EW17">
        <v>0</v>
      </c>
      <c r="EX17">
        <v>0</v>
      </c>
      <c r="EY17">
        <v>1</v>
      </c>
      <c r="EZ17">
        <v>0</v>
      </c>
      <c r="FA17">
        <v>0</v>
      </c>
      <c r="FB17">
        <v>0</v>
      </c>
      <c r="FC17">
        <v>0</v>
      </c>
      <c r="FD17">
        <v>1</v>
      </c>
      <c r="FE17">
        <v>1</v>
      </c>
      <c r="FF17">
        <v>0</v>
      </c>
      <c r="FG17">
        <v>0</v>
      </c>
      <c r="FH17">
        <v>0</v>
      </c>
      <c r="FI17">
        <v>0</v>
      </c>
      <c r="FJ17">
        <v>0</v>
      </c>
      <c r="FK17">
        <v>0</v>
      </c>
      <c r="FL17">
        <v>0</v>
      </c>
      <c r="FM17">
        <v>0</v>
      </c>
      <c r="FN17">
        <v>1</v>
      </c>
      <c r="FO17">
        <v>0</v>
      </c>
      <c r="FP17">
        <v>0</v>
      </c>
      <c r="FQ17">
        <v>1</v>
      </c>
      <c r="FR17">
        <v>0</v>
      </c>
      <c r="FS17">
        <v>0</v>
      </c>
      <c r="FT17">
        <v>0</v>
      </c>
      <c r="FU17">
        <v>0</v>
      </c>
      <c r="FV17">
        <v>1</v>
      </c>
      <c r="FW17">
        <v>0</v>
      </c>
      <c r="FX17">
        <v>0</v>
      </c>
      <c r="FY17">
        <v>0</v>
      </c>
      <c r="FZ17">
        <v>0</v>
      </c>
      <c r="GA17">
        <v>0</v>
      </c>
      <c r="GB17">
        <v>0</v>
      </c>
      <c r="GC17">
        <v>1</v>
      </c>
      <c r="GD17">
        <v>0</v>
      </c>
      <c r="GE17">
        <v>0</v>
      </c>
      <c r="GF17">
        <v>0</v>
      </c>
      <c r="GG17">
        <v>0</v>
      </c>
      <c r="GH17">
        <v>1</v>
      </c>
      <c r="GI17">
        <v>2</v>
      </c>
      <c r="GJ17" s="1">
        <v>45509.832638888889</v>
      </c>
      <c r="GK17">
        <v>1</v>
      </c>
      <c r="GL17">
        <v>3</v>
      </c>
      <c r="GM17">
        <v>1</v>
      </c>
      <c r="GN17">
        <v>2</v>
      </c>
      <c r="GO17">
        <v>4</v>
      </c>
      <c r="GP17">
        <v>3</v>
      </c>
      <c r="GQ17">
        <v>1</v>
      </c>
      <c r="GR17">
        <v>1</v>
      </c>
      <c r="GS17">
        <v>4</v>
      </c>
      <c r="GT17">
        <v>2</v>
      </c>
      <c r="GU17">
        <v>1</v>
      </c>
      <c r="GV17">
        <v>1</v>
      </c>
      <c r="GW17">
        <v>4</v>
      </c>
      <c r="GX17">
        <v>1</v>
      </c>
      <c r="GY17">
        <v>1</v>
      </c>
      <c r="GZ17">
        <v>2</v>
      </c>
      <c r="HA17">
        <v>4</v>
      </c>
      <c r="HB17">
        <v>2</v>
      </c>
      <c r="HC17">
        <v>10</v>
      </c>
      <c r="HD17">
        <v>8</v>
      </c>
      <c r="HE17">
        <v>25</v>
      </c>
      <c r="HF17">
        <v>2</v>
      </c>
      <c r="HG17" s="1">
        <v>45509.833333333336</v>
      </c>
      <c r="HH17">
        <v>4</v>
      </c>
      <c r="HI17">
        <v>11</v>
      </c>
      <c r="HJ17">
        <v>1</v>
      </c>
      <c r="HK17">
        <v>2</v>
      </c>
      <c r="HL17" s="1">
        <v>45510.604166666664</v>
      </c>
      <c r="HM17">
        <v>0</v>
      </c>
      <c r="HN17">
        <v>1</v>
      </c>
      <c r="HO17">
        <v>0</v>
      </c>
      <c r="HP17">
        <v>0</v>
      </c>
      <c r="HQ17">
        <v>0</v>
      </c>
      <c r="HR17">
        <v>0</v>
      </c>
      <c r="HS17">
        <v>0</v>
      </c>
      <c r="HT17">
        <v>0</v>
      </c>
      <c r="HU17">
        <v>0</v>
      </c>
      <c r="HV17">
        <v>0</v>
      </c>
      <c r="HW17">
        <v>0</v>
      </c>
      <c r="HX17">
        <v>0</v>
      </c>
      <c r="HY17">
        <v>0</v>
      </c>
      <c r="HZ17">
        <v>0</v>
      </c>
      <c r="IA17">
        <v>0</v>
      </c>
      <c r="IB17">
        <v>0</v>
      </c>
      <c r="IC17">
        <v>0</v>
      </c>
      <c r="ID17">
        <v>0</v>
      </c>
      <c r="IE17">
        <v>0</v>
      </c>
      <c r="IF17">
        <v>0</v>
      </c>
      <c r="IG17">
        <v>0</v>
      </c>
      <c r="IH17">
        <v>1</v>
      </c>
      <c r="II17">
        <v>2</v>
      </c>
      <c r="IJ17" s="1">
        <v>45510.606944444444</v>
      </c>
      <c r="IK17">
        <v>1</v>
      </c>
      <c r="IL17">
        <v>1</v>
      </c>
      <c r="IM17">
        <v>0</v>
      </c>
      <c r="IN17">
        <v>1</v>
      </c>
      <c r="IO17">
        <v>0</v>
      </c>
      <c r="IP17">
        <v>0</v>
      </c>
      <c r="IQ17">
        <v>0</v>
      </c>
      <c r="IR17">
        <v>0</v>
      </c>
      <c r="IS17">
        <v>0</v>
      </c>
      <c r="IT17">
        <v>0</v>
      </c>
      <c r="IU17">
        <v>1</v>
      </c>
      <c r="IV17">
        <v>1</v>
      </c>
      <c r="IW17">
        <v>1</v>
      </c>
      <c r="IX17">
        <v>1</v>
      </c>
      <c r="IY17">
        <v>0</v>
      </c>
      <c r="IZ17">
        <v>0</v>
      </c>
      <c r="JA17">
        <v>1</v>
      </c>
      <c r="JB17">
        <v>0</v>
      </c>
      <c r="JC17">
        <v>1</v>
      </c>
      <c r="JD17">
        <v>0</v>
      </c>
      <c r="JE17" t="s">
        <v>324</v>
      </c>
      <c r="JF17">
        <v>2</v>
      </c>
      <c r="JG17">
        <v>2</v>
      </c>
      <c r="JH17">
        <v>3</v>
      </c>
      <c r="JI17">
        <v>0</v>
      </c>
      <c r="JJ17">
        <v>0</v>
      </c>
      <c r="JK17">
        <v>0</v>
      </c>
      <c r="JL17" t="s">
        <v>325</v>
      </c>
      <c r="JM17" t="s">
        <v>326</v>
      </c>
      <c r="JN17">
        <v>9</v>
      </c>
      <c r="JO17">
        <v>10</v>
      </c>
      <c r="JP17">
        <v>0</v>
      </c>
      <c r="JQ17">
        <v>2</v>
      </c>
      <c r="JR17" s="1">
        <v>45510.607638888891</v>
      </c>
      <c r="JS17">
        <v>0</v>
      </c>
      <c r="JT17">
        <v>0</v>
      </c>
      <c r="JU17">
        <v>0</v>
      </c>
      <c r="JV17">
        <v>0</v>
      </c>
      <c r="JW17">
        <v>2</v>
      </c>
      <c r="JX17" s="1">
        <v>45510.60833333333</v>
      </c>
      <c r="JY17">
        <v>64.400000000000006</v>
      </c>
      <c r="JZ17">
        <v>2.5</v>
      </c>
      <c r="KI17">
        <v>5</v>
      </c>
      <c r="KJ17">
        <v>70.5</v>
      </c>
      <c r="KK17">
        <v>5.0999999999999996</v>
      </c>
      <c r="KL17">
        <v>1</v>
      </c>
      <c r="UQ17">
        <v>4</v>
      </c>
      <c r="UR17">
        <v>68.2</v>
      </c>
      <c r="US17">
        <v>3.3</v>
      </c>
      <c r="UT17">
        <v>2</v>
      </c>
      <c r="WQ17">
        <v>4</v>
      </c>
      <c r="WR17">
        <v>64.400000000000006</v>
      </c>
      <c r="WS17">
        <v>2.5</v>
      </c>
      <c r="WT17">
        <v>4</v>
      </c>
      <c r="XG17">
        <v>3</v>
      </c>
      <c r="XH17">
        <v>64.8</v>
      </c>
      <c r="XI17">
        <v>3</v>
      </c>
      <c r="XJ17">
        <v>3</v>
      </c>
      <c r="YQ17">
        <v>2</v>
      </c>
      <c r="YR17" s="1">
        <v>45510.609722222223</v>
      </c>
      <c r="YS17">
        <v>4</v>
      </c>
      <c r="YT17">
        <v>2</v>
      </c>
      <c r="YU17">
        <v>4</v>
      </c>
      <c r="YV17">
        <v>2</v>
      </c>
      <c r="YW17">
        <v>4</v>
      </c>
      <c r="YX17">
        <v>1</v>
      </c>
      <c r="YY17">
        <v>1</v>
      </c>
      <c r="YZ17">
        <v>1</v>
      </c>
      <c r="ZA17">
        <v>3</v>
      </c>
      <c r="ZB17">
        <v>2</v>
      </c>
      <c r="ZC17">
        <v>1</v>
      </c>
      <c r="ZD17">
        <v>2</v>
      </c>
      <c r="ZE17">
        <v>1</v>
      </c>
      <c r="ZF17">
        <v>2</v>
      </c>
      <c r="ZG17">
        <v>1</v>
      </c>
      <c r="ZH17">
        <v>4</v>
      </c>
      <c r="ZI17">
        <v>3</v>
      </c>
      <c r="ZJ17">
        <v>1</v>
      </c>
      <c r="ZK17">
        <v>3</v>
      </c>
      <c r="ZL17">
        <v>1</v>
      </c>
      <c r="ZM17">
        <v>31</v>
      </c>
      <c r="ZN17">
        <v>12</v>
      </c>
      <c r="ZO17">
        <v>2</v>
      </c>
      <c r="ZP17" s="1">
        <v>45510.611805555556</v>
      </c>
      <c r="ZQ17">
        <v>1</v>
      </c>
      <c r="ZR17">
        <v>0</v>
      </c>
      <c r="ZS17">
        <v>0</v>
      </c>
      <c r="ZT17">
        <v>0</v>
      </c>
      <c r="ZU17">
        <v>0</v>
      </c>
      <c r="ZV17">
        <v>0</v>
      </c>
      <c r="ZW17">
        <v>0</v>
      </c>
      <c r="ZX17">
        <v>0</v>
      </c>
      <c r="ZY17">
        <v>0</v>
      </c>
      <c r="ZZ17">
        <v>0</v>
      </c>
      <c r="AAA17">
        <v>0</v>
      </c>
      <c r="AAB17">
        <v>0</v>
      </c>
      <c r="AAC17">
        <v>1</v>
      </c>
      <c r="AAD17">
        <v>1</v>
      </c>
      <c r="AAE17">
        <v>1</v>
      </c>
      <c r="AAF17">
        <v>1</v>
      </c>
      <c r="AAG17">
        <v>0</v>
      </c>
      <c r="AAH17">
        <v>0</v>
      </c>
      <c r="AAI17">
        <v>3</v>
      </c>
      <c r="AAJ17">
        <v>1</v>
      </c>
      <c r="AAK17">
        <v>1</v>
      </c>
      <c r="AAL17">
        <v>5</v>
      </c>
      <c r="AAM17">
        <v>2</v>
      </c>
      <c r="AAN17" s="1">
        <v>45510.613888888889</v>
      </c>
      <c r="AAO17">
        <v>1</v>
      </c>
      <c r="AAP17">
        <v>4</v>
      </c>
      <c r="AAQ17">
        <v>3</v>
      </c>
      <c r="AAR17">
        <v>5</v>
      </c>
      <c r="AAS17">
        <v>3</v>
      </c>
      <c r="AAT17">
        <v>18</v>
      </c>
      <c r="AAU17">
        <v>4</v>
      </c>
      <c r="AAV17">
        <v>3</v>
      </c>
      <c r="AAW17">
        <v>2</v>
      </c>
      <c r="AAX17">
        <v>4</v>
      </c>
      <c r="AAY17">
        <v>3</v>
      </c>
      <c r="AAZ17">
        <v>7</v>
      </c>
      <c r="ABA17">
        <v>3</v>
      </c>
      <c r="ABB17">
        <v>6</v>
      </c>
      <c r="ABC17">
        <v>0</v>
      </c>
      <c r="ABD17">
        <v>3.75</v>
      </c>
      <c r="ABE17">
        <v>3.7142857139999998</v>
      </c>
      <c r="ABF17">
        <v>2</v>
      </c>
      <c r="ABG17" s="1">
        <v>45510.614583333336</v>
      </c>
      <c r="ABH17">
        <v>0</v>
      </c>
      <c r="ABI17">
        <v>0</v>
      </c>
      <c r="ABJ17">
        <v>1</v>
      </c>
      <c r="ABK17">
        <v>1</v>
      </c>
      <c r="ABL17">
        <v>0</v>
      </c>
      <c r="ABM17">
        <v>1</v>
      </c>
      <c r="ABN17">
        <v>1</v>
      </c>
      <c r="ABO17">
        <v>0</v>
      </c>
      <c r="ABP17">
        <v>0</v>
      </c>
      <c r="ABQ17">
        <v>1</v>
      </c>
      <c r="ABR17">
        <v>0</v>
      </c>
      <c r="ABS17">
        <v>0</v>
      </c>
      <c r="ABT17">
        <v>0</v>
      </c>
      <c r="ABU17">
        <v>0</v>
      </c>
      <c r="ABV17">
        <v>0</v>
      </c>
      <c r="ABW17">
        <v>0</v>
      </c>
      <c r="ABX17">
        <v>0</v>
      </c>
      <c r="ABY17">
        <v>0</v>
      </c>
      <c r="ABZ17">
        <v>0</v>
      </c>
      <c r="ACA17">
        <v>0</v>
      </c>
      <c r="ACB17">
        <v>0</v>
      </c>
      <c r="ACC17">
        <v>0</v>
      </c>
      <c r="ACD17">
        <v>0</v>
      </c>
      <c r="ACE17">
        <v>0</v>
      </c>
      <c r="ACF17">
        <v>1</v>
      </c>
      <c r="ACG17">
        <v>0</v>
      </c>
      <c r="ACH17">
        <v>0</v>
      </c>
      <c r="ACI17">
        <v>1</v>
      </c>
      <c r="ACJ17">
        <v>0</v>
      </c>
      <c r="ACK17">
        <v>0</v>
      </c>
      <c r="ACL17">
        <v>1</v>
      </c>
      <c r="ACM17">
        <v>1</v>
      </c>
      <c r="ACN17">
        <v>1</v>
      </c>
      <c r="ACO17">
        <v>1</v>
      </c>
      <c r="ACP17">
        <v>1</v>
      </c>
      <c r="ACQ17">
        <v>1</v>
      </c>
      <c r="ACR17">
        <v>0</v>
      </c>
      <c r="ACS17">
        <v>0</v>
      </c>
      <c r="ACT17">
        <v>0</v>
      </c>
      <c r="ACU17">
        <v>0</v>
      </c>
      <c r="ACV17">
        <v>0</v>
      </c>
      <c r="ACW17">
        <v>0</v>
      </c>
      <c r="ACX17">
        <v>1</v>
      </c>
      <c r="ACY17">
        <v>1</v>
      </c>
      <c r="ACZ17">
        <v>1</v>
      </c>
      <c r="ADA17">
        <v>0</v>
      </c>
      <c r="ADB17">
        <v>0</v>
      </c>
      <c r="ADC17">
        <v>0</v>
      </c>
      <c r="ADD17">
        <v>0</v>
      </c>
      <c r="ADE17">
        <v>1</v>
      </c>
      <c r="ADF17">
        <v>0</v>
      </c>
      <c r="ADG17">
        <v>0</v>
      </c>
      <c r="ADH17">
        <v>0</v>
      </c>
      <c r="ADI17">
        <v>0</v>
      </c>
      <c r="ADJ17">
        <v>0</v>
      </c>
      <c r="ADK17">
        <v>0</v>
      </c>
      <c r="ADL17">
        <v>0</v>
      </c>
      <c r="ADM17">
        <v>0</v>
      </c>
      <c r="ADN17">
        <v>0</v>
      </c>
      <c r="ADO17">
        <v>0</v>
      </c>
      <c r="ADP17">
        <v>0</v>
      </c>
      <c r="ADQ17">
        <v>0</v>
      </c>
      <c r="ADR17">
        <v>1</v>
      </c>
      <c r="ADS17">
        <v>0</v>
      </c>
      <c r="ADT17">
        <v>0</v>
      </c>
      <c r="ADU17">
        <v>1</v>
      </c>
      <c r="ADV17">
        <v>0</v>
      </c>
      <c r="ADW17">
        <v>0</v>
      </c>
      <c r="ADX17">
        <v>1</v>
      </c>
      <c r="ADY17">
        <v>1</v>
      </c>
      <c r="ADZ17">
        <v>1</v>
      </c>
      <c r="AEA17">
        <v>1</v>
      </c>
      <c r="AEB17">
        <v>1</v>
      </c>
      <c r="AEC17">
        <v>1</v>
      </c>
      <c r="AEE17">
        <v>2</v>
      </c>
      <c r="AEF17" s="1">
        <v>45510.615972222222</v>
      </c>
      <c r="AEG17">
        <v>1</v>
      </c>
      <c r="AEH17">
        <v>0</v>
      </c>
      <c r="AEI17">
        <v>1</v>
      </c>
      <c r="AEJ17">
        <v>2</v>
      </c>
      <c r="AEK17">
        <v>1</v>
      </c>
      <c r="AEL17">
        <v>0</v>
      </c>
      <c r="AEM17">
        <v>0</v>
      </c>
      <c r="AEN17">
        <v>2</v>
      </c>
      <c r="AEO17">
        <v>0</v>
      </c>
      <c r="AEP17">
        <v>2</v>
      </c>
      <c r="AEQ17">
        <v>0</v>
      </c>
      <c r="AER17">
        <v>0</v>
      </c>
      <c r="AES17">
        <v>2</v>
      </c>
      <c r="AET17">
        <v>0</v>
      </c>
      <c r="AEU17">
        <v>1</v>
      </c>
      <c r="AEV17">
        <v>0</v>
      </c>
      <c r="AEW17">
        <v>0</v>
      </c>
      <c r="AEX17">
        <v>1</v>
      </c>
      <c r="AEY17">
        <v>2</v>
      </c>
      <c r="AEZ17">
        <v>0</v>
      </c>
      <c r="AFA17">
        <v>0</v>
      </c>
      <c r="AFB17">
        <v>0</v>
      </c>
      <c r="AFC17">
        <v>1</v>
      </c>
      <c r="AFD17">
        <v>1</v>
      </c>
      <c r="AFE17">
        <v>0</v>
      </c>
      <c r="AFF17">
        <v>2</v>
      </c>
      <c r="AFG17">
        <v>2</v>
      </c>
      <c r="AFH17">
        <v>0</v>
      </c>
      <c r="AFI17">
        <v>2</v>
      </c>
      <c r="AFJ17">
        <v>1</v>
      </c>
      <c r="AFK17">
        <v>1</v>
      </c>
      <c r="AFL17">
        <v>1</v>
      </c>
      <c r="AFM17">
        <v>0</v>
      </c>
      <c r="AFN17">
        <v>6</v>
      </c>
      <c r="AFO17">
        <v>7</v>
      </c>
      <c r="AFP17">
        <v>9</v>
      </c>
      <c r="AFQ17">
        <v>6</v>
      </c>
      <c r="AFR17">
        <v>2</v>
      </c>
      <c r="AFS17" s="1">
        <v>45510.617361111108</v>
      </c>
      <c r="AFT17">
        <v>2</v>
      </c>
      <c r="AFU17">
        <v>4</v>
      </c>
      <c r="AFV17">
        <v>2</v>
      </c>
      <c r="AFW17">
        <v>1</v>
      </c>
      <c r="AFX17">
        <v>4</v>
      </c>
      <c r="AFY17">
        <v>1</v>
      </c>
      <c r="AFZ17">
        <v>2</v>
      </c>
      <c r="AGA17">
        <v>4</v>
      </c>
      <c r="AGB17">
        <v>1</v>
      </c>
      <c r="AGC17">
        <v>4</v>
      </c>
      <c r="AGD17">
        <v>4</v>
      </c>
      <c r="AGE17">
        <v>1</v>
      </c>
      <c r="AGF17">
        <v>1</v>
      </c>
      <c r="AGG17">
        <v>2</v>
      </c>
      <c r="AGH17">
        <v>2</v>
      </c>
      <c r="AGI17">
        <v>4</v>
      </c>
      <c r="AGJ17">
        <v>2</v>
      </c>
      <c r="AGK17">
        <v>1</v>
      </c>
      <c r="AGL17">
        <v>3</v>
      </c>
      <c r="AGM17">
        <v>4</v>
      </c>
      <c r="AGN17">
        <v>29</v>
      </c>
      <c r="AGO17">
        <v>2</v>
      </c>
      <c r="AGP17" s="1">
        <v>45510.617361111108</v>
      </c>
      <c r="AGQ17">
        <v>0</v>
      </c>
      <c r="AGV17">
        <v>0</v>
      </c>
      <c r="AGW17">
        <v>0</v>
      </c>
      <c r="AGX17">
        <v>0</v>
      </c>
      <c r="AGY17">
        <v>0</v>
      </c>
      <c r="AGZ17">
        <v>0</v>
      </c>
      <c r="AHB17">
        <v>2</v>
      </c>
      <c r="AHC17" s="1">
        <v>45510.620138888888</v>
      </c>
      <c r="AHD17" t="s">
        <v>210</v>
      </c>
      <c r="AHE17" t="s">
        <v>212</v>
      </c>
      <c r="AHN17" t="s">
        <v>286</v>
      </c>
      <c r="AHO17">
        <v>5</v>
      </c>
      <c r="AHP17">
        <v>5</v>
      </c>
      <c r="AHQ17" t="s">
        <v>327</v>
      </c>
      <c r="AHR17" t="s">
        <v>328</v>
      </c>
      <c r="AHS17" t="s">
        <v>210</v>
      </c>
      <c r="AHU17" t="s">
        <v>211</v>
      </c>
    </row>
    <row r="18" spans="1:905">
      <c r="A18">
        <v>149</v>
      </c>
      <c r="B18" t="s">
        <v>205</v>
      </c>
      <c r="C18" t="s">
        <v>329</v>
      </c>
      <c r="D18">
        <v>2</v>
      </c>
      <c r="E18">
        <v>2</v>
      </c>
      <c r="F18">
        <v>22</v>
      </c>
      <c r="G18">
        <v>66</v>
      </c>
      <c r="H18">
        <v>142</v>
      </c>
      <c r="I18">
        <v>0</v>
      </c>
      <c r="J18">
        <v>2</v>
      </c>
      <c r="L18" t="s">
        <v>330</v>
      </c>
      <c r="M18">
        <v>2</v>
      </c>
      <c r="N18" s="1">
        <v>45501.60833333333</v>
      </c>
      <c r="O18">
        <v>5</v>
      </c>
      <c r="P18">
        <v>0</v>
      </c>
      <c r="R18">
        <v>0</v>
      </c>
      <c r="S18">
        <v>0</v>
      </c>
      <c r="T18">
        <v>1</v>
      </c>
      <c r="U18">
        <v>0</v>
      </c>
      <c r="V18">
        <v>0</v>
      </c>
      <c r="W18">
        <v>0</v>
      </c>
      <c r="X18">
        <v>0</v>
      </c>
      <c r="Y18">
        <v>0</v>
      </c>
      <c r="Z18">
        <v>0</v>
      </c>
      <c r="AA18">
        <v>0</v>
      </c>
      <c r="AB18">
        <v>0</v>
      </c>
      <c r="AC18" t="s">
        <v>208</v>
      </c>
      <c r="AD18">
        <v>2</v>
      </c>
      <c r="AE18" s="1">
        <v>45501.61041666667</v>
      </c>
      <c r="AF18">
        <v>3</v>
      </c>
      <c r="AG18">
        <v>2</v>
      </c>
      <c r="AH18">
        <v>3</v>
      </c>
      <c r="AI18">
        <v>2</v>
      </c>
      <c r="AJ18">
        <v>1</v>
      </c>
      <c r="AK18">
        <v>1</v>
      </c>
      <c r="AL18">
        <v>3</v>
      </c>
      <c r="AM18">
        <v>2</v>
      </c>
      <c r="AN18">
        <v>1</v>
      </c>
      <c r="AO18">
        <v>3</v>
      </c>
      <c r="AP18">
        <v>2</v>
      </c>
      <c r="AQ18">
        <v>1</v>
      </c>
      <c r="AR18">
        <v>2</v>
      </c>
      <c r="AS18">
        <v>3</v>
      </c>
      <c r="AT18">
        <v>1</v>
      </c>
      <c r="AU18">
        <v>2</v>
      </c>
      <c r="AV18">
        <v>1</v>
      </c>
      <c r="AW18">
        <v>2</v>
      </c>
      <c r="AX18">
        <v>3</v>
      </c>
      <c r="AY18">
        <v>3</v>
      </c>
      <c r="AZ18">
        <v>40</v>
      </c>
      <c r="BA18">
        <v>2</v>
      </c>
      <c r="BB18" s="1">
        <v>45501.612500000003</v>
      </c>
      <c r="BC18">
        <v>12</v>
      </c>
      <c r="BD18">
        <v>2</v>
      </c>
      <c r="BE18">
        <v>2</v>
      </c>
      <c r="BI18" s="2">
        <v>45496</v>
      </c>
      <c r="BM18" t="s">
        <v>331</v>
      </c>
      <c r="BN18">
        <v>5</v>
      </c>
      <c r="BO18">
        <v>2</v>
      </c>
      <c r="BP18">
        <v>1</v>
      </c>
      <c r="BQ18">
        <v>0</v>
      </c>
      <c r="BR18">
        <v>0</v>
      </c>
      <c r="BS18">
        <v>0</v>
      </c>
      <c r="BT18">
        <v>0</v>
      </c>
      <c r="BU18">
        <v>0</v>
      </c>
      <c r="BV18">
        <v>0</v>
      </c>
      <c r="BW18">
        <v>0</v>
      </c>
      <c r="BY18">
        <v>2</v>
      </c>
      <c r="BZ18" s="1">
        <v>45501.618750000001</v>
      </c>
      <c r="CA18">
        <v>4</v>
      </c>
      <c r="CB18">
        <v>2</v>
      </c>
      <c r="CC18">
        <v>3</v>
      </c>
      <c r="CD18">
        <v>2</v>
      </c>
      <c r="CE18">
        <v>4</v>
      </c>
      <c r="CF18">
        <v>4</v>
      </c>
      <c r="CG18">
        <v>2</v>
      </c>
      <c r="CH18">
        <v>3</v>
      </c>
      <c r="CI18">
        <v>3</v>
      </c>
      <c r="CJ18">
        <v>4</v>
      </c>
      <c r="CK18">
        <v>2</v>
      </c>
      <c r="CL18">
        <v>4</v>
      </c>
      <c r="CM18">
        <v>2</v>
      </c>
      <c r="CN18">
        <v>4</v>
      </c>
      <c r="CO18">
        <v>3</v>
      </c>
      <c r="CP18">
        <v>3</v>
      </c>
      <c r="CQ18">
        <v>3</v>
      </c>
      <c r="CR18">
        <v>3</v>
      </c>
      <c r="CS18">
        <v>3</v>
      </c>
      <c r="CT18">
        <v>4</v>
      </c>
      <c r="CU18">
        <v>14</v>
      </c>
      <c r="CV18">
        <v>12</v>
      </c>
      <c r="CW18">
        <v>18</v>
      </c>
      <c r="CX18">
        <v>44</v>
      </c>
      <c r="CY18">
        <v>18</v>
      </c>
      <c r="CZ18">
        <v>2</v>
      </c>
      <c r="DA18" s="1">
        <v>45501.640972222223</v>
      </c>
      <c r="DB18">
        <v>1</v>
      </c>
      <c r="DC18">
        <v>0</v>
      </c>
      <c r="DD18">
        <v>0</v>
      </c>
      <c r="DE18">
        <v>0</v>
      </c>
      <c r="DF18">
        <v>0</v>
      </c>
      <c r="DG18">
        <v>0</v>
      </c>
      <c r="DH18">
        <v>0</v>
      </c>
      <c r="DI18">
        <v>1</v>
      </c>
      <c r="DJ18">
        <v>0</v>
      </c>
      <c r="DK18">
        <v>0</v>
      </c>
      <c r="DL18">
        <v>1</v>
      </c>
      <c r="DM18">
        <v>1</v>
      </c>
      <c r="DN18">
        <v>1</v>
      </c>
      <c r="DO18">
        <v>0</v>
      </c>
      <c r="DP18">
        <v>0</v>
      </c>
      <c r="DQ18">
        <v>1</v>
      </c>
      <c r="DR18">
        <v>0</v>
      </c>
      <c r="DS18">
        <v>0</v>
      </c>
      <c r="DT18">
        <v>0</v>
      </c>
      <c r="DU18">
        <v>0</v>
      </c>
      <c r="DV18">
        <v>0</v>
      </c>
      <c r="DW18">
        <v>0</v>
      </c>
      <c r="DX18">
        <v>1</v>
      </c>
      <c r="DY18">
        <v>0</v>
      </c>
      <c r="DZ18">
        <v>0</v>
      </c>
      <c r="EA18">
        <v>1</v>
      </c>
      <c r="EB18">
        <v>1</v>
      </c>
      <c r="EC18">
        <v>1</v>
      </c>
      <c r="ED18">
        <v>0</v>
      </c>
      <c r="EE18">
        <v>0</v>
      </c>
      <c r="EF18">
        <v>0</v>
      </c>
      <c r="EG18">
        <v>1</v>
      </c>
      <c r="EH18">
        <v>1</v>
      </c>
      <c r="EI18">
        <v>0</v>
      </c>
      <c r="EJ18">
        <v>0</v>
      </c>
      <c r="EK18">
        <v>1</v>
      </c>
      <c r="EL18">
        <v>0</v>
      </c>
      <c r="EM18">
        <v>1</v>
      </c>
      <c r="EN18">
        <v>0</v>
      </c>
      <c r="EO18">
        <v>0</v>
      </c>
      <c r="EP18">
        <v>1</v>
      </c>
      <c r="EQ18">
        <v>0</v>
      </c>
      <c r="ER18">
        <v>1</v>
      </c>
      <c r="ES18">
        <v>0</v>
      </c>
      <c r="ET18">
        <v>0</v>
      </c>
      <c r="EU18">
        <v>0</v>
      </c>
      <c r="EV18">
        <v>1</v>
      </c>
      <c r="EW18">
        <v>1</v>
      </c>
      <c r="EX18">
        <v>0</v>
      </c>
      <c r="EY18">
        <v>0</v>
      </c>
      <c r="EZ18">
        <v>0</v>
      </c>
      <c r="FA18">
        <v>0</v>
      </c>
      <c r="FB18">
        <v>1</v>
      </c>
      <c r="FC18">
        <v>0</v>
      </c>
      <c r="FD18">
        <v>0</v>
      </c>
      <c r="FE18">
        <v>1</v>
      </c>
      <c r="FF18">
        <v>0</v>
      </c>
      <c r="FG18">
        <v>0</v>
      </c>
      <c r="FH18">
        <v>0</v>
      </c>
      <c r="FI18">
        <v>0</v>
      </c>
      <c r="FJ18">
        <v>0</v>
      </c>
      <c r="FK18">
        <v>1</v>
      </c>
      <c r="FL18">
        <v>1</v>
      </c>
      <c r="FM18">
        <v>0</v>
      </c>
      <c r="FN18">
        <v>0</v>
      </c>
      <c r="FO18">
        <v>0</v>
      </c>
      <c r="FP18">
        <v>0</v>
      </c>
      <c r="FQ18">
        <v>0</v>
      </c>
      <c r="FR18">
        <v>0</v>
      </c>
      <c r="FS18">
        <v>1</v>
      </c>
      <c r="FT18">
        <v>0</v>
      </c>
      <c r="FU18">
        <v>0</v>
      </c>
      <c r="FV18">
        <v>0</v>
      </c>
      <c r="FW18">
        <v>0</v>
      </c>
      <c r="FX18">
        <v>1</v>
      </c>
      <c r="FY18">
        <v>0</v>
      </c>
      <c r="FZ18">
        <v>0</v>
      </c>
      <c r="GA18">
        <v>0</v>
      </c>
      <c r="GB18">
        <v>0</v>
      </c>
      <c r="GC18">
        <v>1</v>
      </c>
      <c r="GD18">
        <v>1</v>
      </c>
      <c r="GE18">
        <v>1</v>
      </c>
      <c r="GF18">
        <v>1</v>
      </c>
      <c r="GG18">
        <v>0</v>
      </c>
      <c r="GH18">
        <v>0</v>
      </c>
      <c r="GI18">
        <v>2</v>
      </c>
      <c r="GJ18" s="1">
        <v>45501.642361111109</v>
      </c>
      <c r="GK18">
        <v>1</v>
      </c>
      <c r="GL18">
        <v>4</v>
      </c>
      <c r="GM18">
        <v>4</v>
      </c>
      <c r="GN18">
        <v>3</v>
      </c>
      <c r="GO18">
        <v>2</v>
      </c>
      <c r="GP18">
        <v>4</v>
      </c>
      <c r="GQ18">
        <v>3</v>
      </c>
      <c r="GR18">
        <v>2</v>
      </c>
      <c r="GS18">
        <v>3</v>
      </c>
      <c r="GT18">
        <v>4</v>
      </c>
      <c r="GU18">
        <v>4</v>
      </c>
      <c r="GV18">
        <v>3</v>
      </c>
      <c r="GW18">
        <v>3</v>
      </c>
      <c r="GX18">
        <v>3</v>
      </c>
      <c r="GY18">
        <v>4</v>
      </c>
      <c r="GZ18">
        <v>4</v>
      </c>
      <c r="HA18">
        <v>2</v>
      </c>
      <c r="HB18">
        <v>3</v>
      </c>
      <c r="HC18">
        <v>23</v>
      </c>
      <c r="HD18">
        <v>15</v>
      </c>
      <c r="HE18">
        <v>55</v>
      </c>
      <c r="HF18">
        <v>2</v>
      </c>
      <c r="HG18" s="1">
        <v>45501.642361111109</v>
      </c>
      <c r="HH18">
        <v>6</v>
      </c>
      <c r="HI18">
        <v>6</v>
      </c>
      <c r="HJ18">
        <v>5</v>
      </c>
      <c r="HK18">
        <v>2</v>
      </c>
      <c r="HL18" s="1">
        <v>45502.597916666666</v>
      </c>
      <c r="HM18">
        <v>1</v>
      </c>
      <c r="HN18">
        <v>1</v>
      </c>
      <c r="HO18">
        <v>0</v>
      </c>
      <c r="HP18">
        <v>1</v>
      </c>
      <c r="HQ18">
        <v>2</v>
      </c>
      <c r="HR18">
        <v>0</v>
      </c>
      <c r="HS18">
        <v>0</v>
      </c>
      <c r="HT18">
        <v>1</v>
      </c>
      <c r="HU18">
        <v>0</v>
      </c>
      <c r="HV18">
        <v>1</v>
      </c>
      <c r="HW18">
        <v>1</v>
      </c>
      <c r="HX18">
        <v>1</v>
      </c>
      <c r="HY18">
        <v>3</v>
      </c>
      <c r="HZ18">
        <v>0</v>
      </c>
      <c r="IA18">
        <v>2</v>
      </c>
      <c r="IB18">
        <v>3</v>
      </c>
      <c r="IC18">
        <v>1</v>
      </c>
      <c r="ID18">
        <v>2</v>
      </c>
      <c r="IE18">
        <v>2</v>
      </c>
      <c r="IF18">
        <v>3</v>
      </c>
      <c r="IG18">
        <v>0</v>
      </c>
      <c r="IH18">
        <v>24</v>
      </c>
      <c r="II18">
        <v>2</v>
      </c>
      <c r="IJ18" s="1">
        <v>45502.602083333331</v>
      </c>
      <c r="IK18">
        <v>1</v>
      </c>
      <c r="IL18">
        <v>1</v>
      </c>
      <c r="IM18">
        <v>1</v>
      </c>
      <c r="IN18">
        <v>0</v>
      </c>
      <c r="IO18">
        <v>0</v>
      </c>
      <c r="IP18">
        <v>0</v>
      </c>
      <c r="IQ18">
        <v>1</v>
      </c>
      <c r="IR18">
        <v>1</v>
      </c>
      <c r="IS18">
        <v>0</v>
      </c>
      <c r="IT18">
        <v>0</v>
      </c>
      <c r="IU18">
        <v>1</v>
      </c>
      <c r="IV18">
        <v>1</v>
      </c>
      <c r="IW18">
        <v>0</v>
      </c>
      <c r="IX18">
        <v>0</v>
      </c>
      <c r="IY18">
        <v>1</v>
      </c>
      <c r="IZ18">
        <v>1</v>
      </c>
      <c r="JA18">
        <v>1</v>
      </c>
      <c r="JB18">
        <v>1</v>
      </c>
      <c r="JC18">
        <v>1</v>
      </c>
      <c r="JD18">
        <v>0</v>
      </c>
      <c r="JE18" t="s">
        <v>332</v>
      </c>
      <c r="JF18">
        <v>3</v>
      </c>
      <c r="JG18">
        <v>3</v>
      </c>
      <c r="JH18">
        <v>3</v>
      </c>
      <c r="JI18">
        <v>1</v>
      </c>
      <c r="JJ18">
        <v>1</v>
      </c>
      <c r="JK18">
        <v>1</v>
      </c>
      <c r="JL18" t="s">
        <v>333</v>
      </c>
      <c r="JM18" t="s">
        <v>334</v>
      </c>
      <c r="JN18">
        <v>12</v>
      </c>
      <c r="JO18">
        <v>12</v>
      </c>
      <c r="JP18">
        <v>3</v>
      </c>
      <c r="JQ18">
        <v>2</v>
      </c>
      <c r="JR18" s="1">
        <v>45502.602777777778</v>
      </c>
      <c r="JS18">
        <v>0</v>
      </c>
      <c r="JT18">
        <v>0</v>
      </c>
      <c r="JU18">
        <v>4</v>
      </c>
      <c r="JV18">
        <v>4</v>
      </c>
      <c r="JW18">
        <v>2</v>
      </c>
      <c r="JX18" s="1">
        <v>45502.602777777778</v>
      </c>
      <c r="JY18">
        <v>76</v>
      </c>
      <c r="JZ18">
        <v>3</v>
      </c>
      <c r="KI18">
        <v>5</v>
      </c>
      <c r="KJ18">
        <v>70.5</v>
      </c>
      <c r="KK18">
        <v>5.0999999999999996</v>
      </c>
      <c r="KL18">
        <v>1</v>
      </c>
      <c r="ME18">
        <v>4</v>
      </c>
      <c r="MF18">
        <v>76</v>
      </c>
      <c r="MG18">
        <v>3</v>
      </c>
      <c r="MH18">
        <v>5</v>
      </c>
      <c r="UM18">
        <v>5</v>
      </c>
      <c r="UN18">
        <v>75.400000000000006</v>
      </c>
      <c r="UO18">
        <v>3.9</v>
      </c>
      <c r="UP18">
        <v>3</v>
      </c>
      <c r="UQ18">
        <v>5</v>
      </c>
      <c r="UR18">
        <v>73.599999999999994</v>
      </c>
      <c r="US18">
        <v>4.2</v>
      </c>
      <c r="UT18">
        <v>2</v>
      </c>
      <c r="WM18" t="s">
        <v>335</v>
      </c>
      <c r="WN18">
        <v>77.7</v>
      </c>
      <c r="WO18">
        <v>3.9</v>
      </c>
      <c r="WP18">
        <v>4</v>
      </c>
      <c r="YQ18">
        <v>2</v>
      </c>
      <c r="YR18" s="1">
        <v>45502.604166666664</v>
      </c>
      <c r="YS18">
        <v>3</v>
      </c>
      <c r="YT18">
        <v>4</v>
      </c>
      <c r="YU18">
        <v>2</v>
      </c>
      <c r="YV18">
        <v>4</v>
      </c>
      <c r="YW18">
        <v>2</v>
      </c>
      <c r="YX18">
        <v>2</v>
      </c>
      <c r="YY18">
        <v>4</v>
      </c>
      <c r="YZ18">
        <v>2</v>
      </c>
      <c r="ZA18">
        <v>4</v>
      </c>
      <c r="ZB18">
        <v>1</v>
      </c>
      <c r="ZC18">
        <v>4</v>
      </c>
      <c r="ZD18">
        <v>1</v>
      </c>
      <c r="ZE18">
        <v>1</v>
      </c>
      <c r="ZF18">
        <v>3</v>
      </c>
      <c r="ZG18">
        <v>2</v>
      </c>
      <c r="ZH18">
        <v>2</v>
      </c>
      <c r="ZI18">
        <v>1</v>
      </c>
      <c r="ZJ18">
        <v>2</v>
      </c>
      <c r="ZK18">
        <v>1</v>
      </c>
      <c r="ZL18">
        <v>5</v>
      </c>
      <c r="ZM18">
        <v>20</v>
      </c>
      <c r="ZN18">
        <v>30</v>
      </c>
      <c r="ZO18">
        <v>2</v>
      </c>
      <c r="ZP18" s="1">
        <v>45502.604861111111</v>
      </c>
      <c r="ZQ18">
        <v>3</v>
      </c>
      <c r="ZR18">
        <v>2</v>
      </c>
      <c r="ZS18">
        <v>3</v>
      </c>
      <c r="ZT18">
        <v>4</v>
      </c>
      <c r="ZU18">
        <v>3</v>
      </c>
      <c r="ZV18">
        <v>4</v>
      </c>
      <c r="ZW18">
        <v>2</v>
      </c>
      <c r="ZX18">
        <v>3</v>
      </c>
      <c r="ZY18">
        <v>0</v>
      </c>
      <c r="ZZ18">
        <v>4</v>
      </c>
      <c r="AAA18">
        <v>1</v>
      </c>
      <c r="AAB18">
        <v>2</v>
      </c>
      <c r="AAC18">
        <v>3</v>
      </c>
      <c r="AAD18">
        <v>3</v>
      </c>
      <c r="AAE18">
        <v>2</v>
      </c>
      <c r="AAF18">
        <v>4</v>
      </c>
      <c r="AAG18">
        <v>0</v>
      </c>
      <c r="AAH18">
        <v>3</v>
      </c>
      <c r="AAI18">
        <v>20</v>
      </c>
      <c r="AAJ18">
        <v>12</v>
      </c>
      <c r="AAK18">
        <v>14</v>
      </c>
      <c r="AAL18">
        <v>46</v>
      </c>
      <c r="AAM18">
        <v>2</v>
      </c>
      <c r="AAN18" s="1">
        <v>45502.605555555558</v>
      </c>
      <c r="AAO18">
        <v>1</v>
      </c>
      <c r="AAP18">
        <v>8</v>
      </c>
      <c r="AAQ18">
        <v>1</v>
      </c>
      <c r="AAR18">
        <v>10</v>
      </c>
      <c r="AAS18">
        <v>8</v>
      </c>
      <c r="AAT18">
        <v>19</v>
      </c>
      <c r="AAU18">
        <v>10</v>
      </c>
      <c r="AAV18">
        <v>8</v>
      </c>
      <c r="AAW18">
        <v>8</v>
      </c>
      <c r="AAX18">
        <v>10</v>
      </c>
      <c r="AAY18">
        <v>8</v>
      </c>
      <c r="AAZ18">
        <v>9</v>
      </c>
      <c r="ABA18">
        <v>10</v>
      </c>
      <c r="ABB18">
        <v>10</v>
      </c>
      <c r="ABC18">
        <v>8</v>
      </c>
      <c r="ABD18">
        <v>7</v>
      </c>
      <c r="ABE18">
        <v>10.28571429</v>
      </c>
      <c r="ABF18">
        <v>2</v>
      </c>
      <c r="ABG18" s="1">
        <v>45502.606944444444</v>
      </c>
      <c r="ABH18">
        <v>1</v>
      </c>
      <c r="ABI18">
        <v>1</v>
      </c>
      <c r="ABJ18">
        <v>0</v>
      </c>
      <c r="ABK18">
        <v>0</v>
      </c>
      <c r="ABL18">
        <v>1</v>
      </c>
      <c r="ABM18">
        <v>1</v>
      </c>
      <c r="ABN18">
        <v>1</v>
      </c>
      <c r="ABO18">
        <v>1</v>
      </c>
      <c r="ABP18">
        <v>0</v>
      </c>
      <c r="ABQ18">
        <v>1</v>
      </c>
      <c r="ABR18">
        <v>0</v>
      </c>
      <c r="ABS18">
        <v>0</v>
      </c>
      <c r="ABT18">
        <v>0</v>
      </c>
      <c r="ABU18">
        <v>0</v>
      </c>
      <c r="ABV18">
        <v>0</v>
      </c>
      <c r="ABW18">
        <v>0</v>
      </c>
      <c r="ABX18">
        <v>0</v>
      </c>
      <c r="ABY18">
        <v>0</v>
      </c>
      <c r="ABZ18">
        <v>0</v>
      </c>
      <c r="ACA18">
        <v>1</v>
      </c>
      <c r="ACB18">
        <v>1</v>
      </c>
      <c r="ACC18">
        <v>1</v>
      </c>
      <c r="ACD18">
        <v>1</v>
      </c>
      <c r="ACE18">
        <v>0</v>
      </c>
      <c r="ACF18">
        <v>0</v>
      </c>
      <c r="ACG18">
        <v>0</v>
      </c>
      <c r="ACH18">
        <v>0</v>
      </c>
      <c r="ACI18">
        <v>0</v>
      </c>
      <c r="ACJ18">
        <v>1</v>
      </c>
      <c r="ACK18">
        <v>1</v>
      </c>
      <c r="ACL18">
        <v>0</v>
      </c>
      <c r="ACM18">
        <v>0</v>
      </c>
      <c r="ACN18">
        <v>1</v>
      </c>
      <c r="ACO18">
        <v>1</v>
      </c>
      <c r="ACP18">
        <v>1</v>
      </c>
      <c r="ACQ18">
        <v>1</v>
      </c>
      <c r="ACR18">
        <v>1</v>
      </c>
      <c r="ACS18">
        <v>1</v>
      </c>
      <c r="ACT18">
        <v>0</v>
      </c>
      <c r="ACU18">
        <v>0</v>
      </c>
      <c r="ACV18">
        <v>0</v>
      </c>
      <c r="ACW18">
        <v>0</v>
      </c>
      <c r="ACX18">
        <v>1</v>
      </c>
      <c r="ACY18">
        <v>1</v>
      </c>
      <c r="ACZ18">
        <v>1</v>
      </c>
      <c r="ADA18">
        <v>1</v>
      </c>
      <c r="ADB18">
        <v>0</v>
      </c>
      <c r="ADC18">
        <v>1</v>
      </c>
      <c r="ADD18">
        <v>1</v>
      </c>
      <c r="ADE18">
        <v>0</v>
      </c>
      <c r="ADF18">
        <v>0</v>
      </c>
      <c r="ADG18">
        <v>0</v>
      </c>
      <c r="ADH18">
        <v>0</v>
      </c>
      <c r="ADI18">
        <v>1</v>
      </c>
      <c r="ADJ18">
        <v>1</v>
      </c>
      <c r="ADK18">
        <v>0</v>
      </c>
      <c r="ADL18">
        <v>0</v>
      </c>
      <c r="ADM18">
        <v>1</v>
      </c>
      <c r="ADN18">
        <v>0</v>
      </c>
      <c r="ADO18">
        <v>0</v>
      </c>
      <c r="ADP18">
        <v>1</v>
      </c>
      <c r="ADQ18">
        <v>0</v>
      </c>
      <c r="ADR18">
        <v>0</v>
      </c>
      <c r="ADS18">
        <v>0</v>
      </c>
      <c r="ADT18">
        <v>0</v>
      </c>
      <c r="ADU18">
        <v>0</v>
      </c>
      <c r="ADV18">
        <v>1</v>
      </c>
      <c r="ADW18">
        <v>1</v>
      </c>
      <c r="ADX18">
        <v>0</v>
      </c>
      <c r="ADY18">
        <v>0</v>
      </c>
      <c r="ADZ18">
        <v>1</v>
      </c>
      <c r="AEA18">
        <v>1</v>
      </c>
      <c r="AEB18">
        <v>1</v>
      </c>
      <c r="AEC18">
        <v>1</v>
      </c>
      <c r="AEE18">
        <v>2</v>
      </c>
      <c r="AEF18" s="1">
        <v>45502.607638888891</v>
      </c>
      <c r="AEG18">
        <v>4</v>
      </c>
      <c r="AEH18">
        <v>1</v>
      </c>
      <c r="AEI18">
        <v>3</v>
      </c>
      <c r="AEJ18">
        <v>2</v>
      </c>
      <c r="AEK18">
        <v>3</v>
      </c>
      <c r="AEL18">
        <v>0</v>
      </c>
      <c r="AEM18">
        <v>1</v>
      </c>
      <c r="AEN18">
        <v>1</v>
      </c>
      <c r="AEO18">
        <v>0</v>
      </c>
      <c r="AEP18">
        <v>1</v>
      </c>
      <c r="AEQ18">
        <v>0</v>
      </c>
      <c r="AER18">
        <v>4</v>
      </c>
      <c r="AES18">
        <v>4</v>
      </c>
      <c r="AET18">
        <v>0</v>
      </c>
      <c r="AEU18">
        <v>2</v>
      </c>
      <c r="AEV18">
        <v>2</v>
      </c>
      <c r="AEW18">
        <v>3</v>
      </c>
      <c r="AEX18">
        <v>4</v>
      </c>
      <c r="AEY18">
        <v>4</v>
      </c>
      <c r="AEZ18">
        <v>2</v>
      </c>
      <c r="AFA18">
        <v>1</v>
      </c>
      <c r="AFB18">
        <v>2</v>
      </c>
      <c r="AFC18">
        <v>4</v>
      </c>
      <c r="AFD18">
        <v>0</v>
      </c>
      <c r="AFE18">
        <v>2</v>
      </c>
      <c r="AFF18">
        <v>1</v>
      </c>
      <c r="AFG18">
        <v>2</v>
      </c>
      <c r="AFH18">
        <v>0</v>
      </c>
      <c r="AFI18">
        <v>4</v>
      </c>
      <c r="AFJ18">
        <v>1</v>
      </c>
      <c r="AFK18">
        <v>12</v>
      </c>
      <c r="AFL18">
        <v>7</v>
      </c>
      <c r="AFM18">
        <v>3</v>
      </c>
      <c r="AFN18">
        <v>17</v>
      </c>
      <c r="AFO18">
        <v>12</v>
      </c>
      <c r="AFP18">
        <v>7</v>
      </c>
      <c r="AFQ18">
        <v>44</v>
      </c>
      <c r="AFR18">
        <v>2</v>
      </c>
      <c r="AFS18" s="1">
        <v>45502.609027777777</v>
      </c>
      <c r="AFT18">
        <v>3</v>
      </c>
      <c r="AFU18">
        <v>1</v>
      </c>
      <c r="AFV18">
        <v>4</v>
      </c>
      <c r="AFW18">
        <v>4</v>
      </c>
      <c r="AFX18">
        <v>1</v>
      </c>
      <c r="AFY18">
        <v>2</v>
      </c>
      <c r="AFZ18">
        <v>2</v>
      </c>
      <c r="AGA18">
        <v>2</v>
      </c>
      <c r="AGB18">
        <v>1</v>
      </c>
      <c r="AGC18">
        <v>2</v>
      </c>
      <c r="AGD18">
        <v>2</v>
      </c>
      <c r="AGE18">
        <v>1</v>
      </c>
      <c r="AGF18">
        <v>1</v>
      </c>
      <c r="AGG18">
        <v>4</v>
      </c>
      <c r="AGH18">
        <v>1</v>
      </c>
      <c r="AGI18">
        <v>1</v>
      </c>
      <c r="AGJ18">
        <v>4</v>
      </c>
      <c r="AGK18">
        <v>3</v>
      </c>
      <c r="AGL18">
        <v>2</v>
      </c>
      <c r="AGM18">
        <v>3</v>
      </c>
      <c r="AGN18">
        <v>58</v>
      </c>
      <c r="AGO18">
        <v>2</v>
      </c>
      <c r="AGP18" s="1">
        <v>45502.609027777777</v>
      </c>
      <c r="AGQ18">
        <v>0</v>
      </c>
      <c r="AGV18">
        <v>0</v>
      </c>
      <c r="AGW18">
        <v>0</v>
      </c>
      <c r="AGX18">
        <v>0</v>
      </c>
      <c r="AGY18">
        <v>0</v>
      </c>
      <c r="AGZ18">
        <v>0</v>
      </c>
      <c r="AHB18">
        <v>2</v>
      </c>
      <c r="AHC18" s="1">
        <v>45502.612500000003</v>
      </c>
      <c r="AHD18" t="s">
        <v>212</v>
      </c>
      <c r="AHE18" t="s">
        <v>212</v>
      </c>
      <c r="AHF18">
        <v>5</v>
      </c>
      <c r="AHG18" t="s">
        <v>279</v>
      </c>
      <c r="AHH18">
        <v>9</v>
      </c>
      <c r="AHI18" t="s">
        <v>336</v>
      </c>
      <c r="AHJ18" t="s">
        <v>337</v>
      </c>
      <c r="AHK18" t="s">
        <v>338</v>
      </c>
      <c r="AHL18" t="s">
        <v>212</v>
      </c>
      <c r="AHM18" t="s">
        <v>339</v>
      </c>
      <c r="AHN18">
        <v>6</v>
      </c>
      <c r="AHO18">
        <v>7</v>
      </c>
      <c r="AHP18" t="s">
        <v>279</v>
      </c>
      <c r="AHQ18" t="s">
        <v>340</v>
      </c>
      <c r="AHR18" t="s">
        <v>341</v>
      </c>
      <c r="AHS18" t="s">
        <v>212</v>
      </c>
      <c r="AHT18" t="s">
        <v>342</v>
      </c>
      <c r="AHU18" t="s">
        <v>211</v>
      </c>
    </row>
    <row r="19" spans="1:905">
      <c r="A19">
        <v>150</v>
      </c>
      <c r="B19" t="s">
        <v>205</v>
      </c>
      <c r="C19" t="s">
        <v>343</v>
      </c>
      <c r="D19">
        <v>2</v>
      </c>
      <c r="E19">
        <v>2</v>
      </c>
      <c r="F19">
        <v>41</v>
      </c>
      <c r="G19">
        <v>69</v>
      </c>
      <c r="H19">
        <v>185</v>
      </c>
      <c r="I19">
        <v>0</v>
      </c>
      <c r="J19">
        <v>5</v>
      </c>
      <c r="L19" t="s">
        <v>344</v>
      </c>
      <c r="M19">
        <v>2</v>
      </c>
      <c r="N19" s="1">
        <v>45514.697916666664</v>
      </c>
      <c r="O19">
        <v>9</v>
      </c>
      <c r="P19">
        <v>0</v>
      </c>
      <c r="R19">
        <v>0</v>
      </c>
      <c r="S19">
        <v>1</v>
      </c>
      <c r="T19">
        <v>0</v>
      </c>
      <c r="U19">
        <v>0</v>
      </c>
      <c r="V19">
        <v>0</v>
      </c>
      <c r="W19">
        <v>0</v>
      </c>
      <c r="X19">
        <v>0</v>
      </c>
      <c r="Y19">
        <v>0</v>
      </c>
      <c r="Z19">
        <v>0</v>
      </c>
      <c r="AA19">
        <v>0</v>
      </c>
      <c r="AB19">
        <v>0</v>
      </c>
      <c r="AC19" t="s">
        <v>208</v>
      </c>
      <c r="AD19">
        <v>2</v>
      </c>
      <c r="AE19" s="1">
        <v>45514.698611111111</v>
      </c>
      <c r="AF19">
        <v>4</v>
      </c>
      <c r="AG19">
        <v>1</v>
      </c>
      <c r="AH19">
        <v>4</v>
      </c>
      <c r="AI19">
        <v>1</v>
      </c>
      <c r="AJ19">
        <v>1</v>
      </c>
      <c r="AK19">
        <v>3</v>
      </c>
      <c r="AL19">
        <v>4</v>
      </c>
      <c r="AM19">
        <v>1</v>
      </c>
      <c r="AN19">
        <v>1</v>
      </c>
      <c r="AO19">
        <v>4</v>
      </c>
      <c r="AP19">
        <v>1</v>
      </c>
      <c r="AQ19">
        <v>1</v>
      </c>
      <c r="AR19">
        <v>4</v>
      </c>
      <c r="AS19">
        <v>3</v>
      </c>
      <c r="AT19">
        <v>1</v>
      </c>
      <c r="AU19">
        <v>4</v>
      </c>
      <c r="AV19">
        <v>2</v>
      </c>
      <c r="AW19">
        <v>1</v>
      </c>
      <c r="AX19">
        <v>4</v>
      </c>
      <c r="AY19">
        <v>1</v>
      </c>
      <c r="AZ19">
        <v>23</v>
      </c>
      <c r="BA19">
        <v>2</v>
      </c>
      <c r="BB19" s="1">
        <v>45514.698611111111</v>
      </c>
      <c r="BC19">
        <v>12</v>
      </c>
      <c r="BD19">
        <v>6</v>
      </c>
      <c r="BE19">
        <v>1</v>
      </c>
      <c r="BI19" s="2">
        <v>45511</v>
      </c>
      <c r="BM19">
        <v>24</v>
      </c>
      <c r="BN19">
        <v>8</v>
      </c>
      <c r="BO19">
        <v>2</v>
      </c>
      <c r="BP19">
        <v>1</v>
      </c>
      <c r="BQ19">
        <v>0</v>
      </c>
      <c r="BR19">
        <v>0</v>
      </c>
      <c r="BS19">
        <v>0</v>
      </c>
      <c r="BT19">
        <v>0</v>
      </c>
      <c r="BU19">
        <v>0</v>
      </c>
      <c r="BV19">
        <v>0</v>
      </c>
      <c r="BW19">
        <v>0</v>
      </c>
      <c r="BY19">
        <v>2</v>
      </c>
      <c r="BZ19" s="1">
        <v>45514.704861111109</v>
      </c>
      <c r="CA19">
        <v>4</v>
      </c>
      <c r="CB19">
        <v>2</v>
      </c>
      <c r="CC19">
        <v>4</v>
      </c>
      <c r="CD19">
        <v>2</v>
      </c>
      <c r="CE19">
        <v>3</v>
      </c>
      <c r="CF19">
        <v>4</v>
      </c>
      <c r="CG19">
        <v>2</v>
      </c>
      <c r="CH19">
        <v>4</v>
      </c>
      <c r="CI19">
        <v>3</v>
      </c>
      <c r="CJ19">
        <v>2</v>
      </c>
      <c r="CK19">
        <v>1</v>
      </c>
      <c r="CL19">
        <v>4</v>
      </c>
      <c r="CM19">
        <v>2</v>
      </c>
      <c r="CN19">
        <v>1</v>
      </c>
      <c r="CO19">
        <v>3</v>
      </c>
      <c r="CP19">
        <v>1</v>
      </c>
      <c r="CQ19">
        <v>1</v>
      </c>
      <c r="CR19">
        <v>4</v>
      </c>
      <c r="CS19">
        <v>4</v>
      </c>
      <c r="CT19">
        <v>4</v>
      </c>
      <c r="CU19">
        <v>10</v>
      </c>
      <c r="CV19">
        <v>8</v>
      </c>
      <c r="CW19">
        <v>20</v>
      </c>
      <c r="CX19">
        <v>38</v>
      </c>
      <c r="CY19">
        <v>15</v>
      </c>
      <c r="CZ19">
        <v>2</v>
      </c>
      <c r="DA19" s="1">
        <v>45514.706250000003</v>
      </c>
      <c r="DB19">
        <v>0</v>
      </c>
      <c r="DC19">
        <v>1</v>
      </c>
      <c r="DD19">
        <v>1</v>
      </c>
      <c r="DE19">
        <v>0</v>
      </c>
      <c r="DF19">
        <v>0</v>
      </c>
      <c r="DG19">
        <v>0</v>
      </c>
      <c r="DH19">
        <v>0</v>
      </c>
      <c r="DI19">
        <v>0</v>
      </c>
      <c r="DJ19">
        <v>0</v>
      </c>
      <c r="DK19">
        <v>1</v>
      </c>
      <c r="DL19">
        <v>0</v>
      </c>
      <c r="DM19">
        <v>1</v>
      </c>
      <c r="DN19">
        <v>1</v>
      </c>
      <c r="DO19">
        <v>0</v>
      </c>
      <c r="DP19">
        <v>0</v>
      </c>
      <c r="DQ19">
        <v>0</v>
      </c>
      <c r="DR19">
        <v>1</v>
      </c>
      <c r="DS19">
        <v>1</v>
      </c>
      <c r="DT19">
        <v>0</v>
      </c>
      <c r="DU19">
        <v>0</v>
      </c>
      <c r="DV19">
        <v>0</v>
      </c>
      <c r="DW19">
        <v>1</v>
      </c>
      <c r="DX19">
        <v>0</v>
      </c>
      <c r="DY19">
        <v>0</v>
      </c>
      <c r="DZ19">
        <v>0</v>
      </c>
      <c r="EA19">
        <v>0</v>
      </c>
      <c r="EB19">
        <v>1</v>
      </c>
      <c r="EC19">
        <v>1</v>
      </c>
      <c r="ED19">
        <v>0</v>
      </c>
      <c r="EE19">
        <v>0</v>
      </c>
      <c r="EF19">
        <v>0</v>
      </c>
      <c r="EG19">
        <v>1</v>
      </c>
      <c r="EH19">
        <v>1</v>
      </c>
      <c r="EI19">
        <v>0</v>
      </c>
      <c r="EJ19">
        <v>0</v>
      </c>
      <c r="EK19">
        <v>0</v>
      </c>
      <c r="EL19">
        <v>1</v>
      </c>
      <c r="EM19">
        <v>1</v>
      </c>
      <c r="EN19">
        <v>0</v>
      </c>
      <c r="EO19">
        <v>0</v>
      </c>
      <c r="EP19">
        <v>0</v>
      </c>
      <c r="EQ19">
        <v>1</v>
      </c>
      <c r="ER19">
        <v>1</v>
      </c>
      <c r="ES19">
        <v>0</v>
      </c>
      <c r="ET19">
        <v>0</v>
      </c>
      <c r="EU19">
        <v>0</v>
      </c>
      <c r="EV19">
        <v>0</v>
      </c>
      <c r="EW19">
        <v>1</v>
      </c>
      <c r="EX19">
        <v>0</v>
      </c>
      <c r="EY19">
        <v>0</v>
      </c>
      <c r="EZ19">
        <v>0</v>
      </c>
      <c r="FA19">
        <v>0</v>
      </c>
      <c r="FB19">
        <v>1</v>
      </c>
      <c r="FC19">
        <v>0</v>
      </c>
      <c r="FD19">
        <v>0</v>
      </c>
      <c r="FE19">
        <v>0</v>
      </c>
      <c r="FF19">
        <v>1</v>
      </c>
      <c r="FG19">
        <v>1</v>
      </c>
      <c r="FH19">
        <v>0</v>
      </c>
      <c r="FI19">
        <v>0</v>
      </c>
      <c r="FJ19">
        <v>0</v>
      </c>
      <c r="FK19">
        <v>0</v>
      </c>
      <c r="FL19">
        <v>1</v>
      </c>
      <c r="FM19">
        <v>0</v>
      </c>
      <c r="FN19">
        <v>0</v>
      </c>
      <c r="FO19">
        <v>0</v>
      </c>
      <c r="FP19">
        <v>0</v>
      </c>
      <c r="FQ19">
        <v>1</v>
      </c>
      <c r="FR19">
        <v>0</v>
      </c>
      <c r="FS19">
        <v>0</v>
      </c>
      <c r="FT19">
        <v>1</v>
      </c>
      <c r="FU19">
        <v>1</v>
      </c>
      <c r="FV19">
        <v>1</v>
      </c>
      <c r="FW19">
        <v>0</v>
      </c>
      <c r="FX19">
        <v>0</v>
      </c>
      <c r="FY19">
        <v>0</v>
      </c>
      <c r="FZ19">
        <v>0</v>
      </c>
      <c r="GA19">
        <v>0</v>
      </c>
      <c r="GB19">
        <v>0</v>
      </c>
      <c r="GC19">
        <v>1</v>
      </c>
      <c r="GD19">
        <v>0</v>
      </c>
      <c r="GE19">
        <v>0</v>
      </c>
      <c r="GF19">
        <v>0</v>
      </c>
      <c r="GG19">
        <v>0</v>
      </c>
      <c r="GH19">
        <v>1</v>
      </c>
      <c r="GI19">
        <v>2</v>
      </c>
      <c r="GJ19" s="1">
        <v>45514.706944444442</v>
      </c>
      <c r="GK19">
        <v>0</v>
      </c>
      <c r="HF19">
        <v>2</v>
      </c>
      <c r="HG19" s="1">
        <v>45514.706944444442</v>
      </c>
      <c r="HH19">
        <v>10</v>
      </c>
      <c r="HI19">
        <v>13</v>
      </c>
      <c r="HJ19">
        <v>13</v>
      </c>
      <c r="HK19">
        <v>2</v>
      </c>
      <c r="HL19" s="1">
        <v>45520.551388888889</v>
      </c>
      <c r="HM19">
        <v>0</v>
      </c>
      <c r="HN19">
        <v>0</v>
      </c>
      <c r="HO19">
        <v>0</v>
      </c>
      <c r="HP19">
        <v>0</v>
      </c>
      <c r="HQ19">
        <v>0</v>
      </c>
      <c r="HR19">
        <v>0</v>
      </c>
      <c r="HS19">
        <v>0</v>
      </c>
      <c r="HT19">
        <v>0</v>
      </c>
      <c r="HU19">
        <v>0</v>
      </c>
      <c r="HV19">
        <v>0</v>
      </c>
      <c r="HW19">
        <v>0</v>
      </c>
      <c r="HX19">
        <v>0</v>
      </c>
      <c r="HY19">
        <v>0</v>
      </c>
      <c r="HZ19">
        <v>0</v>
      </c>
      <c r="IA19">
        <v>0</v>
      </c>
      <c r="IB19">
        <v>0</v>
      </c>
      <c r="IC19">
        <v>0</v>
      </c>
      <c r="ID19">
        <v>0</v>
      </c>
      <c r="IE19">
        <v>0</v>
      </c>
      <c r="IF19">
        <v>0</v>
      </c>
      <c r="IG19">
        <v>0</v>
      </c>
      <c r="IH19">
        <v>0</v>
      </c>
      <c r="II19">
        <v>2</v>
      </c>
      <c r="IJ19" s="1">
        <v>45520.551388888889</v>
      </c>
      <c r="IK19">
        <v>0</v>
      </c>
      <c r="IL19">
        <v>0</v>
      </c>
      <c r="IM19">
        <v>0</v>
      </c>
      <c r="IN19">
        <v>0</v>
      </c>
      <c r="IO19">
        <v>0</v>
      </c>
      <c r="IP19">
        <v>0</v>
      </c>
      <c r="IQ19">
        <v>0</v>
      </c>
      <c r="IR19">
        <v>0</v>
      </c>
      <c r="IS19">
        <v>0</v>
      </c>
      <c r="IT19">
        <v>0</v>
      </c>
      <c r="IU19">
        <v>0</v>
      </c>
      <c r="IV19">
        <v>0</v>
      </c>
      <c r="IW19">
        <v>0</v>
      </c>
      <c r="IX19">
        <v>0</v>
      </c>
      <c r="IY19">
        <v>0</v>
      </c>
      <c r="IZ19">
        <v>0</v>
      </c>
      <c r="JA19">
        <v>0</v>
      </c>
      <c r="JB19">
        <v>0</v>
      </c>
      <c r="JC19">
        <v>0</v>
      </c>
      <c r="JD19">
        <v>1</v>
      </c>
      <c r="JN19">
        <v>0</v>
      </c>
      <c r="JQ19">
        <v>2</v>
      </c>
      <c r="JR19" s="1">
        <v>45520.551388888889</v>
      </c>
      <c r="JS19">
        <v>0</v>
      </c>
      <c r="JT19">
        <v>0</v>
      </c>
      <c r="JU19">
        <v>0</v>
      </c>
      <c r="JV19">
        <v>0</v>
      </c>
      <c r="JW19">
        <v>2</v>
      </c>
      <c r="JX19" s="1">
        <v>45520.551388888889</v>
      </c>
      <c r="JY19">
        <v>39.1</v>
      </c>
      <c r="JZ19">
        <v>2.8</v>
      </c>
      <c r="KI19">
        <v>1</v>
      </c>
      <c r="KJ19">
        <v>38.700000000000003</v>
      </c>
      <c r="KK19">
        <v>5.9</v>
      </c>
      <c r="KL19">
        <v>1</v>
      </c>
      <c r="SQ19">
        <v>2</v>
      </c>
      <c r="SR19">
        <v>36.799999999999997</v>
      </c>
      <c r="SS19">
        <v>3.6</v>
      </c>
      <c r="ST19">
        <v>3</v>
      </c>
      <c r="TW19">
        <v>2</v>
      </c>
      <c r="TX19">
        <v>39.1</v>
      </c>
      <c r="TY19">
        <v>2.8</v>
      </c>
      <c r="TZ19">
        <v>4</v>
      </c>
      <c r="WQ19">
        <v>1</v>
      </c>
      <c r="WR19">
        <v>34.6</v>
      </c>
      <c r="WS19">
        <v>5.2</v>
      </c>
      <c r="WT19">
        <v>2</v>
      </c>
      <c r="YQ19">
        <v>2</v>
      </c>
      <c r="YR19" s="1">
        <v>45520.552083333336</v>
      </c>
      <c r="YS19">
        <v>5</v>
      </c>
      <c r="YT19">
        <v>1</v>
      </c>
      <c r="YU19">
        <v>5</v>
      </c>
      <c r="YV19">
        <v>1</v>
      </c>
      <c r="YW19">
        <v>4</v>
      </c>
      <c r="YX19">
        <v>1</v>
      </c>
      <c r="YY19">
        <v>1</v>
      </c>
      <c r="YZ19">
        <v>1</v>
      </c>
      <c r="ZA19">
        <v>5</v>
      </c>
      <c r="ZB19">
        <v>4</v>
      </c>
      <c r="ZC19">
        <v>1</v>
      </c>
      <c r="ZD19">
        <v>4</v>
      </c>
      <c r="ZE19">
        <v>1</v>
      </c>
      <c r="ZF19">
        <v>5</v>
      </c>
      <c r="ZG19">
        <v>1</v>
      </c>
      <c r="ZH19">
        <v>5</v>
      </c>
      <c r="ZI19">
        <v>5</v>
      </c>
      <c r="ZJ19">
        <v>1</v>
      </c>
      <c r="ZK19">
        <v>4</v>
      </c>
      <c r="ZL19">
        <v>1</v>
      </c>
      <c r="ZM19">
        <v>46</v>
      </c>
      <c r="ZN19">
        <v>10</v>
      </c>
      <c r="ZO19">
        <v>2</v>
      </c>
      <c r="ZP19" s="1">
        <v>45520.552777777775</v>
      </c>
      <c r="ZQ19">
        <v>0</v>
      </c>
      <c r="ZR19">
        <v>0</v>
      </c>
      <c r="ZS19">
        <v>0</v>
      </c>
      <c r="ZT19">
        <v>0</v>
      </c>
      <c r="ZU19">
        <v>0</v>
      </c>
      <c r="ZV19">
        <v>0</v>
      </c>
      <c r="ZW19">
        <v>0</v>
      </c>
      <c r="ZX19">
        <v>0</v>
      </c>
      <c r="ZY19">
        <v>0</v>
      </c>
      <c r="ZZ19">
        <v>0</v>
      </c>
      <c r="AAA19">
        <v>0</v>
      </c>
      <c r="AAB19">
        <v>0</v>
      </c>
      <c r="AAC19">
        <v>0</v>
      </c>
      <c r="AAD19">
        <v>0</v>
      </c>
      <c r="AAE19">
        <v>0</v>
      </c>
      <c r="AAF19">
        <v>0</v>
      </c>
      <c r="AAG19">
        <v>0</v>
      </c>
      <c r="AAH19">
        <v>0</v>
      </c>
      <c r="AAI19">
        <v>0</v>
      </c>
      <c r="AAJ19">
        <v>0</v>
      </c>
      <c r="AAK19">
        <v>0</v>
      </c>
      <c r="AAL19">
        <v>0</v>
      </c>
      <c r="AAM19">
        <v>2</v>
      </c>
      <c r="AAN19" s="1">
        <v>45520.552777777775</v>
      </c>
      <c r="AAO19">
        <v>0</v>
      </c>
      <c r="ABF19">
        <v>2</v>
      </c>
      <c r="ABG19" s="1">
        <v>45520.552777777775</v>
      </c>
      <c r="ABH19">
        <v>0</v>
      </c>
      <c r="ABI19">
        <v>0</v>
      </c>
      <c r="ABJ19">
        <v>0</v>
      </c>
      <c r="ABK19">
        <v>0</v>
      </c>
      <c r="ABL19">
        <v>0</v>
      </c>
      <c r="ABM19">
        <v>0</v>
      </c>
      <c r="ABN19">
        <v>0</v>
      </c>
      <c r="ABO19">
        <v>0</v>
      </c>
      <c r="ABP19">
        <v>0</v>
      </c>
      <c r="ABQ19">
        <v>0</v>
      </c>
      <c r="ABR19">
        <v>0</v>
      </c>
      <c r="ABS19">
        <v>0</v>
      </c>
      <c r="ABT19">
        <v>0</v>
      </c>
      <c r="ABU19">
        <v>0</v>
      </c>
      <c r="ABV19">
        <v>0</v>
      </c>
      <c r="ABW19">
        <v>0</v>
      </c>
      <c r="ABX19">
        <v>0</v>
      </c>
      <c r="ABY19">
        <v>0</v>
      </c>
      <c r="ABZ19">
        <v>0</v>
      </c>
      <c r="ACA19">
        <v>0</v>
      </c>
      <c r="ACB19">
        <v>0</v>
      </c>
      <c r="ACC19">
        <v>0</v>
      </c>
      <c r="ACD19">
        <v>0</v>
      </c>
      <c r="ACE19">
        <v>0</v>
      </c>
      <c r="ACF19">
        <v>0</v>
      </c>
      <c r="ACG19">
        <v>0</v>
      </c>
      <c r="ACH19">
        <v>0</v>
      </c>
      <c r="ACI19">
        <v>0</v>
      </c>
      <c r="ACJ19">
        <v>0</v>
      </c>
      <c r="ACK19">
        <v>0</v>
      </c>
      <c r="ACL19">
        <v>0</v>
      </c>
      <c r="ACM19">
        <v>0</v>
      </c>
      <c r="ACN19">
        <v>0</v>
      </c>
      <c r="ACO19">
        <v>0</v>
      </c>
      <c r="ACP19">
        <v>0</v>
      </c>
      <c r="ACQ19">
        <v>0</v>
      </c>
      <c r="ACR19">
        <v>0</v>
      </c>
      <c r="ACS19">
        <v>0</v>
      </c>
      <c r="ACT19">
        <v>0</v>
      </c>
      <c r="ACU19">
        <v>0</v>
      </c>
      <c r="ACV19">
        <v>0</v>
      </c>
      <c r="ACW19">
        <v>0</v>
      </c>
      <c r="ACX19">
        <v>0</v>
      </c>
      <c r="ACY19">
        <v>0</v>
      </c>
      <c r="ACZ19">
        <v>0</v>
      </c>
      <c r="ADA19">
        <v>0</v>
      </c>
      <c r="ADB19">
        <v>0</v>
      </c>
      <c r="ADC19">
        <v>0</v>
      </c>
      <c r="ADD19">
        <v>0</v>
      </c>
      <c r="ADE19">
        <v>0</v>
      </c>
      <c r="ADF19">
        <v>0</v>
      </c>
      <c r="ADG19">
        <v>0</v>
      </c>
      <c r="ADH19">
        <v>0</v>
      </c>
      <c r="ADI19">
        <v>0</v>
      </c>
      <c r="ADJ19">
        <v>0</v>
      </c>
      <c r="ADK19">
        <v>0</v>
      </c>
      <c r="ADL19">
        <v>0</v>
      </c>
      <c r="ADM19">
        <v>0</v>
      </c>
      <c r="ADN19">
        <v>0</v>
      </c>
      <c r="ADO19">
        <v>0</v>
      </c>
      <c r="ADP19">
        <v>0</v>
      </c>
      <c r="ADQ19">
        <v>0</v>
      </c>
      <c r="ADR19">
        <v>0</v>
      </c>
      <c r="ADS19">
        <v>0</v>
      </c>
      <c r="ADT19">
        <v>0</v>
      </c>
      <c r="ADU19">
        <v>0</v>
      </c>
      <c r="ADV19">
        <v>0</v>
      </c>
      <c r="ADW19">
        <v>0</v>
      </c>
      <c r="ADX19">
        <v>0</v>
      </c>
      <c r="ADY19">
        <v>0</v>
      </c>
      <c r="ADZ19">
        <v>0</v>
      </c>
      <c r="AEA19">
        <v>0</v>
      </c>
      <c r="AEB19">
        <v>0</v>
      </c>
      <c r="AEC19">
        <v>0</v>
      </c>
      <c r="AEE19">
        <v>2</v>
      </c>
      <c r="AEF19" s="1">
        <v>45520.552777777775</v>
      </c>
      <c r="AEG19">
        <v>0</v>
      </c>
      <c r="AEH19">
        <v>0</v>
      </c>
      <c r="AEI19">
        <v>0</v>
      </c>
      <c r="AEJ19">
        <v>2</v>
      </c>
      <c r="AEK19">
        <v>0</v>
      </c>
      <c r="AEL19">
        <v>0</v>
      </c>
      <c r="AEM19">
        <v>0</v>
      </c>
      <c r="AEN19">
        <v>2</v>
      </c>
      <c r="AEO19">
        <v>0</v>
      </c>
      <c r="AEP19">
        <v>2</v>
      </c>
      <c r="AEQ19">
        <v>0</v>
      </c>
      <c r="AER19">
        <v>0</v>
      </c>
      <c r="AES19">
        <v>0</v>
      </c>
      <c r="AET19">
        <v>0</v>
      </c>
      <c r="AEU19">
        <v>0</v>
      </c>
      <c r="AEV19">
        <v>0</v>
      </c>
      <c r="AEW19">
        <v>0</v>
      </c>
      <c r="AEX19">
        <v>0</v>
      </c>
      <c r="AEY19">
        <v>0</v>
      </c>
      <c r="AEZ19">
        <v>0</v>
      </c>
      <c r="AFA19">
        <v>0</v>
      </c>
      <c r="AFB19">
        <v>0</v>
      </c>
      <c r="AFC19">
        <v>0</v>
      </c>
      <c r="AFD19">
        <v>0</v>
      </c>
      <c r="AFE19">
        <v>0</v>
      </c>
      <c r="AFF19">
        <v>4</v>
      </c>
      <c r="AFG19">
        <v>3</v>
      </c>
      <c r="AFH19">
        <v>0</v>
      </c>
      <c r="AFI19">
        <v>0</v>
      </c>
      <c r="AFJ19">
        <v>2</v>
      </c>
      <c r="AFK19">
        <v>0</v>
      </c>
      <c r="AFL19">
        <v>0</v>
      </c>
      <c r="AFM19">
        <v>0</v>
      </c>
      <c r="AFN19">
        <v>0</v>
      </c>
      <c r="AFO19">
        <v>4</v>
      </c>
      <c r="AFP19">
        <v>11</v>
      </c>
      <c r="AFQ19">
        <v>-7</v>
      </c>
      <c r="AFR19">
        <v>2</v>
      </c>
      <c r="AFS19" s="1">
        <v>45520.553472222222</v>
      </c>
      <c r="AFT19">
        <v>4</v>
      </c>
      <c r="AFU19">
        <v>4</v>
      </c>
      <c r="AFV19">
        <v>1</v>
      </c>
      <c r="AFW19">
        <v>1</v>
      </c>
      <c r="AFX19">
        <v>4</v>
      </c>
      <c r="AFY19">
        <v>1</v>
      </c>
      <c r="AFZ19">
        <v>1</v>
      </c>
      <c r="AGA19">
        <v>4</v>
      </c>
      <c r="AGB19">
        <v>1</v>
      </c>
      <c r="AGC19">
        <v>4</v>
      </c>
      <c r="AGD19">
        <v>4</v>
      </c>
      <c r="AGE19">
        <v>1</v>
      </c>
      <c r="AGF19">
        <v>1</v>
      </c>
      <c r="AGG19">
        <v>1</v>
      </c>
      <c r="AGH19">
        <v>4</v>
      </c>
      <c r="AGI19">
        <v>4</v>
      </c>
      <c r="AGJ19">
        <v>1</v>
      </c>
      <c r="AGK19">
        <v>1</v>
      </c>
      <c r="AGL19">
        <v>4</v>
      </c>
      <c r="AGM19">
        <v>4</v>
      </c>
      <c r="AGN19">
        <v>20</v>
      </c>
      <c r="AGO19">
        <v>2</v>
      </c>
      <c r="AGP19" s="1">
        <v>45520.553472222222</v>
      </c>
      <c r="AGQ19">
        <v>0</v>
      </c>
      <c r="AGV19">
        <v>0</v>
      </c>
      <c r="AGW19">
        <v>0</v>
      </c>
      <c r="AGX19">
        <v>0</v>
      </c>
      <c r="AGY19">
        <v>0</v>
      </c>
      <c r="AGZ19">
        <v>0</v>
      </c>
      <c r="AHB19">
        <v>2</v>
      </c>
      <c r="AHC19" s="1">
        <v>45520.554166666669</v>
      </c>
      <c r="AHD19" t="s">
        <v>212</v>
      </c>
      <c r="AHE19" t="s">
        <v>212</v>
      </c>
      <c r="AHF19" t="s">
        <v>345</v>
      </c>
      <c r="AHG19">
        <v>9</v>
      </c>
      <c r="AHH19" t="s">
        <v>219</v>
      </c>
      <c r="AHI19" t="s">
        <v>346</v>
      </c>
      <c r="AHJ19" s="3">
        <v>45406</v>
      </c>
      <c r="AHK19" t="s">
        <v>300</v>
      </c>
      <c r="AHL19" t="s">
        <v>210</v>
      </c>
      <c r="AHN19" t="s">
        <v>345</v>
      </c>
      <c r="AHO19">
        <v>7</v>
      </c>
      <c r="AHP19" t="s">
        <v>219</v>
      </c>
      <c r="AHQ19" t="s">
        <v>347</v>
      </c>
      <c r="AHR19" t="s">
        <v>300</v>
      </c>
      <c r="AHS19" t="s">
        <v>210</v>
      </c>
      <c r="AHU19" t="s">
        <v>211</v>
      </c>
    </row>
    <row r="20" spans="1:905">
      <c r="A20">
        <v>151</v>
      </c>
      <c r="B20" t="s">
        <v>205</v>
      </c>
      <c r="C20" t="s">
        <v>348</v>
      </c>
      <c r="D20">
        <v>2</v>
      </c>
      <c r="E20">
        <v>2</v>
      </c>
      <c r="F20">
        <v>31</v>
      </c>
      <c r="G20">
        <v>63</v>
      </c>
      <c r="H20">
        <v>145</v>
      </c>
      <c r="I20">
        <v>0</v>
      </c>
      <c r="J20">
        <v>3</v>
      </c>
      <c r="L20" t="s">
        <v>349</v>
      </c>
      <c r="M20">
        <v>2</v>
      </c>
      <c r="N20" s="1">
        <v>45533.802083333336</v>
      </c>
      <c r="O20">
        <v>7</v>
      </c>
      <c r="P20">
        <v>0</v>
      </c>
      <c r="R20">
        <v>0</v>
      </c>
      <c r="S20">
        <v>1</v>
      </c>
      <c r="T20">
        <v>0</v>
      </c>
      <c r="U20">
        <v>0</v>
      </c>
      <c r="V20">
        <v>0</v>
      </c>
      <c r="W20">
        <v>0</v>
      </c>
      <c r="X20">
        <v>0</v>
      </c>
      <c r="Y20">
        <v>0</v>
      </c>
      <c r="Z20">
        <v>0</v>
      </c>
      <c r="AA20">
        <v>0</v>
      </c>
      <c r="AB20">
        <v>0</v>
      </c>
      <c r="AC20" t="s">
        <v>208</v>
      </c>
      <c r="AD20">
        <v>2</v>
      </c>
      <c r="AE20" s="1">
        <v>45533.806250000001</v>
      </c>
      <c r="AF20">
        <v>3</v>
      </c>
      <c r="AG20">
        <v>2</v>
      </c>
      <c r="AH20">
        <v>3</v>
      </c>
      <c r="AI20">
        <v>2</v>
      </c>
      <c r="AJ20">
        <v>1</v>
      </c>
      <c r="AK20">
        <v>2</v>
      </c>
      <c r="AL20">
        <v>2</v>
      </c>
      <c r="AM20">
        <v>2</v>
      </c>
      <c r="AN20">
        <v>2</v>
      </c>
      <c r="AO20">
        <v>3</v>
      </c>
      <c r="AP20">
        <v>2</v>
      </c>
      <c r="AQ20">
        <v>1</v>
      </c>
      <c r="AR20">
        <v>2</v>
      </c>
      <c r="AS20">
        <v>3</v>
      </c>
      <c r="AT20">
        <v>1</v>
      </c>
      <c r="AU20">
        <v>3</v>
      </c>
      <c r="AV20">
        <v>2</v>
      </c>
      <c r="AW20">
        <v>1</v>
      </c>
      <c r="AX20">
        <v>3</v>
      </c>
      <c r="AY20">
        <v>1</v>
      </c>
      <c r="AZ20">
        <v>38</v>
      </c>
      <c r="BA20">
        <v>2</v>
      </c>
      <c r="BB20" s="1">
        <v>45533.808333333334</v>
      </c>
      <c r="BC20">
        <v>12</v>
      </c>
      <c r="BD20">
        <v>2</v>
      </c>
      <c r="BE20">
        <v>1</v>
      </c>
      <c r="BI20" s="2">
        <v>45513</v>
      </c>
      <c r="BM20">
        <v>28</v>
      </c>
      <c r="BN20">
        <v>5</v>
      </c>
      <c r="BO20">
        <v>1</v>
      </c>
      <c r="BP20">
        <v>0</v>
      </c>
      <c r="BQ20">
        <v>1</v>
      </c>
      <c r="BR20">
        <v>0</v>
      </c>
      <c r="BS20">
        <v>0</v>
      </c>
      <c r="BT20">
        <v>0</v>
      </c>
      <c r="BU20">
        <v>0</v>
      </c>
      <c r="BV20">
        <v>0</v>
      </c>
      <c r="BW20">
        <v>0</v>
      </c>
      <c r="BX20" t="s">
        <v>350</v>
      </c>
      <c r="BY20">
        <v>2</v>
      </c>
      <c r="BZ20" s="1">
        <v>45533.80972222222</v>
      </c>
      <c r="CA20">
        <v>4</v>
      </c>
      <c r="CB20">
        <v>3</v>
      </c>
      <c r="CC20">
        <v>4</v>
      </c>
      <c r="CD20">
        <v>3</v>
      </c>
      <c r="CE20">
        <v>4</v>
      </c>
      <c r="CF20">
        <v>3</v>
      </c>
      <c r="CG20">
        <v>4</v>
      </c>
      <c r="CH20">
        <v>4</v>
      </c>
      <c r="CI20">
        <v>4</v>
      </c>
      <c r="CJ20">
        <v>2</v>
      </c>
      <c r="CK20">
        <v>4</v>
      </c>
      <c r="CL20">
        <v>4</v>
      </c>
      <c r="CM20">
        <v>2</v>
      </c>
      <c r="CN20">
        <v>4</v>
      </c>
      <c r="CO20">
        <v>3</v>
      </c>
      <c r="CP20">
        <v>4</v>
      </c>
      <c r="CQ20">
        <v>3</v>
      </c>
      <c r="CR20">
        <v>3</v>
      </c>
      <c r="CS20">
        <v>4</v>
      </c>
      <c r="CT20">
        <v>4</v>
      </c>
      <c r="CU20">
        <v>14</v>
      </c>
      <c r="CV20">
        <v>16</v>
      </c>
      <c r="CW20">
        <v>20</v>
      </c>
      <c r="CX20">
        <v>50</v>
      </c>
      <c r="CY20">
        <v>20</v>
      </c>
      <c r="CZ20">
        <v>2</v>
      </c>
      <c r="DA20" s="1">
        <v>45533.811111111114</v>
      </c>
      <c r="DB20">
        <v>0</v>
      </c>
      <c r="DC20">
        <v>0</v>
      </c>
      <c r="DD20">
        <v>0</v>
      </c>
      <c r="DE20">
        <v>0</v>
      </c>
      <c r="DF20">
        <v>1</v>
      </c>
      <c r="DG20">
        <v>0</v>
      </c>
      <c r="DH20">
        <v>1</v>
      </c>
      <c r="DI20">
        <v>0</v>
      </c>
      <c r="DJ20">
        <v>0</v>
      </c>
      <c r="DK20">
        <v>0</v>
      </c>
      <c r="DL20">
        <v>1</v>
      </c>
      <c r="DM20">
        <v>0</v>
      </c>
      <c r="DN20">
        <v>0</v>
      </c>
      <c r="DO20">
        <v>0</v>
      </c>
      <c r="DP20">
        <v>0</v>
      </c>
      <c r="DQ20">
        <v>1</v>
      </c>
      <c r="DR20">
        <v>0</v>
      </c>
      <c r="DS20">
        <v>0</v>
      </c>
      <c r="DT20">
        <v>0</v>
      </c>
      <c r="DU20">
        <v>0</v>
      </c>
      <c r="DV20">
        <v>0</v>
      </c>
      <c r="DW20">
        <v>0</v>
      </c>
      <c r="DX20">
        <v>0</v>
      </c>
      <c r="DY20">
        <v>0</v>
      </c>
      <c r="DZ20">
        <v>1</v>
      </c>
      <c r="EA20">
        <v>0</v>
      </c>
      <c r="EB20">
        <v>0</v>
      </c>
      <c r="EC20">
        <v>0</v>
      </c>
      <c r="ED20">
        <v>0</v>
      </c>
      <c r="EE20">
        <v>1</v>
      </c>
      <c r="EF20">
        <v>0</v>
      </c>
      <c r="EG20">
        <v>0</v>
      </c>
      <c r="EH20">
        <v>0</v>
      </c>
      <c r="EI20">
        <v>0</v>
      </c>
      <c r="EJ20">
        <v>1</v>
      </c>
      <c r="EK20">
        <v>0</v>
      </c>
      <c r="EL20">
        <v>0</v>
      </c>
      <c r="EM20">
        <v>0</v>
      </c>
      <c r="EN20">
        <v>0</v>
      </c>
      <c r="EO20">
        <v>1</v>
      </c>
      <c r="EP20">
        <v>0</v>
      </c>
      <c r="EQ20">
        <v>0</v>
      </c>
      <c r="ER20">
        <v>0</v>
      </c>
      <c r="ES20">
        <v>0</v>
      </c>
      <c r="ET20">
        <v>1</v>
      </c>
      <c r="EU20">
        <v>0</v>
      </c>
      <c r="EV20">
        <v>0</v>
      </c>
      <c r="EW20">
        <v>0</v>
      </c>
      <c r="EX20">
        <v>0</v>
      </c>
      <c r="EY20">
        <v>1</v>
      </c>
      <c r="EZ20">
        <v>0</v>
      </c>
      <c r="FA20">
        <v>0</v>
      </c>
      <c r="FB20">
        <v>0</v>
      </c>
      <c r="FC20">
        <v>0</v>
      </c>
      <c r="FD20">
        <v>1</v>
      </c>
      <c r="FE20">
        <v>1</v>
      </c>
      <c r="FF20">
        <v>1</v>
      </c>
      <c r="FG20">
        <v>0</v>
      </c>
      <c r="FH20">
        <v>0</v>
      </c>
      <c r="FI20">
        <v>0</v>
      </c>
      <c r="FJ20">
        <v>0</v>
      </c>
      <c r="FK20">
        <v>0</v>
      </c>
      <c r="FL20">
        <v>0</v>
      </c>
      <c r="FM20">
        <v>0</v>
      </c>
      <c r="FN20">
        <v>1</v>
      </c>
      <c r="FO20">
        <v>0</v>
      </c>
      <c r="FP20">
        <v>0</v>
      </c>
      <c r="FQ20">
        <v>0</v>
      </c>
      <c r="FR20">
        <v>0</v>
      </c>
      <c r="FS20">
        <v>1</v>
      </c>
      <c r="FT20">
        <v>0</v>
      </c>
      <c r="FU20">
        <v>1</v>
      </c>
      <c r="FV20">
        <v>0</v>
      </c>
      <c r="FW20">
        <v>0</v>
      </c>
      <c r="FX20">
        <v>0</v>
      </c>
      <c r="FY20">
        <v>0</v>
      </c>
      <c r="FZ20">
        <v>0</v>
      </c>
      <c r="GA20">
        <v>0</v>
      </c>
      <c r="GB20">
        <v>0</v>
      </c>
      <c r="GC20">
        <v>1</v>
      </c>
      <c r="GD20">
        <v>1</v>
      </c>
      <c r="GE20">
        <v>1</v>
      </c>
      <c r="GF20">
        <v>0</v>
      </c>
      <c r="GG20">
        <v>0</v>
      </c>
      <c r="GH20">
        <v>0</v>
      </c>
      <c r="GI20">
        <v>2</v>
      </c>
      <c r="GJ20" s="1">
        <v>45533.814583333333</v>
      </c>
      <c r="GK20">
        <v>1</v>
      </c>
      <c r="GL20">
        <v>3</v>
      </c>
      <c r="GM20">
        <v>3</v>
      </c>
      <c r="GN20">
        <v>2</v>
      </c>
      <c r="GO20">
        <v>3</v>
      </c>
      <c r="GP20">
        <v>4</v>
      </c>
      <c r="GQ20">
        <v>3</v>
      </c>
      <c r="GR20">
        <v>2</v>
      </c>
      <c r="GS20">
        <v>3</v>
      </c>
      <c r="GT20">
        <v>3</v>
      </c>
      <c r="GU20">
        <v>2</v>
      </c>
      <c r="GV20">
        <v>3</v>
      </c>
      <c r="GW20">
        <v>3</v>
      </c>
      <c r="GX20">
        <v>2</v>
      </c>
      <c r="GY20">
        <v>2</v>
      </c>
      <c r="GZ20">
        <v>2</v>
      </c>
      <c r="HA20">
        <v>3</v>
      </c>
      <c r="HB20">
        <v>3</v>
      </c>
      <c r="HC20">
        <v>18</v>
      </c>
      <c r="HD20">
        <v>13</v>
      </c>
      <c r="HE20">
        <v>42</v>
      </c>
      <c r="HF20">
        <v>2</v>
      </c>
      <c r="HG20" s="1">
        <v>45533.81527777778</v>
      </c>
      <c r="HH20">
        <v>6</v>
      </c>
      <c r="HI20">
        <v>6</v>
      </c>
      <c r="HJ20">
        <v>6</v>
      </c>
      <c r="HK20">
        <v>2</v>
      </c>
      <c r="HL20" s="1">
        <v>45541.618055555555</v>
      </c>
      <c r="HM20">
        <v>0</v>
      </c>
      <c r="HN20">
        <v>0</v>
      </c>
      <c r="HO20">
        <v>1</v>
      </c>
      <c r="HP20">
        <v>0</v>
      </c>
      <c r="HQ20">
        <v>0</v>
      </c>
      <c r="HR20">
        <v>0</v>
      </c>
      <c r="HS20">
        <v>0</v>
      </c>
      <c r="HT20">
        <v>1</v>
      </c>
      <c r="HU20">
        <v>0</v>
      </c>
      <c r="HV20">
        <v>0</v>
      </c>
      <c r="HW20">
        <v>1</v>
      </c>
      <c r="HX20">
        <v>0</v>
      </c>
      <c r="HY20">
        <v>1</v>
      </c>
      <c r="HZ20">
        <v>0</v>
      </c>
      <c r="IA20">
        <v>2</v>
      </c>
      <c r="IB20">
        <v>1</v>
      </c>
      <c r="IC20">
        <v>0</v>
      </c>
      <c r="ID20">
        <v>0</v>
      </c>
      <c r="IE20">
        <v>1</v>
      </c>
      <c r="IF20">
        <v>2</v>
      </c>
      <c r="IG20">
        <v>1</v>
      </c>
      <c r="IH20">
        <v>11</v>
      </c>
      <c r="II20">
        <v>2</v>
      </c>
      <c r="IJ20" s="1">
        <v>45541.619444444441</v>
      </c>
      <c r="IK20">
        <v>1</v>
      </c>
      <c r="IL20">
        <v>1</v>
      </c>
      <c r="IM20">
        <v>1</v>
      </c>
      <c r="IN20">
        <v>1</v>
      </c>
      <c r="IO20">
        <v>1</v>
      </c>
      <c r="IP20">
        <v>1</v>
      </c>
      <c r="IQ20">
        <v>1</v>
      </c>
      <c r="IR20">
        <v>1</v>
      </c>
      <c r="IS20">
        <v>1</v>
      </c>
      <c r="IT20">
        <v>1</v>
      </c>
      <c r="IU20">
        <v>1</v>
      </c>
      <c r="IV20">
        <v>1</v>
      </c>
      <c r="IW20">
        <v>1</v>
      </c>
      <c r="IX20">
        <v>1</v>
      </c>
      <c r="IY20">
        <v>1</v>
      </c>
      <c r="IZ20">
        <v>1</v>
      </c>
      <c r="JA20">
        <v>1</v>
      </c>
      <c r="JB20">
        <v>1</v>
      </c>
      <c r="JC20">
        <v>1</v>
      </c>
      <c r="JD20">
        <v>1</v>
      </c>
      <c r="JE20" t="s">
        <v>351</v>
      </c>
      <c r="JF20">
        <v>2</v>
      </c>
      <c r="JG20">
        <v>2</v>
      </c>
      <c r="JH20">
        <v>2</v>
      </c>
      <c r="JI20">
        <v>1</v>
      </c>
      <c r="JJ20">
        <v>0</v>
      </c>
      <c r="JK20">
        <v>1</v>
      </c>
      <c r="JL20" t="s">
        <v>352</v>
      </c>
      <c r="JM20" t="s">
        <v>353</v>
      </c>
      <c r="JN20">
        <v>19</v>
      </c>
      <c r="JO20">
        <v>9</v>
      </c>
      <c r="JP20">
        <v>2</v>
      </c>
      <c r="JQ20">
        <v>2</v>
      </c>
      <c r="JR20" s="1">
        <v>45541.619444444441</v>
      </c>
      <c r="JS20">
        <v>0</v>
      </c>
      <c r="JT20">
        <v>0</v>
      </c>
      <c r="JU20">
        <v>0</v>
      </c>
      <c r="JV20">
        <v>0</v>
      </c>
      <c r="JW20">
        <v>2</v>
      </c>
      <c r="JX20" s="1">
        <v>45541.620138888888</v>
      </c>
      <c r="JY20">
        <v>64</v>
      </c>
      <c r="JZ20">
        <v>2.2000000000000002</v>
      </c>
      <c r="KI20">
        <v>4</v>
      </c>
      <c r="KJ20">
        <v>62.3</v>
      </c>
      <c r="KK20">
        <v>4.2</v>
      </c>
      <c r="KL20">
        <v>1</v>
      </c>
      <c r="UA20">
        <v>4</v>
      </c>
      <c r="UB20">
        <v>64</v>
      </c>
      <c r="UC20">
        <v>2.2000000000000002</v>
      </c>
      <c r="UD20">
        <v>4</v>
      </c>
      <c r="WQ20">
        <v>4</v>
      </c>
      <c r="WR20">
        <v>63.8</v>
      </c>
      <c r="WS20">
        <v>2.5</v>
      </c>
      <c r="WT20">
        <v>3</v>
      </c>
      <c r="XG20">
        <v>4</v>
      </c>
      <c r="XH20">
        <v>63.9</v>
      </c>
      <c r="XI20">
        <v>3</v>
      </c>
      <c r="XJ20">
        <v>2</v>
      </c>
      <c r="YQ20">
        <v>2</v>
      </c>
      <c r="YR20" s="1">
        <v>45541.620833333334</v>
      </c>
      <c r="YS20">
        <v>4</v>
      </c>
      <c r="YT20">
        <v>2</v>
      </c>
      <c r="YU20">
        <v>4</v>
      </c>
      <c r="YV20">
        <v>2</v>
      </c>
      <c r="YW20">
        <v>3</v>
      </c>
      <c r="YX20">
        <v>1</v>
      </c>
      <c r="YY20">
        <v>1</v>
      </c>
      <c r="YZ20">
        <v>1</v>
      </c>
      <c r="ZA20">
        <v>4</v>
      </c>
      <c r="ZB20">
        <v>2</v>
      </c>
      <c r="ZC20">
        <v>2</v>
      </c>
      <c r="ZD20">
        <v>3</v>
      </c>
      <c r="ZE20">
        <v>1</v>
      </c>
      <c r="ZF20">
        <v>3</v>
      </c>
      <c r="ZG20">
        <v>2</v>
      </c>
      <c r="ZH20">
        <v>3</v>
      </c>
      <c r="ZI20">
        <v>2</v>
      </c>
      <c r="ZJ20">
        <v>2</v>
      </c>
      <c r="ZK20">
        <v>2</v>
      </c>
      <c r="ZL20">
        <v>1</v>
      </c>
      <c r="ZM20">
        <v>30</v>
      </c>
      <c r="ZN20">
        <v>15</v>
      </c>
      <c r="ZO20">
        <v>2</v>
      </c>
      <c r="ZP20" s="1">
        <v>45541.620833333334</v>
      </c>
      <c r="ZQ20">
        <v>1</v>
      </c>
      <c r="ZR20">
        <v>1</v>
      </c>
      <c r="ZS20">
        <v>1</v>
      </c>
      <c r="ZT20">
        <v>1</v>
      </c>
      <c r="ZU20">
        <v>0</v>
      </c>
      <c r="ZV20">
        <v>1</v>
      </c>
      <c r="ZW20">
        <v>0</v>
      </c>
      <c r="ZX20">
        <v>0</v>
      </c>
      <c r="ZY20">
        <v>0</v>
      </c>
      <c r="ZZ20">
        <v>0</v>
      </c>
      <c r="AAA20">
        <v>0</v>
      </c>
      <c r="AAB20">
        <v>0</v>
      </c>
      <c r="AAC20">
        <v>2</v>
      </c>
      <c r="AAD20">
        <v>0</v>
      </c>
      <c r="AAE20">
        <v>1</v>
      </c>
      <c r="AAF20">
        <v>3</v>
      </c>
      <c r="AAG20">
        <v>0</v>
      </c>
      <c r="AAH20">
        <v>0</v>
      </c>
      <c r="AAI20">
        <v>7</v>
      </c>
      <c r="AAJ20">
        <v>1</v>
      </c>
      <c r="AAK20">
        <v>3</v>
      </c>
      <c r="AAL20">
        <v>11</v>
      </c>
      <c r="AAM20">
        <v>2</v>
      </c>
      <c r="AAN20" s="1">
        <v>45541.621527777781</v>
      </c>
      <c r="AAO20">
        <v>1</v>
      </c>
      <c r="AAP20">
        <v>5</v>
      </c>
      <c r="AAQ20">
        <v>4</v>
      </c>
      <c r="AAR20">
        <v>6</v>
      </c>
      <c r="AAS20">
        <v>5</v>
      </c>
      <c r="AAT20">
        <v>14</v>
      </c>
      <c r="AAU20">
        <v>5</v>
      </c>
      <c r="AAV20">
        <v>7</v>
      </c>
      <c r="AAW20">
        <v>0</v>
      </c>
      <c r="AAX20">
        <v>5</v>
      </c>
      <c r="AAY20">
        <v>0</v>
      </c>
      <c r="AAZ20">
        <v>7</v>
      </c>
      <c r="ABA20">
        <v>2</v>
      </c>
      <c r="ABB20">
        <v>6</v>
      </c>
      <c r="ABC20">
        <v>0</v>
      </c>
      <c r="ABD20">
        <v>5</v>
      </c>
      <c r="ABE20">
        <v>7.1428571429999996</v>
      </c>
      <c r="ABF20">
        <v>2</v>
      </c>
      <c r="ABG20" s="1">
        <v>45541.62222222222</v>
      </c>
      <c r="ABH20">
        <v>1</v>
      </c>
      <c r="ABI20">
        <v>1</v>
      </c>
      <c r="ABJ20">
        <v>1</v>
      </c>
      <c r="ABK20">
        <v>1</v>
      </c>
      <c r="ABL20">
        <v>1</v>
      </c>
      <c r="ABM20">
        <v>1</v>
      </c>
      <c r="ABN20">
        <v>1</v>
      </c>
      <c r="ABO20">
        <v>1</v>
      </c>
      <c r="ABP20">
        <v>1</v>
      </c>
      <c r="ABQ20">
        <v>1</v>
      </c>
      <c r="ABR20">
        <v>1</v>
      </c>
      <c r="ABS20">
        <v>1</v>
      </c>
      <c r="ABT20">
        <v>1</v>
      </c>
      <c r="ABU20">
        <v>1</v>
      </c>
      <c r="ABV20">
        <v>1</v>
      </c>
      <c r="ABW20">
        <v>1</v>
      </c>
      <c r="ABX20">
        <v>1</v>
      </c>
      <c r="ABY20">
        <v>1</v>
      </c>
      <c r="ABZ20">
        <v>1</v>
      </c>
      <c r="ACA20">
        <v>1</v>
      </c>
      <c r="ACB20">
        <v>1</v>
      </c>
      <c r="ACC20">
        <v>1</v>
      </c>
      <c r="ACD20">
        <v>1</v>
      </c>
      <c r="ACE20">
        <v>1</v>
      </c>
      <c r="ACF20">
        <v>1</v>
      </c>
      <c r="ACG20">
        <v>1</v>
      </c>
      <c r="ACH20">
        <v>1</v>
      </c>
      <c r="ACI20">
        <v>1</v>
      </c>
      <c r="ACJ20">
        <v>1</v>
      </c>
      <c r="ACK20">
        <v>1</v>
      </c>
      <c r="ACL20">
        <v>1</v>
      </c>
      <c r="ACM20">
        <v>1</v>
      </c>
      <c r="ACN20">
        <v>1</v>
      </c>
      <c r="ACO20">
        <v>1</v>
      </c>
      <c r="ACP20">
        <v>1</v>
      </c>
      <c r="ACQ20">
        <v>1</v>
      </c>
      <c r="ACR20">
        <v>1</v>
      </c>
      <c r="ACS20">
        <v>1</v>
      </c>
      <c r="ACT20">
        <v>1</v>
      </c>
      <c r="ACU20">
        <v>1</v>
      </c>
      <c r="ACV20">
        <v>1</v>
      </c>
      <c r="ACW20">
        <v>1</v>
      </c>
      <c r="ACX20">
        <v>1</v>
      </c>
      <c r="ACY20">
        <v>1</v>
      </c>
      <c r="ACZ20">
        <v>1</v>
      </c>
      <c r="ADA20">
        <v>1</v>
      </c>
      <c r="ADB20">
        <v>1</v>
      </c>
      <c r="ADC20">
        <v>1</v>
      </c>
      <c r="ADD20">
        <v>1</v>
      </c>
      <c r="ADE20">
        <v>1</v>
      </c>
      <c r="ADF20">
        <v>1</v>
      </c>
      <c r="ADG20">
        <v>1</v>
      </c>
      <c r="ADH20">
        <v>1</v>
      </c>
      <c r="ADI20">
        <v>1</v>
      </c>
      <c r="ADJ20">
        <v>1</v>
      </c>
      <c r="ADK20">
        <v>1</v>
      </c>
      <c r="ADL20">
        <v>1</v>
      </c>
      <c r="ADM20">
        <v>1</v>
      </c>
      <c r="ADN20">
        <v>1</v>
      </c>
      <c r="ADO20">
        <v>1</v>
      </c>
      <c r="ADP20">
        <v>1</v>
      </c>
      <c r="ADQ20">
        <v>1</v>
      </c>
      <c r="ADR20">
        <v>1</v>
      </c>
      <c r="ADS20">
        <v>1</v>
      </c>
      <c r="ADT20">
        <v>1</v>
      </c>
      <c r="ADU20">
        <v>1</v>
      </c>
      <c r="ADV20">
        <v>1</v>
      </c>
      <c r="ADW20">
        <v>1</v>
      </c>
      <c r="ADX20">
        <v>1</v>
      </c>
      <c r="ADY20">
        <v>1</v>
      </c>
      <c r="ADZ20">
        <v>1</v>
      </c>
      <c r="AEA20">
        <v>1</v>
      </c>
      <c r="AEB20">
        <v>1</v>
      </c>
      <c r="AEC20">
        <v>1</v>
      </c>
      <c r="AEE20">
        <v>2</v>
      </c>
      <c r="AEF20" s="1">
        <v>45541.622916666667</v>
      </c>
      <c r="AEG20">
        <v>1</v>
      </c>
      <c r="AEH20">
        <v>0</v>
      </c>
      <c r="AEI20">
        <v>2</v>
      </c>
      <c r="AEJ20">
        <v>2</v>
      </c>
      <c r="AEK20">
        <v>0</v>
      </c>
      <c r="AEL20">
        <v>0</v>
      </c>
      <c r="AEM20">
        <v>0</v>
      </c>
      <c r="AEN20">
        <v>1</v>
      </c>
      <c r="AEO20">
        <v>1</v>
      </c>
      <c r="AEP20">
        <v>2</v>
      </c>
      <c r="AEQ20">
        <v>0</v>
      </c>
      <c r="AER20">
        <v>1</v>
      </c>
      <c r="AES20">
        <v>3</v>
      </c>
      <c r="AET20">
        <v>1</v>
      </c>
      <c r="AEU20">
        <v>0</v>
      </c>
      <c r="AEV20">
        <v>1</v>
      </c>
      <c r="AEW20">
        <v>0</v>
      </c>
      <c r="AEX20">
        <v>1</v>
      </c>
      <c r="AEY20">
        <v>2</v>
      </c>
      <c r="AEZ20">
        <v>1</v>
      </c>
      <c r="AFA20">
        <v>0</v>
      </c>
      <c r="AFB20">
        <v>1</v>
      </c>
      <c r="AFC20">
        <v>0</v>
      </c>
      <c r="AFD20">
        <v>0</v>
      </c>
      <c r="AFE20">
        <v>0</v>
      </c>
      <c r="AFF20">
        <v>2</v>
      </c>
      <c r="AFG20">
        <v>2</v>
      </c>
      <c r="AFH20">
        <v>0</v>
      </c>
      <c r="AFI20">
        <v>2</v>
      </c>
      <c r="AFJ20">
        <v>1</v>
      </c>
      <c r="AFK20">
        <v>4</v>
      </c>
      <c r="AFL20">
        <v>0</v>
      </c>
      <c r="AFM20">
        <v>2</v>
      </c>
      <c r="AFN20">
        <v>8</v>
      </c>
      <c r="AFO20">
        <v>5</v>
      </c>
      <c r="AFP20">
        <v>8</v>
      </c>
      <c r="AFQ20">
        <v>11</v>
      </c>
      <c r="AFR20">
        <v>2</v>
      </c>
      <c r="AFS20" s="1">
        <v>45541.623611111114</v>
      </c>
      <c r="AFT20">
        <v>2</v>
      </c>
      <c r="AFU20">
        <v>2</v>
      </c>
      <c r="AFV20">
        <v>2</v>
      </c>
      <c r="AFW20">
        <v>2</v>
      </c>
      <c r="AFX20">
        <v>2</v>
      </c>
      <c r="AFY20">
        <v>1</v>
      </c>
      <c r="AFZ20">
        <v>1</v>
      </c>
      <c r="AGA20">
        <v>2</v>
      </c>
      <c r="AGB20">
        <v>1</v>
      </c>
      <c r="AGC20">
        <v>2</v>
      </c>
      <c r="AGD20">
        <v>3</v>
      </c>
      <c r="AGE20">
        <v>2</v>
      </c>
      <c r="AGF20">
        <v>1</v>
      </c>
      <c r="AGG20">
        <v>1</v>
      </c>
      <c r="AGH20">
        <v>2</v>
      </c>
      <c r="AGI20">
        <v>3</v>
      </c>
      <c r="AGJ20">
        <v>1</v>
      </c>
      <c r="AGK20">
        <v>1</v>
      </c>
      <c r="AGL20">
        <v>2</v>
      </c>
      <c r="AGM20">
        <v>3</v>
      </c>
      <c r="AGN20">
        <v>40</v>
      </c>
      <c r="AGO20">
        <v>2</v>
      </c>
      <c r="AGP20" s="1">
        <v>45541.623611111114</v>
      </c>
      <c r="AGQ20">
        <v>0</v>
      </c>
      <c r="AGV20">
        <v>0</v>
      </c>
      <c r="AGW20">
        <v>0</v>
      </c>
      <c r="AGX20">
        <v>0</v>
      </c>
      <c r="AGY20">
        <v>0</v>
      </c>
      <c r="AGZ20">
        <v>0</v>
      </c>
      <c r="AHB20">
        <v>2</v>
      </c>
      <c r="AHC20" s="1">
        <v>45541.625</v>
      </c>
      <c r="AHD20" t="s">
        <v>212</v>
      </c>
      <c r="AHE20" t="s">
        <v>212</v>
      </c>
      <c r="AHF20" t="s">
        <v>286</v>
      </c>
      <c r="AHG20">
        <v>7</v>
      </c>
      <c r="AHH20">
        <v>5</v>
      </c>
      <c r="AHI20" t="s">
        <v>354</v>
      </c>
      <c r="AHJ20">
        <v>2017</v>
      </c>
      <c r="AHK20" t="s">
        <v>355</v>
      </c>
      <c r="AHL20" t="s">
        <v>212</v>
      </c>
      <c r="AHM20" t="s">
        <v>356</v>
      </c>
      <c r="AHN20">
        <v>1</v>
      </c>
      <c r="AHO20">
        <v>5</v>
      </c>
      <c r="AHP20">
        <v>5</v>
      </c>
      <c r="AHQ20" t="s">
        <v>357</v>
      </c>
      <c r="AHR20" t="s">
        <v>358</v>
      </c>
      <c r="AHS20" t="s">
        <v>210</v>
      </c>
      <c r="AHU20" t="s">
        <v>211</v>
      </c>
    </row>
    <row r="21" spans="1:905">
      <c r="A21">
        <v>152</v>
      </c>
      <c r="B21" t="s">
        <v>205</v>
      </c>
      <c r="C21" t="s">
        <v>359</v>
      </c>
      <c r="D21">
        <v>2</v>
      </c>
      <c r="E21">
        <v>2</v>
      </c>
      <c r="F21">
        <v>26</v>
      </c>
      <c r="G21">
        <v>64</v>
      </c>
      <c r="H21">
        <v>194</v>
      </c>
      <c r="I21">
        <v>0</v>
      </c>
      <c r="J21">
        <v>5</v>
      </c>
      <c r="L21" t="s">
        <v>360</v>
      </c>
      <c r="M21">
        <v>2</v>
      </c>
      <c r="N21" s="1">
        <v>45557.365277777775</v>
      </c>
      <c r="O21">
        <v>7</v>
      </c>
      <c r="P21">
        <v>0</v>
      </c>
      <c r="R21">
        <v>0</v>
      </c>
      <c r="S21">
        <v>0</v>
      </c>
      <c r="T21">
        <v>0</v>
      </c>
      <c r="U21">
        <v>1</v>
      </c>
      <c r="V21">
        <v>0</v>
      </c>
      <c r="W21">
        <v>0</v>
      </c>
      <c r="X21">
        <v>0</v>
      </c>
      <c r="Y21">
        <v>0</v>
      </c>
      <c r="Z21">
        <v>0</v>
      </c>
      <c r="AA21">
        <v>0</v>
      </c>
      <c r="AB21">
        <v>0</v>
      </c>
      <c r="AC21" t="s">
        <v>208</v>
      </c>
      <c r="AD21">
        <v>2</v>
      </c>
      <c r="AE21" s="1">
        <v>45558.620833333334</v>
      </c>
      <c r="AF21">
        <v>2</v>
      </c>
      <c r="AG21">
        <v>2</v>
      </c>
      <c r="AH21">
        <v>3</v>
      </c>
      <c r="AI21">
        <v>1</v>
      </c>
      <c r="AJ21">
        <v>1</v>
      </c>
      <c r="AK21">
        <v>2</v>
      </c>
      <c r="AL21">
        <v>3</v>
      </c>
      <c r="AM21">
        <v>1</v>
      </c>
      <c r="AN21">
        <v>3</v>
      </c>
      <c r="AO21">
        <v>2</v>
      </c>
      <c r="AP21">
        <v>1</v>
      </c>
      <c r="AQ21">
        <v>2</v>
      </c>
      <c r="AR21">
        <v>2</v>
      </c>
      <c r="AS21">
        <v>2</v>
      </c>
      <c r="AT21">
        <v>2</v>
      </c>
      <c r="AU21">
        <v>2</v>
      </c>
      <c r="AV21">
        <v>2</v>
      </c>
      <c r="AW21">
        <v>2</v>
      </c>
      <c r="AX21">
        <v>3</v>
      </c>
      <c r="AY21">
        <v>1</v>
      </c>
      <c r="AZ21">
        <v>42</v>
      </c>
      <c r="BA21">
        <v>2</v>
      </c>
      <c r="BB21" s="1">
        <v>45558.62222222222</v>
      </c>
      <c r="BC21">
        <v>12</v>
      </c>
      <c r="BD21">
        <v>2</v>
      </c>
      <c r="BE21">
        <v>1</v>
      </c>
      <c r="BI21" s="2">
        <v>45543</v>
      </c>
      <c r="BM21">
        <v>29</v>
      </c>
      <c r="BN21">
        <v>5</v>
      </c>
      <c r="BO21">
        <v>1</v>
      </c>
      <c r="BP21">
        <v>0</v>
      </c>
      <c r="BQ21">
        <v>1</v>
      </c>
      <c r="BR21">
        <v>0</v>
      </c>
      <c r="BS21">
        <v>0</v>
      </c>
      <c r="BT21">
        <v>0</v>
      </c>
      <c r="BU21">
        <v>0</v>
      </c>
      <c r="BV21">
        <v>0</v>
      </c>
      <c r="BW21">
        <v>0</v>
      </c>
      <c r="BX21" t="s">
        <v>361</v>
      </c>
      <c r="BY21">
        <v>2</v>
      </c>
      <c r="BZ21" s="1">
        <v>45558.623611111114</v>
      </c>
      <c r="CA21">
        <v>4</v>
      </c>
      <c r="CB21">
        <v>2</v>
      </c>
      <c r="CC21">
        <v>4</v>
      </c>
      <c r="CD21">
        <v>3</v>
      </c>
      <c r="CE21">
        <v>4</v>
      </c>
      <c r="CF21">
        <v>3</v>
      </c>
      <c r="CG21">
        <v>3</v>
      </c>
      <c r="CH21">
        <v>4</v>
      </c>
      <c r="CI21">
        <v>3</v>
      </c>
      <c r="CJ21">
        <v>2</v>
      </c>
      <c r="CK21">
        <v>3</v>
      </c>
      <c r="CL21">
        <v>3</v>
      </c>
      <c r="CM21">
        <v>1</v>
      </c>
      <c r="CN21">
        <v>3</v>
      </c>
      <c r="CO21">
        <v>3</v>
      </c>
      <c r="CP21">
        <v>3</v>
      </c>
      <c r="CQ21">
        <v>2</v>
      </c>
      <c r="CR21">
        <v>1</v>
      </c>
      <c r="CS21">
        <v>4</v>
      </c>
      <c r="CT21">
        <v>4</v>
      </c>
      <c r="CU21">
        <v>12</v>
      </c>
      <c r="CV21">
        <v>13</v>
      </c>
      <c r="CW21">
        <v>19</v>
      </c>
      <c r="CX21">
        <v>44</v>
      </c>
      <c r="CY21">
        <v>21</v>
      </c>
      <c r="CZ21">
        <v>2</v>
      </c>
      <c r="DA21" s="1">
        <v>45558.624305555553</v>
      </c>
      <c r="DB21">
        <v>0</v>
      </c>
      <c r="DC21">
        <v>0</v>
      </c>
      <c r="DD21">
        <v>1</v>
      </c>
      <c r="DE21">
        <v>0</v>
      </c>
      <c r="DF21">
        <v>0</v>
      </c>
      <c r="DG21">
        <v>0</v>
      </c>
      <c r="DH21">
        <v>0</v>
      </c>
      <c r="DI21">
        <v>1</v>
      </c>
      <c r="DJ21">
        <v>0</v>
      </c>
      <c r="DK21">
        <v>0</v>
      </c>
      <c r="DL21">
        <v>1</v>
      </c>
      <c r="DM21">
        <v>0</v>
      </c>
      <c r="DN21">
        <v>0</v>
      </c>
      <c r="DO21">
        <v>0</v>
      </c>
      <c r="DP21">
        <v>0</v>
      </c>
      <c r="DQ21">
        <v>0</v>
      </c>
      <c r="DR21">
        <v>0</v>
      </c>
      <c r="DS21">
        <v>0</v>
      </c>
      <c r="DT21">
        <v>0</v>
      </c>
      <c r="DU21">
        <v>1</v>
      </c>
      <c r="DV21">
        <v>0</v>
      </c>
      <c r="DW21">
        <v>0</v>
      </c>
      <c r="DX21">
        <v>0</v>
      </c>
      <c r="DY21">
        <v>0</v>
      </c>
      <c r="DZ21">
        <v>1</v>
      </c>
      <c r="EA21">
        <v>0</v>
      </c>
      <c r="EB21">
        <v>0</v>
      </c>
      <c r="EC21">
        <v>0</v>
      </c>
      <c r="ED21">
        <v>0</v>
      </c>
      <c r="EE21">
        <v>1</v>
      </c>
      <c r="EF21">
        <v>0</v>
      </c>
      <c r="EG21">
        <v>0</v>
      </c>
      <c r="EH21">
        <v>1</v>
      </c>
      <c r="EI21">
        <v>0</v>
      </c>
      <c r="EJ21">
        <v>0</v>
      </c>
      <c r="EK21">
        <v>1</v>
      </c>
      <c r="EL21">
        <v>0</v>
      </c>
      <c r="EM21">
        <v>0</v>
      </c>
      <c r="EN21">
        <v>0</v>
      </c>
      <c r="EO21">
        <v>0</v>
      </c>
      <c r="EP21">
        <v>1</v>
      </c>
      <c r="EQ21">
        <v>0</v>
      </c>
      <c r="ER21">
        <v>0</v>
      </c>
      <c r="ES21">
        <v>0</v>
      </c>
      <c r="ET21">
        <v>0</v>
      </c>
      <c r="EU21">
        <v>0</v>
      </c>
      <c r="EV21">
        <v>0</v>
      </c>
      <c r="EW21">
        <v>0</v>
      </c>
      <c r="EX21">
        <v>0</v>
      </c>
      <c r="EY21">
        <v>1</v>
      </c>
      <c r="EZ21">
        <v>0</v>
      </c>
      <c r="FA21">
        <v>0</v>
      </c>
      <c r="FB21">
        <v>0</v>
      </c>
      <c r="FC21">
        <v>0</v>
      </c>
      <c r="FD21">
        <v>1</v>
      </c>
      <c r="FE21">
        <v>0</v>
      </c>
      <c r="FF21">
        <v>0</v>
      </c>
      <c r="FG21">
        <v>0</v>
      </c>
      <c r="FH21">
        <v>0</v>
      </c>
      <c r="FI21">
        <v>1</v>
      </c>
      <c r="FJ21">
        <v>0</v>
      </c>
      <c r="FK21">
        <v>0</v>
      </c>
      <c r="FL21">
        <v>0</v>
      </c>
      <c r="FM21">
        <v>1</v>
      </c>
      <c r="FN21">
        <v>0</v>
      </c>
      <c r="FO21">
        <v>0</v>
      </c>
      <c r="FP21">
        <v>0</v>
      </c>
      <c r="FQ21">
        <v>1</v>
      </c>
      <c r="FR21">
        <v>0</v>
      </c>
      <c r="FS21">
        <v>0</v>
      </c>
      <c r="FT21">
        <v>1</v>
      </c>
      <c r="FU21">
        <v>0</v>
      </c>
      <c r="FV21">
        <v>0</v>
      </c>
      <c r="FW21">
        <v>0</v>
      </c>
      <c r="FX21">
        <v>0</v>
      </c>
      <c r="FY21">
        <v>0</v>
      </c>
      <c r="FZ21">
        <v>0</v>
      </c>
      <c r="GA21">
        <v>0</v>
      </c>
      <c r="GB21">
        <v>0</v>
      </c>
      <c r="GC21">
        <v>1</v>
      </c>
      <c r="GD21">
        <v>1</v>
      </c>
      <c r="GE21">
        <v>0</v>
      </c>
      <c r="GF21">
        <v>0</v>
      </c>
      <c r="GG21">
        <v>0</v>
      </c>
      <c r="GH21">
        <v>0</v>
      </c>
      <c r="GI21">
        <v>2</v>
      </c>
      <c r="GJ21" s="1">
        <v>45558.625694444447</v>
      </c>
      <c r="GK21">
        <v>1</v>
      </c>
      <c r="GL21">
        <v>2</v>
      </c>
      <c r="GM21">
        <v>2</v>
      </c>
      <c r="GN21">
        <v>2</v>
      </c>
      <c r="GO21">
        <v>3</v>
      </c>
      <c r="GP21">
        <v>3</v>
      </c>
      <c r="GQ21">
        <v>3</v>
      </c>
      <c r="GR21">
        <v>1</v>
      </c>
      <c r="GS21">
        <v>3</v>
      </c>
      <c r="GT21">
        <v>1</v>
      </c>
      <c r="GU21">
        <v>1</v>
      </c>
      <c r="GV21">
        <v>2</v>
      </c>
      <c r="GW21">
        <v>3</v>
      </c>
      <c r="GX21">
        <v>3</v>
      </c>
      <c r="GY21">
        <v>2</v>
      </c>
      <c r="GZ21">
        <v>2</v>
      </c>
      <c r="HA21">
        <v>3</v>
      </c>
      <c r="HB21">
        <v>3</v>
      </c>
      <c r="HC21">
        <v>11</v>
      </c>
      <c r="HD21">
        <v>12</v>
      </c>
      <c r="HE21">
        <v>35</v>
      </c>
      <c r="HF21">
        <v>2</v>
      </c>
      <c r="HG21" s="1">
        <v>45558.625694444447</v>
      </c>
      <c r="HH21">
        <v>4</v>
      </c>
      <c r="HI21">
        <v>8</v>
      </c>
      <c r="HJ21">
        <v>7</v>
      </c>
      <c r="HK21">
        <v>2</v>
      </c>
      <c r="HL21" s="1">
        <v>45559.396527777775</v>
      </c>
      <c r="HM21">
        <v>0</v>
      </c>
      <c r="HN21">
        <v>0</v>
      </c>
      <c r="HO21">
        <v>0</v>
      </c>
      <c r="HP21">
        <v>1</v>
      </c>
      <c r="HQ21">
        <v>2</v>
      </c>
      <c r="HR21">
        <v>0</v>
      </c>
      <c r="HS21">
        <v>1</v>
      </c>
      <c r="HT21">
        <v>1</v>
      </c>
      <c r="HU21">
        <v>0</v>
      </c>
      <c r="HV21">
        <v>1</v>
      </c>
      <c r="HW21">
        <v>1</v>
      </c>
      <c r="HX21">
        <v>1</v>
      </c>
      <c r="HY21">
        <v>1</v>
      </c>
      <c r="HZ21">
        <v>0</v>
      </c>
      <c r="IA21">
        <v>2</v>
      </c>
      <c r="IB21">
        <v>2</v>
      </c>
      <c r="IC21">
        <v>1</v>
      </c>
      <c r="ID21">
        <v>2</v>
      </c>
      <c r="IE21">
        <v>2</v>
      </c>
      <c r="IF21">
        <v>3</v>
      </c>
      <c r="IG21">
        <v>0</v>
      </c>
      <c r="IH21">
        <v>20</v>
      </c>
      <c r="II21">
        <v>2</v>
      </c>
      <c r="IJ21" s="1">
        <v>45559.397222222222</v>
      </c>
      <c r="IK21">
        <v>0</v>
      </c>
      <c r="IL21">
        <v>0</v>
      </c>
      <c r="IM21">
        <v>0</v>
      </c>
      <c r="IN21">
        <v>0</v>
      </c>
      <c r="IO21">
        <v>1</v>
      </c>
      <c r="IP21">
        <v>1</v>
      </c>
      <c r="IQ21">
        <v>0</v>
      </c>
      <c r="IR21">
        <v>0</v>
      </c>
      <c r="IS21">
        <v>1</v>
      </c>
      <c r="IT21">
        <v>1</v>
      </c>
      <c r="IU21">
        <v>1</v>
      </c>
      <c r="IV21">
        <v>1</v>
      </c>
      <c r="IW21">
        <v>1</v>
      </c>
      <c r="IX21">
        <v>1</v>
      </c>
      <c r="IY21">
        <v>0</v>
      </c>
      <c r="IZ21">
        <v>0</v>
      </c>
      <c r="JA21">
        <v>0</v>
      </c>
      <c r="JB21">
        <v>0</v>
      </c>
      <c r="JC21">
        <v>1</v>
      </c>
      <c r="JD21">
        <v>0</v>
      </c>
      <c r="JE21" t="s">
        <v>362</v>
      </c>
      <c r="JF21">
        <v>2</v>
      </c>
      <c r="JG21">
        <v>1</v>
      </c>
      <c r="JH21">
        <v>2</v>
      </c>
      <c r="JI21">
        <v>1</v>
      </c>
      <c r="JJ21">
        <v>0</v>
      </c>
      <c r="JK21">
        <v>1</v>
      </c>
      <c r="JL21" t="s">
        <v>208</v>
      </c>
      <c r="JM21" t="s">
        <v>210</v>
      </c>
      <c r="JN21">
        <v>9</v>
      </c>
      <c r="JO21">
        <v>8</v>
      </c>
      <c r="JP21">
        <v>2</v>
      </c>
      <c r="JQ21">
        <v>2</v>
      </c>
      <c r="JR21" s="1">
        <v>45559.397916666669</v>
      </c>
      <c r="JS21">
        <v>0</v>
      </c>
      <c r="JT21">
        <v>0</v>
      </c>
      <c r="JU21">
        <v>0</v>
      </c>
      <c r="JV21">
        <v>0</v>
      </c>
      <c r="JW21">
        <v>2</v>
      </c>
      <c r="JX21" s="1">
        <v>45559.397916666669</v>
      </c>
      <c r="JY21">
        <v>66.3</v>
      </c>
      <c r="JZ21">
        <v>2.6</v>
      </c>
      <c r="KI21">
        <v>4</v>
      </c>
      <c r="KJ21">
        <v>62.3</v>
      </c>
      <c r="KK21">
        <v>4.2</v>
      </c>
      <c r="KL21">
        <v>1</v>
      </c>
      <c r="UQ21">
        <v>3</v>
      </c>
      <c r="UR21">
        <v>64</v>
      </c>
      <c r="US21">
        <v>3</v>
      </c>
      <c r="UT21">
        <v>3</v>
      </c>
      <c r="WQ21">
        <v>5</v>
      </c>
      <c r="WR21">
        <v>66.3</v>
      </c>
      <c r="WS21">
        <v>2.6</v>
      </c>
      <c r="WT21">
        <v>4</v>
      </c>
      <c r="XG21">
        <v>5</v>
      </c>
      <c r="XH21">
        <v>67.3</v>
      </c>
      <c r="XI21">
        <v>3.4</v>
      </c>
      <c r="XJ21">
        <v>2</v>
      </c>
      <c r="YQ21">
        <v>2</v>
      </c>
      <c r="YR21" s="1">
        <v>45559.398611111108</v>
      </c>
      <c r="YS21">
        <v>3</v>
      </c>
      <c r="YT21">
        <v>2</v>
      </c>
      <c r="YU21">
        <v>3</v>
      </c>
      <c r="YV21">
        <v>1</v>
      </c>
      <c r="YW21">
        <v>2</v>
      </c>
      <c r="YX21">
        <v>1</v>
      </c>
      <c r="YY21">
        <v>1</v>
      </c>
      <c r="YZ21">
        <v>2</v>
      </c>
      <c r="ZA21">
        <v>2</v>
      </c>
      <c r="ZB21">
        <v>2</v>
      </c>
      <c r="ZC21">
        <v>4</v>
      </c>
      <c r="ZD21">
        <v>2</v>
      </c>
      <c r="ZE21">
        <v>1</v>
      </c>
      <c r="ZF21">
        <v>2</v>
      </c>
      <c r="ZG21">
        <v>1</v>
      </c>
      <c r="ZH21">
        <v>2</v>
      </c>
      <c r="ZI21">
        <v>3</v>
      </c>
      <c r="ZJ21">
        <v>1</v>
      </c>
      <c r="ZK21">
        <v>2</v>
      </c>
      <c r="ZL21">
        <v>1</v>
      </c>
      <c r="ZM21">
        <v>23</v>
      </c>
      <c r="ZN21">
        <v>15</v>
      </c>
      <c r="ZO21">
        <v>2</v>
      </c>
      <c r="ZP21" s="1">
        <v>45559.398611111108</v>
      </c>
      <c r="ZQ21">
        <v>0</v>
      </c>
      <c r="ZR21">
        <v>2</v>
      </c>
      <c r="ZS21">
        <v>0</v>
      </c>
      <c r="ZT21">
        <v>0</v>
      </c>
      <c r="ZU21">
        <v>0</v>
      </c>
      <c r="ZV21">
        <v>1</v>
      </c>
      <c r="ZW21">
        <v>0</v>
      </c>
      <c r="ZX21">
        <v>0</v>
      </c>
      <c r="ZY21">
        <v>0</v>
      </c>
      <c r="ZZ21">
        <v>0</v>
      </c>
      <c r="AAA21">
        <v>0</v>
      </c>
      <c r="AAB21">
        <v>0</v>
      </c>
      <c r="AAC21">
        <v>0</v>
      </c>
      <c r="AAD21">
        <v>0</v>
      </c>
      <c r="AAE21">
        <v>0</v>
      </c>
      <c r="AAF21">
        <v>1</v>
      </c>
      <c r="AAG21">
        <v>0</v>
      </c>
      <c r="AAH21">
        <v>0</v>
      </c>
      <c r="AAI21">
        <v>1</v>
      </c>
      <c r="AAJ21">
        <v>2</v>
      </c>
      <c r="AAK21">
        <v>1</v>
      </c>
      <c r="AAL21">
        <v>4</v>
      </c>
      <c r="AAM21">
        <v>2</v>
      </c>
      <c r="AAN21" s="1">
        <v>45559.399305555555</v>
      </c>
      <c r="AAO21">
        <v>0</v>
      </c>
      <c r="ABF21">
        <v>2</v>
      </c>
      <c r="ABG21" s="1">
        <v>45559.399305555555</v>
      </c>
      <c r="ABH21">
        <v>1</v>
      </c>
      <c r="ABI21">
        <v>1</v>
      </c>
      <c r="ABJ21">
        <v>0</v>
      </c>
      <c r="ABK21">
        <v>0</v>
      </c>
      <c r="ABL21">
        <v>1</v>
      </c>
      <c r="ABM21">
        <v>1</v>
      </c>
      <c r="ABN21">
        <v>0</v>
      </c>
      <c r="ABO21">
        <v>0</v>
      </c>
      <c r="ABP21">
        <v>0</v>
      </c>
      <c r="ABQ21">
        <v>0</v>
      </c>
      <c r="ABR21">
        <v>0</v>
      </c>
      <c r="ABS21">
        <v>0</v>
      </c>
      <c r="ABT21">
        <v>0</v>
      </c>
      <c r="ABU21">
        <v>0</v>
      </c>
      <c r="ABV21">
        <v>0</v>
      </c>
      <c r="ABW21">
        <v>0</v>
      </c>
      <c r="ABX21">
        <v>0</v>
      </c>
      <c r="ABY21">
        <v>0</v>
      </c>
      <c r="ABZ21">
        <v>0</v>
      </c>
      <c r="ACA21">
        <v>0</v>
      </c>
      <c r="ACB21">
        <v>0</v>
      </c>
      <c r="ACC21">
        <v>0</v>
      </c>
      <c r="ACD21">
        <v>0</v>
      </c>
      <c r="ACE21">
        <v>0</v>
      </c>
      <c r="ACF21">
        <v>0</v>
      </c>
      <c r="ACG21">
        <v>0</v>
      </c>
      <c r="ACH21">
        <v>0</v>
      </c>
      <c r="ACI21">
        <v>0</v>
      </c>
      <c r="ACJ21">
        <v>0</v>
      </c>
      <c r="ACK21">
        <v>0</v>
      </c>
      <c r="ACL21">
        <v>0</v>
      </c>
      <c r="ACM21">
        <v>0</v>
      </c>
      <c r="ACN21">
        <v>0</v>
      </c>
      <c r="ACO21">
        <v>0</v>
      </c>
      <c r="ACP21">
        <v>0</v>
      </c>
      <c r="ACQ21">
        <v>0</v>
      </c>
      <c r="ACR21">
        <v>1</v>
      </c>
      <c r="ACS21">
        <v>1</v>
      </c>
      <c r="ACT21">
        <v>0</v>
      </c>
      <c r="ACU21">
        <v>0</v>
      </c>
      <c r="ACV21">
        <v>1</v>
      </c>
      <c r="ACW21">
        <v>1</v>
      </c>
      <c r="ACX21">
        <v>0</v>
      </c>
      <c r="ACY21">
        <v>0</v>
      </c>
      <c r="ACZ21">
        <v>0</v>
      </c>
      <c r="ADA21">
        <v>0</v>
      </c>
      <c r="ADB21">
        <v>0</v>
      </c>
      <c r="ADC21">
        <v>0</v>
      </c>
      <c r="ADD21">
        <v>0</v>
      </c>
      <c r="ADE21">
        <v>0</v>
      </c>
      <c r="ADF21">
        <v>0</v>
      </c>
      <c r="ADG21">
        <v>0</v>
      </c>
      <c r="ADH21">
        <v>0</v>
      </c>
      <c r="ADI21">
        <v>0</v>
      </c>
      <c r="ADJ21">
        <v>0</v>
      </c>
      <c r="ADK21">
        <v>0</v>
      </c>
      <c r="ADL21">
        <v>0</v>
      </c>
      <c r="ADM21">
        <v>0</v>
      </c>
      <c r="ADN21">
        <v>0</v>
      </c>
      <c r="ADO21">
        <v>0</v>
      </c>
      <c r="ADP21">
        <v>0</v>
      </c>
      <c r="ADQ21">
        <v>0</v>
      </c>
      <c r="ADR21">
        <v>0</v>
      </c>
      <c r="ADS21">
        <v>0</v>
      </c>
      <c r="ADT21">
        <v>0</v>
      </c>
      <c r="ADU21">
        <v>0</v>
      </c>
      <c r="ADV21">
        <v>0</v>
      </c>
      <c r="ADW21">
        <v>0</v>
      </c>
      <c r="ADX21">
        <v>0</v>
      </c>
      <c r="ADY21">
        <v>0</v>
      </c>
      <c r="ADZ21">
        <v>0</v>
      </c>
      <c r="AEA21">
        <v>0</v>
      </c>
      <c r="AEB21">
        <v>0</v>
      </c>
      <c r="AEC21">
        <v>0</v>
      </c>
      <c r="AEE21">
        <v>2</v>
      </c>
      <c r="AEF21" s="1">
        <v>45559.4</v>
      </c>
      <c r="AEG21">
        <v>0</v>
      </c>
      <c r="AEH21">
        <v>0</v>
      </c>
      <c r="AEI21">
        <v>0</v>
      </c>
      <c r="AEJ21">
        <v>1</v>
      </c>
      <c r="AEK21">
        <v>0</v>
      </c>
      <c r="AEL21">
        <v>0</v>
      </c>
      <c r="AEM21">
        <v>0</v>
      </c>
      <c r="AEN21">
        <v>1</v>
      </c>
      <c r="AEO21">
        <v>0</v>
      </c>
      <c r="AEP21">
        <v>1</v>
      </c>
      <c r="AEQ21">
        <v>0</v>
      </c>
      <c r="AER21">
        <v>0</v>
      </c>
      <c r="AES21">
        <v>2</v>
      </c>
      <c r="AET21">
        <v>0</v>
      </c>
      <c r="AEU21">
        <v>0</v>
      </c>
      <c r="AEV21">
        <v>0</v>
      </c>
      <c r="AEW21">
        <v>0</v>
      </c>
      <c r="AEX21">
        <v>0</v>
      </c>
      <c r="AEY21">
        <v>2</v>
      </c>
      <c r="AEZ21">
        <v>0</v>
      </c>
      <c r="AFA21">
        <v>1</v>
      </c>
      <c r="AFB21">
        <v>1</v>
      </c>
      <c r="AFC21">
        <v>0</v>
      </c>
      <c r="AFD21">
        <v>0</v>
      </c>
      <c r="AFE21">
        <v>0</v>
      </c>
      <c r="AFF21">
        <v>1</v>
      </c>
      <c r="AFG21">
        <v>0</v>
      </c>
      <c r="AFH21">
        <v>0</v>
      </c>
      <c r="AFI21">
        <v>0</v>
      </c>
      <c r="AFJ21">
        <v>0</v>
      </c>
      <c r="AFK21">
        <v>0</v>
      </c>
      <c r="AFL21">
        <v>1</v>
      </c>
      <c r="AFM21">
        <v>0</v>
      </c>
      <c r="AFN21">
        <v>5</v>
      </c>
      <c r="AFO21">
        <v>1</v>
      </c>
      <c r="AFP21">
        <v>3</v>
      </c>
      <c r="AFQ21">
        <v>4</v>
      </c>
      <c r="AFR21">
        <v>2</v>
      </c>
      <c r="AFS21" s="1">
        <v>45559.400694444441</v>
      </c>
      <c r="AFT21">
        <v>4</v>
      </c>
      <c r="AFU21">
        <v>2</v>
      </c>
      <c r="AFV21">
        <v>1</v>
      </c>
      <c r="AFW21">
        <v>1</v>
      </c>
      <c r="AFX21">
        <v>2</v>
      </c>
      <c r="AFY21">
        <v>1</v>
      </c>
      <c r="AFZ21">
        <v>1</v>
      </c>
      <c r="AGA21">
        <v>2</v>
      </c>
      <c r="AGB21">
        <v>1</v>
      </c>
      <c r="AGC21">
        <v>3</v>
      </c>
      <c r="AGD21">
        <v>2</v>
      </c>
      <c r="AGE21">
        <v>1</v>
      </c>
      <c r="AGF21">
        <v>1</v>
      </c>
      <c r="AGG21">
        <v>1</v>
      </c>
      <c r="AGH21">
        <v>2</v>
      </c>
      <c r="AGI21">
        <v>2</v>
      </c>
      <c r="AGJ21">
        <v>1</v>
      </c>
      <c r="AGK21">
        <v>1</v>
      </c>
      <c r="AGL21">
        <v>2</v>
      </c>
      <c r="AGM21">
        <v>2</v>
      </c>
      <c r="AGN21">
        <v>37</v>
      </c>
      <c r="AGO21">
        <v>2</v>
      </c>
      <c r="AGP21" s="1">
        <v>45559.400694444441</v>
      </c>
      <c r="AGQ21">
        <v>0</v>
      </c>
      <c r="AGV21">
        <v>0</v>
      </c>
      <c r="AGW21">
        <v>0</v>
      </c>
      <c r="AGX21">
        <v>0</v>
      </c>
      <c r="AGY21">
        <v>0</v>
      </c>
      <c r="AGZ21">
        <v>0</v>
      </c>
      <c r="AHB21">
        <v>2</v>
      </c>
      <c r="AHC21" s="1">
        <v>45559.401388888888</v>
      </c>
      <c r="AHD21" t="s">
        <v>212</v>
      </c>
      <c r="AHE21" t="s">
        <v>212</v>
      </c>
      <c r="AHF21">
        <v>9</v>
      </c>
      <c r="AHG21" t="s">
        <v>219</v>
      </c>
      <c r="AHH21">
        <v>2</v>
      </c>
      <c r="AHI21" t="s">
        <v>363</v>
      </c>
      <c r="AHJ21" s="3">
        <v>45588</v>
      </c>
      <c r="AHK21" t="s">
        <v>364</v>
      </c>
      <c r="AHL21" t="s">
        <v>212</v>
      </c>
      <c r="AHM21" t="s">
        <v>365</v>
      </c>
      <c r="AHN21">
        <v>7</v>
      </c>
      <c r="AHO21">
        <v>7</v>
      </c>
      <c r="AHP21" t="s">
        <v>219</v>
      </c>
      <c r="AHQ21" t="s">
        <v>366</v>
      </c>
      <c r="AHR21" t="s">
        <v>367</v>
      </c>
      <c r="AHS21" t="s">
        <v>210</v>
      </c>
      <c r="AHU21" t="s">
        <v>211</v>
      </c>
    </row>
    <row r="22" spans="1:905">
      <c r="A22">
        <v>153</v>
      </c>
      <c r="B22" t="s">
        <v>205</v>
      </c>
      <c r="C22" t="s">
        <v>368</v>
      </c>
      <c r="D22">
        <v>2</v>
      </c>
      <c r="E22">
        <v>2</v>
      </c>
      <c r="F22">
        <v>43</v>
      </c>
      <c r="G22">
        <v>66</v>
      </c>
      <c r="H22">
        <v>160</v>
      </c>
      <c r="I22">
        <v>0</v>
      </c>
      <c r="J22">
        <v>3</v>
      </c>
      <c r="L22" t="s">
        <v>369</v>
      </c>
      <c r="M22">
        <v>2</v>
      </c>
      <c r="N22" s="1">
        <v>45513.57916666667</v>
      </c>
      <c r="O22">
        <v>5</v>
      </c>
      <c r="P22">
        <v>0</v>
      </c>
      <c r="R22">
        <v>0</v>
      </c>
      <c r="S22">
        <v>1</v>
      </c>
      <c r="T22">
        <v>0</v>
      </c>
      <c r="U22">
        <v>0</v>
      </c>
      <c r="V22">
        <v>0</v>
      </c>
      <c r="W22">
        <v>0</v>
      </c>
      <c r="X22">
        <v>0</v>
      </c>
      <c r="Y22">
        <v>0</v>
      </c>
      <c r="Z22">
        <v>0</v>
      </c>
      <c r="AA22">
        <v>0</v>
      </c>
      <c r="AB22">
        <v>0</v>
      </c>
      <c r="AC22" t="s">
        <v>208</v>
      </c>
      <c r="AD22">
        <v>2</v>
      </c>
      <c r="AE22" s="1">
        <v>45513.580555555556</v>
      </c>
      <c r="AF22">
        <v>3</v>
      </c>
      <c r="AG22">
        <v>2</v>
      </c>
      <c r="AH22">
        <v>2</v>
      </c>
      <c r="AI22">
        <v>2</v>
      </c>
      <c r="AJ22">
        <v>2</v>
      </c>
      <c r="AK22">
        <v>1</v>
      </c>
      <c r="AL22">
        <v>2</v>
      </c>
      <c r="AM22">
        <v>2</v>
      </c>
      <c r="AN22">
        <v>1</v>
      </c>
      <c r="AO22">
        <v>3</v>
      </c>
      <c r="AP22">
        <v>2</v>
      </c>
      <c r="AQ22">
        <v>2</v>
      </c>
      <c r="AR22">
        <v>3</v>
      </c>
      <c r="AS22">
        <v>3</v>
      </c>
      <c r="AT22">
        <v>2</v>
      </c>
      <c r="AU22">
        <v>3</v>
      </c>
      <c r="AV22">
        <v>2</v>
      </c>
      <c r="AW22">
        <v>1</v>
      </c>
      <c r="AX22">
        <v>2</v>
      </c>
      <c r="AY22">
        <v>1</v>
      </c>
      <c r="AZ22">
        <v>42</v>
      </c>
      <c r="BA22">
        <v>2</v>
      </c>
      <c r="BB22" s="1">
        <v>45513.582638888889</v>
      </c>
      <c r="BC22">
        <v>14</v>
      </c>
      <c r="BD22">
        <v>3</v>
      </c>
      <c r="BE22">
        <v>6</v>
      </c>
      <c r="BG22" t="s">
        <v>209</v>
      </c>
      <c r="BI22" s="2">
        <v>38727</v>
      </c>
      <c r="BJ22">
        <v>2</v>
      </c>
      <c r="BK22">
        <v>1</v>
      </c>
      <c r="BL22">
        <v>1</v>
      </c>
      <c r="BM22" t="s">
        <v>370</v>
      </c>
      <c r="BN22" t="s">
        <v>371</v>
      </c>
      <c r="BO22">
        <v>3</v>
      </c>
      <c r="BP22">
        <v>1</v>
      </c>
      <c r="BQ22">
        <v>0</v>
      </c>
      <c r="BR22">
        <v>0</v>
      </c>
      <c r="BS22">
        <v>0</v>
      </c>
      <c r="BT22">
        <v>0</v>
      </c>
      <c r="BU22">
        <v>0</v>
      </c>
      <c r="BV22">
        <v>0</v>
      </c>
      <c r="BW22">
        <v>0</v>
      </c>
      <c r="BY22">
        <v>2</v>
      </c>
      <c r="BZ22" s="1">
        <v>45513.584722222222</v>
      </c>
      <c r="CA22">
        <v>3</v>
      </c>
      <c r="CB22">
        <v>3</v>
      </c>
      <c r="CC22">
        <v>2</v>
      </c>
      <c r="CD22">
        <v>3</v>
      </c>
      <c r="CE22">
        <v>3</v>
      </c>
      <c r="CF22">
        <v>2</v>
      </c>
      <c r="CG22">
        <v>2</v>
      </c>
      <c r="CH22">
        <v>2</v>
      </c>
      <c r="CI22">
        <v>2</v>
      </c>
      <c r="CJ22">
        <v>3</v>
      </c>
      <c r="CK22">
        <v>2</v>
      </c>
      <c r="CL22">
        <v>3</v>
      </c>
      <c r="CM22">
        <v>2</v>
      </c>
      <c r="CN22">
        <v>2</v>
      </c>
      <c r="CO22">
        <v>3</v>
      </c>
      <c r="CP22">
        <v>3</v>
      </c>
      <c r="CQ22">
        <v>3</v>
      </c>
      <c r="CR22">
        <v>2</v>
      </c>
      <c r="CS22">
        <v>3</v>
      </c>
      <c r="CT22">
        <v>2</v>
      </c>
      <c r="CU22">
        <v>9</v>
      </c>
      <c r="CV22">
        <v>10</v>
      </c>
      <c r="CW22">
        <v>13</v>
      </c>
      <c r="CX22">
        <v>32</v>
      </c>
      <c r="CY22">
        <v>20</v>
      </c>
      <c r="CZ22">
        <v>2</v>
      </c>
      <c r="DA22" s="1">
        <v>45513.586805555555</v>
      </c>
      <c r="DB22">
        <v>1</v>
      </c>
      <c r="DC22">
        <v>1</v>
      </c>
      <c r="DD22">
        <v>1</v>
      </c>
      <c r="DE22">
        <v>0</v>
      </c>
      <c r="DF22">
        <v>0</v>
      </c>
      <c r="DG22">
        <v>0</v>
      </c>
      <c r="DH22">
        <v>1</v>
      </c>
      <c r="DI22">
        <v>0</v>
      </c>
      <c r="DJ22">
        <v>0</v>
      </c>
      <c r="DK22">
        <v>0</v>
      </c>
      <c r="DL22">
        <v>1</v>
      </c>
      <c r="DM22">
        <v>1</v>
      </c>
      <c r="DN22">
        <v>0</v>
      </c>
      <c r="DO22">
        <v>0</v>
      </c>
      <c r="DP22">
        <v>0</v>
      </c>
      <c r="DQ22">
        <v>1</v>
      </c>
      <c r="DR22">
        <v>0</v>
      </c>
      <c r="DS22">
        <v>0</v>
      </c>
      <c r="DT22">
        <v>0</v>
      </c>
      <c r="DU22">
        <v>0</v>
      </c>
      <c r="DV22">
        <v>0</v>
      </c>
      <c r="DW22">
        <v>0</v>
      </c>
      <c r="DX22">
        <v>0</v>
      </c>
      <c r="DY22">
        <v>0</v>
      </c>
      <c r="DZ22">
        <v>1</v>
      </c>
      <c r="EA22">
        <v>1</v>
      </c>
      <c r="EB22">
        <v>0</v>
      </c>
      <c r="EC22">
        <v>0</v>
      </c>
      <c r="ED22">
        <v>0</v>
      </c>
      <c r="EE22">
        <v>0</v>
      </c>
      <c r="EF22">
        <v>0</v>
      </c>
      <c r="EG22">
        <v>0</v>
      </c>
      <c r="EH22">
        <v>0</v>
      </c>
      <c r="EI22">
        <v>0</v>
      </c>
      <c r="EJ22">
        <v>1</v>
      </c>
      <c r="EK22">
        <v>1</v>
      </c>
      <c r="EL22">
        <v>0</v>
      </c>
      <c r="EM22">
        <v>0</v>
      </c>
      <c r="EN22">
        <v>0</v>
      </c>
      <c r="EO22">
        <v>0</v>
      </c>
      <c r="EP22">
        <v>1</v>
      </c>
      <c r="EQ22">
        <v>0</v>
      </c>
      <c r="ER22">
        <v>0</v>
      </c>
      <c r="ES22">
        <v>0</v>
      </c>
      <c r="ET22">
        <v>0</v>
      </c>
      <c r="EU22">
        <v>0</v>
      </c>
      <c r="EV22">
        <v>0</v>
      </c>
      <c r="EW22">
        <v>0</v>
      </c>
      <c r="EX22">
        <v>0</v>
      </c>
      <c r="EY22">
        <v>1</v>
      </c>
      <c r="EZ22">
        <v>0</v>
      </c>
      <c r="FA22">
        <v>0</v>
      </c>
      <c r="FB22">
        <v>0</v>
      </c>
      <c r="FC22">
        <v>0</v>
      </c>
      <c r="FD22">
        <v>1</v>
      </c>
      <c r="FE22">
        <v>0</v>
      </c>
      <c r="FF22">
        <v>0</v>
      </c>
      <c r="FG22">
        <v>0</v>
      </c>
      <c r="FH22">
        <v>0</v>
      </c>
      <c r="FI22">
        <v>1</v>
      </c>
      <c r="FJ22">
        <v>0</v>
      </c>
      <c r="FK22">
        <v>0</v>
      </c>
      <c r="FL22">
        <v>0</v>
      </c>
      <c r="FM22">
        <v>0</v>
      </c>
      <c r="FN22">
        <v>1</v>
      </c>
      <c r="FO22">
        <v>0</v>
      </c>
      <c r="FP22">
        <v>0</v>
      </c>
      <c r="FQ22">
        <v>0</v>
      </c>
      <c r="FR22">
        <v>0</v>
      </c>
      <c r="FS22">
        <v>1</v>
      </c>
      <c r="FT22">
        <v>0</v>
      </c>
      <c r="FU22">
        <v>0</v>
      </c>
      <c r="FV22">
        <v>0</v>
      </c>
      <c r="FW22">
        <v>0</v>
      </c>
      <c r="FX22">
        <v>1</v>
      </c>
      <c r="FY22">
        <v>0</v>
      </c>
      <c r="FZ22">
        <v>0</v>
      </c>
      <c r="GA22">
        <v>0</v>
      </c>
      <c r="GB22">
        <v>0</v>
      </c>
      <c r="GC22">
        <v>1</v>
      </c>
      <c r="GD22">
        <v>1</v>
      </c>
      <c r="GE22">
        <v>0</v>
      </c>
      <c r="GF22">
        <v>0</v>
      </c>
      <c r="GG22">
        <v>0</v>
      </c>
      <c r="GH22">
        <v>0</v>
      </c>
      <c r="GI22">
        <v>2</v>
      </c>
      <c r="GJ22" s="1">
        <v>45513.588194444441</v>
      </c>
      <c r="GK22">
        <v>1</v>
      </c>
      <c r="GL22">
        <v>1</v>
      </c>
      <c r="GM22">
        <v>1</v>
      </c>
      <c r="GN22">
        <v>1</v>
      </c>
      <c r="GO22">
        <v>4</v>
      </c>
      <c r="GP22">
        <v>3</v>
      </c>
      <c r="GQ22">
        <v>2</v>
      </c>
      <c r="GR22">
        <v>1</v>
      </c>
      <c r="GS22">
        <v>4</v>
      </c>
      <c r="GT22">
        <v>1</v>
      </c>
      <c r="GU22">
        <v>1</v>
      </c>
      <c r="GV22">
        <v>1</v>
      </c>
      <c r="GW22">
        <v>4</v>
      </c>
      <c r="GX22">
        <v>3</v>
      </c>
      <c r="GY22">
        <v>1</v>
      </c>
      <c r="GZ22">
        <v>1</v>
      </c>
      <c r="HA22">
        <v>4</v>
      </c>
      <c r="HB22">
        <v>2</v>
      </c>
      <c r="HC22">
        <v>7</v>
      </c>
      <c r="HD22">
        <v>8</v>
      </c>
      <c r="HE22">
        <v>23</v>
      </c>
      <c r="HF22">
        <v>2</v>
      </c>
      <c r="HG22" s="1">
        <v>45513.588888888888</v>
      </c>
      <c r="HH22">
        <v>4</v>
      </c>
      <c r="HI22">
        <v>3</v>
      </c>
      <c r="HJ22">
        <v>10</v>
      </c>
      <c r="HK22">
        <v>2</v>
      </c>
      <c r="HL22" s="1">
        <v>45518.40347222222</v>
      </c>
      <c r="HM22">
        <v>0</v>
      </c>
      <c r="HN22">
        <v>1</v>
      </c>
      <c r="HO22">
        <v>1</v>
      </c>
      <c r="HP22">
        <v>1</v>
      </c>
      <c r="HQ22">
        <v>0</v>
      </c>
      <c r="HR22">
        <v>0</v>
      </c>
      <c r="HS22">
        <v>1</v>
      </c>
      <c r="HT22">
        <v>1</v>
      </c>
      <c r="HU22">
        <v>1</v>
      </c>
      <c r="HV22">
        <v>0</v>
      </c>
      <c r="HW22">
        <v>1</v>
      </c>
      <c r="HX22">
        <v>1</v>
      </c>
      <c r="HY22">
        <v>1</v>
      </c>
      <c r="HZ22">
        <v>1</v>
      </c>
      <c r="IA22">
        <v>1</v>
      </c>
      <c r="IB22">
        <v>1</v>
      </c>
      <c r="IC22">
        <v>0</v>
      </c>
      <c r="ID22">
        <v>0</v>
      </c>
      <c r="IE22">
        <v>2</v>
      </c>
      <c r="IF22">
        <v>1</v>
      </c>
      <c r="IG22">
        <v>0</v>
      </c>
      <c r="IH22">
        <v>15</v>
      </c>
      <c r="II22">
        <v>2</v>
      </c>
      <c r="IJ22" s="1">
        <v>45518.40625</v>
      </c>
      <c r="IK22">
        <v>0</v>
      </c>
      <c r="IL22">
        <v>1</v>
      </c>
      <c r="IM22">
        <v>0</v>
      </c>
      <c r="IN22">
        <v>1</v>
      </c>
      <c r="IO22">
        <v>0</v>
      </c>
      <c r="IP22">
        <v>1</v>
      </c>
      <c r="IQ22">
        <v>0</v>
      </c>
      <c r="IR22">
        <v>1</v>
      </c>
      <c r="IS22">
        <v>0</v>
      </c>
      <c r="IT22">
        <v>0</v>
      </c>
      <c r="IU22">
        <v>0</v>
      </c>
      <c r="IV22">
        <v>1</v>
      </c>
      <c r="IW22">
        <v>0</v>
      </c>
      <c r="IX22">
        <v>0</v>
      </c>
      <c r="IY22">
        <v>0</v>
      </c>
      <c r="IZ22">
        <v>0</v>
      </c>
      <c r="JA22">
        <v>0</v>
      </c>
      <c r="JB22">
        <v>1</v>
      </c>
      <c r="JC22">
        <v>1</v>
      </c>
      <c r="JD22">
        <v>0</v>
      </c>
      <c r="JE22" t="s">
        <v>372</v>
      </c>
      <c r="JF22">
        <v>2</v>
      </c>
      <c r="JG22">
        <v>2</v>
      </c>
      <c r="JH22">
        <v>2</v>
      </c>
      <c r="JI22">
        <v>0</v>
      </c>
      <c r="JJ22">
        <v>1</v>
      </c>
      <c r="JK22">
        <v>0</v>
      </c>
      <c r="JL22" t="s">
        <v>373</v>
      </c>
      <c r="JM22" t="s">
        <v>374</v>
      </c>
      <c r="JN22">
        <v>7</v>
      </c>
      <c r="JO22">
        <v>9</v>
      </c>
      <c r="JP22">
        <v>1</v>
      </c>
      <c r="JQ22">
        <v>2</v>
      </c>
      <c r="JR22" s="1">
        <v>45518.40625</v>
      </c>
      <c r="JS22">
        <v>0</v>
      </c>
      <c r="JT22">
        <v>0</v>
      </c>
      <c r="JU22">
        <v>0</v>
      </c>
      <c r="JV22">
        <v>0</v>
      </c>
      <c r="JW22">
        <v>2</v>
      </c>
      <c r="JX22" s="1">
        <v>45518.406944444447</v>
      </c>
      <c r="JY22">
        <v>64</v>
      </c>
      <c r="JZ22">
        <v>2.2000000000000002</v>
      </c>
      <c r="KI22">
        <v>4</v>
      </c>
      <c r="KJ22">
        <v>62.3</v>
      </c>
      <c r="KK22">
        <v>4.2</v>
      </c>
      <c r="KL22">
        <v>1</v>
      </c>
      <c r="UA22">
        <v>4</v>
      </c>
      <c r="UB22">
        <v>64</v>
      </c>
      <c r="UC22">
        <v>2.2000000000000002</v>
      </c>
      <c r="UD22">
        <v>4</v>
      </c>
      <c r="WQ22">
        <v>4</v>
      </c>
      <c r="WR22">
        <v>63.8</v>
      </c>
      <c r="WS22">
        <v>2.5</v>
      </c>
      <c r="WT22">
        <v>3</v>
      </c>
      <c r="XG22">
        <v>4</v>
      </c>
      <c r="XH22">
        <v>63.9</v>
      </c>
      <c r="XI22">
        <v>3</v>
      </c>
      <c r="XJ22">
        <v>2</v>
      </c>
      <c r="YQ22">
        <v>2</v>
      </c>
      <c r="YR22" s="1">
        <v>45518.407638888886</v>
      </c>
      <c r="YS22">
        <v>2</v>
      </c>
      <c r="YT22">
        <v>3</v>
      </c>
      <c r="YU22">
        <v>2</v>
      </c>
      <c r="YV22">
        <v>3</v>
      </c>
      <c r="YW22">
        <v>2</v>
      </c>
      <c r="YX22">
        <v>2</v>
      </c>
      <c r="YY22">
        <v>3</v>
      </c>
      <c r="YZ22">
        <v>1</v>
      </c>
      <c r="ZA22">
        <v>1</v>
      </c>
      <c r="ZB22">
        <v>1</v>
      </c>
      <c r="ZC22">
        <v>1</v>
      </c>
      <c r="ZD22">
        <v>2</v>
      </c>
      <c r="ZE22">
        <v>3</v>
      </c>
      <c r="ZF22">
        <v>1</v>
      </c>
      <c r="ZG22">
        <v>3</v>
      </c>
      <c r="ZH22">
        <v>3</v>
      </c>
      <c r="ZI22">
        <v>1</v>
      </c>
      <c r="ZJ22">
        <v>2</v>
      </c>
      <c r="ZK22">
        <v>1</v>
      </c>
      <c r="ZL22">
        <v>2</v>
      </c>
      <c r="ZM22">
        <v>16</v>
      </c>
      <c r="ZN22">
        <v>23</v>
      </c>
      <c r="ZO22">
        <v>2</v>
      </c>
      <c r="ZP22" s="1">
        <v>45518.408333333333</v>
      </c>
      <c r="ZQ22">
        <v>0</v>
      </c>
      <c r="ZR22">
        <v>1</v>
      </c>
      <c r="ZS22">
        <v>2</v>
      </c>
      <c r="ZT22">
        <v>0</v>
      </c>
      <c r="ZU22">
        <v>1</v>
      </c>
      <c r="ZV22">
        <v>1</v>
      </c>
      <c r="ZW22">
        <v>0</v>
      </c>
      <c r="ZX22">
        <v>0</v>
      </c>
      <c r="ZY22">
        <v>0</v>
      </c>
      <c r="ZZ22">
        <v>0</v>
      </c>
      <c r="AAA22">
        <v>1</v>
      </c>
      <c r="AAB22">
        <v>1</v>
      </c>
      <c r="AAC22">
        <v>4</v>
      </c>
      <c r="AAD22">
        <v>1</v>
      </c>
      <c r="AAE22">
        <v>1</v>
      </c>
      <c r="AAF22">
        <v>0</v>
      </c>
      <c r="AAG22">
        <v>0</v>
      </c>
      <c r="AAH22">
        <v>1</v>
      </c>
      <c r="AAI22">
        <v>4</v>
      </c>
      <c r="AAJ22">
        <v>4</v>
      </c>
      <c r="AAK22">
        <v>6</v>
      </c>
      <c r="AAL22">
        <v>14</v>
      </c>
      <c r="AAM22">
        <v>2</v>
      </c>
      <c r="AAN22" s="1">
        <v>45518.40902777778</v>
      </c>
      <c r="AAO22">
        <v>1</v>
      </c>
      <c r="AAP22">
        <v>10</v>
      </c>
      <c r="AAQ22">
        <v>2</v>
      </c>
      <c r="AAR22">
        <v>6</v>
      </c>
      <c r="AAS22">
        <v>6</v>
      </c>
      <c r="AAT22">
        <v>17</v>
      </c>
      <c r="AAU22">
        <v>6</v>
      </c>
      <c r="AAV22">
        <v>7</v>
      </c>
      <c r="AAW22">
        <v>4</v>
      </c>
      <c r="AAX22">
        <v>7</v>
      </c>
      <c r="AAY22">
        <v>4</v>
      </c>
      <c r="AAZ22">
        <v>10</v>
      </c>
      <c r="ABA22">
        <v>4</v>
      </c>
      <c r="ABB22">
        <v>8</v>
      </c>
      <c r="ABC22">
        <v>3</v>
      </c>
      <c r="ABD22">
        <v>6.25</v>
      </c>
      <c r="ABE22">
        <v>6.4285714289999998</v>
      </c>
      <c r="ABF22">
        <v>2</v>
      </c>
      <c r="ABG22" s="1">
        <v>45518.409722222219</v>
      </c>
      <c r="ABH22">
        <v>0</v>
      </c>
      <c r="ABI22">
        <v>0</v>
      </c>
      <c r="ABJ22">
        <v>0</v>
      </c>
      <c r="ABK22">
        <v>0</v>
      </c>
      <c r="ABL22">
        <v>1</v>
      </c>
      <c r="ABM22">
        <v>1</v>
      </c>
      <c r="ABN22">
        <v>0</v>
      </c>
      <c r="ABO22">
        <v>0</v>
      </c>
      <c r="ABP22">
        <v>0</v>
      </c>
      <c r="ABQ22">
        <v>0</v>
      </c>
      <c r="ABR22">
        <v>0</v>
      </c>
      <c r="ABS22">
        <v>0</v>
      </c>
      <c r="ABT22">
        <v>0</v>
      </c>
      <c r="ABU22">
        <v>0</v>
      </c>
      <c r="ABV22">
        <v>0</v>
      </c>
      <c r="ABW22">
        <v>0</v>
      </c>
      <c r="ABX22">
        <v>0</v>
      </c>
      <c r="ABY22">
        <v>0</v>
      </c>
      <c r="ABZ22">
        <v>1</v>
      </c>
      <c r="ACA22">
        <v>1</v>
      </c>
      <c r="ACB22">
        <v>0</v>
      </c>
      <c r="ACC22">
        <v>0</v>
      </c>
      <c r="ACD22">
        <v>0</v>
      </c>
      <c r="ACE22">
        <v>0</v>
      </c>
      <c r="ACF22">
        <v>1</v>
      </c>
      <c r="ACG22">
        <v>0</v>
      </c>
      <c r="ACH22">
        <v>0</v>
      </c>
      <c r="ACI22">
        <v>0</v>
      </c>
      <c r="ACJ22">
        <v>0</v>
      </c>
      <c r="ACK22">
        <v>0</v>
      </c>
      <c r="ACL22">
        <v>0</v>
      </c>
      <c r="ACM22">
        <v>0</v>
      </c>
      <c r="ACN22">
        <v>1</v>
      </c>
      <c r="ACO22">
        <v>0</v>
      </c>
      <c r="ACP22">
        <v>0</v>
      </c>
      <c r="ACQ22">
        <v>0</v>
      </c>
      <c r="ACR22">
        <v>0</v>
      </c>
      <c r="ACS22">
        <v>0</v>
      </c>
      <c r="ACT22">
        <v>0</v>
      </c>
      <c r="ACU22">
        <v>0</v>
      </c>
      <c r="ACV22">
        <v>1</v>
      </c>
      <c r="ACW22">
        <v>1</v>
      </c>
      <c r="ACX22">
        <v>0</v>
      </c>
      <c r="ACY22">
        <v>0</v>
      </c>
      <c r="ACZ22">
        <v>0</v>
      </c>
      <c r="ADA22">
        <v>0</v>
      </c>
      <c r="ADB22">
        <v>0</v>
      </c>
      <c r="ADC22">
        <v>0</v>
      </c>
      <c r="ADD22">
        <v>0</v>
      </c>
      <c r="ADE22">
        <v>0</v>
      </c>
      <c r="ADF22">
        <v>0</v>
      </c>
      <c r="ADG22">
        <v>0</v>
      </c>
      <c r="ADH22">
        <v>0</v>
      </c>
      <c r="ADI22">
        <v>1</v>
      </c>
      <c r="ADJ22">
        <v>1</v>
      </c>
      <c r="ADK22">
        <v>0</v>
      </c>
      <c r="ADL22">
        <v>0</v>
      </c>
      <c r="ADM22">
        <v>0</v>
      </c>
      <c r="ADN22">
        <v>0</v>
      </c>
      <c r="ADO22">
        <v>0</v>
      </c>
      <c r="ADP22">
        <v>1</v>
      </c>
      <c r="ADQ22">
        <v>1</v>
      </c>
      <c r="ADR22">
        <v>0</v>
      </c>
      <c r="ADS22">
        <v>0</v>
      </c>
      <c r="ADT22">
        <v>0</v>
      </c>
      <c r="ADU22">
        <v>1</v>
      </c>
      <c r="ADV22">
        <v>0</v>
      </c>
      <c r="ADW22">
        <v>0</v>
      </c>
      <c r="ADX22">
        <v>0</v>
      </c>
      <c r="ADY22">
        <v>0</v>
      </c>
      <c r="ADZ22">
        <v>0</v>
      </c>
      <c r="AEA22">
        <v>1</v>
      </c>
      <c r="AEB22">
        <v>0</v>
      </c>
      <c r="AEC22">
        <v>0</v>
      </c>
      <c r="AEE22">
        <v>2</v>
      </c>
      <c r="AEF22" s="1">
        <v>45518.411111111112</v>
      </c>
      <c r="AEG22">
        <v>2</v>
      </c>
      <c r="AEH22">
        <v>1</v>
      </c>
      <c r="AEI22">
        <v>3</v>
      </c>
      <c r="AEJ22">
        <v>0</v>
      </c>
      <c r="AEK22">
        <v>0</v>
      </c>
      <c r="AEL22">
        <v>1</v>
      </c>
      <c r="AEM22">
        <v>1</v>
      </c>
      <c r="AEN22">
        <v>0</v>
      </c>
      <c r="AEO22">
        <v>1</v>
      </c>
      <c r="AEP22">
        <v>0</v>
      </c>
      <c r="AEQ22">
        <v>0</v>
      </c>
      <c r="AER22">
        <v>1</v>
      </c>
      <c r="AES22">
        <v>4</v>
      </c>
      <c r="AET22">
        <v>1</v>
      </c>
      <c r="AEU22">
        <v>1</v>
      </c>
      <c r="AEV22">
        <v>1</v>
      </c>
      <c r="AEW22">
        <v>0</v>
      </c>
      <c r="AEX22">
        <v>1</v>
      </c>
      <c r="AEY22">
        <v>4</v>
      </c>
      <c r="AEZ22">
        <v>2</v>
      </c>
      <c r="AFA22">
        <v>0</v>
      </c>
      <c r="AFB22">
        <v>3</v>
      </c>
      <c r="AFC22">
        <v>0</v>
      </c>
      <c r="AFD22">
        <v>0</v>
      </c>
      <c r="AFE22">
        <v>0</v>
      </c>
      <c r="AFF22">
        <v>1</v>
      </c>
      <c r="AFG22">
        <v>0</v>
      </c>
      <c r="AFH22">
        <v>0</v>
      </c>
      <c r="AFI22">
        <v>2</v>
      </c>
      <c r="AFJ22">
        <v>0</v>
      </c>
      <c r="AFK22">
        <v>7</v>
      </c>
      <c r="AFL22">
        <v>2</v>
      </c>
      <c r="AFM22">
        <v>3</v>
      </c>
      <c r="AFN22">
        <v>14</v>
      </c>
      <c r="AFO22">
        <v>4</v>
      </c>
      <c r="AFP22">
        <v>0</v>
      </c>
      <c r="AFQ22">
        <v>30</v>
      </c>
      <c r="AFR22">
        <v>2</v>
      </c>
      <c r="AFS22" s="1">
        <v>45518.415972222225</v>
      </c>
      <c r="AFT22">
        <v>1</v>
      </c>
      <c r="AFU22">
        <v>1</v>
      </c>
      <c r="AFV22">
        <v>2</v>
      </c>
      <c r="AFW22">
        <v>2</v>
      </c>
      <c r="AFX22">
        <v>1</v>
      </c>
      <c r="AFY22">
        <v>2</v>
      </c>
      <c r="AFZ22">
        <v>2</v>
      </c>
      <c r="AGA22">
        <v>2</v>
      </c>
      <c r="AGB22">
        <v>1</v>
      </c>
      <c r="AGC22">
        <v>2</v>
      </c>
      <c r="AGD22">
        <v>1</v>
      </c>
      <c r="AGE22">
        <v>2</v>
      </c>
      <c r="AGF22">
        <v>2</v>
      </c>
      <c r="AGG22">
        <v>2</v>
      </c>
      <c r="AGH22">
        <v>1</v>
      </c>
      <c r="AGI22">
        <v>2</v>
      </c>
      <c r="AGJ22">
        <v>2</v>
      </c>
      <c r="AGK22">
        <v>2</v>
      </c>
      <c r="AGL22">
        <v>2</v>
      </c>
      <c r="AGM22">
        <v>2</v>
      </c>
      <c r="AGN22">
        <v>54</v>
      </c>
      <c r="AGO22">
        <v>2</v>
      </c>
      <c r="AGP22" s="1">
        <v>45518.415972222225</v>
      </c>
      <c r="AGQ22">
        <v>0</v>
      </c>
      <c r="AGV22">
        <v>0</v>
      </c>
      <c r="AGW22">
        <v>0</v>
      </c>
      <c r="AGX22">
        <v>0</v>
      </c>
      <c r="AGY22">
        <v>0</v>
      </c>
      <c r="AGZ22">
        <v>0</v>
      </c>
      <c r="AHB22">
        <v>2</v>
      </c>
      <c r="AHC22" s="1">
        <v>45518.418055555558</v>
      </c>
      <c r="AHD22" t="s">
        <v>210</v>
      </c>
      <c r="AHE22" t="s">
        <v>212</v>
      </c>
      <c r="AHN22">
        <v>4</v>
      </c>
      <c r="AHO22">
        <v>4</v>
      </c>
      <c r="AHP22">
        <v>6</v>
      </c>
      <c r="AHQ22" t="s">
        <v>375</v>
      </c>
      <c r="AHR22" t="s">
        <v>376</v>
      </c>
      <c r="AHS22" t="s">
        <v>210</v>
      </c>
      <c r="AHU22" t="s">
        <v>211</v>
      </c>
    </row>
    <row r="23" spans="1:905">
      <c r="A23">
        <v>154</v>
      </c>
      <c r="B23" t="s">
        <v>205</v>
      </c>
      <c r="C23" t="s">
        <v>377</v>
      </c>
      <c r="D23">
        <v>2</v>
      </c>
      <c r="E23">
        <v>2</v>
      </c>
      <c r="F23">
        <v>49</v>
      </c>
      <c r="G23">
        <v>61</v>
      </c>
      <c r="H23">
        <v>107</v>
      </c>
      <c r="I23">
        <v>1</v>
      </c>
      <c r="J23">
        <v>6</v>
      </c>
      <c r="K23" t="s">
        <v>378</v>
      </c>
      <c r="L23" t="s">
        <v>379</v>
      </c>
      <c r="M23">
        <v>2</v>
      </c>
      <c r="N23" s="1">
        <v>45520.370833333334</v>
      </c>
      <c r="O23">
        <v>8</v>
      </c>
      <c r="P23">
        <v>0</v>
      </c>
      <c r="R23">
        <v>0</v>
      </c>
      <c r="S23">
        <v>1</v>
      </c>
      <c r="T23">
        <v>0</v>
      </c>
      <c r="U23">
        <v>0</v>
      </c>
      <c r="V23">
        <v>0</v>
      </c>
      <c r="W23">
        <v>0</v>
      </c>
      <c r="X23">
        <v>0</v>
      </c>
      <c r="Y23">
        <v>0</v>
      </c>
      <c r="Z23">
        <v>0</v>
      </c>
      <c r="AA23">
        <v>0</v>
      </c>
      <c r="AB23">
        <v>0</v>
      </c>
      <c r="AC23" t="s">
        <v>208</v>
      </c>
      <c r="AD23">
        <v>2</v>
      </c>
      <c r="AE23" s="1">
        <v>45520.371527777781</v>
      </c>
      <c r="AF23">
        <v>4</v>
      </c>
      <c r="AG23">
        <v>3</v>
      </c>
      <c r="AH23">
        <v>4</v>
      </c>
      <c r="AI23">
        <v>4</v>
      </c>
      <c r="AJ23">
        <v>1</v>
      </c>
      <c r="AK23">
        <v>3</v>
      </c>
      <c r="AL23">
        <v>4</v>
      </c>
      <c r="AM23">
        <v>2</v>
      </c>
      <c r="AN23">
        <v>2</v>
      </c>
      <c r="AO23">
        <v>4</v>
      </c>
      <c r="AP23">
        <v>1</v>
      </c>
      <c r="AQ23">
        <v>1</v>
      </c>
      <c r="AR23">
        <v>4</v>
      </c>
      <c r="AS23">
        <v>4</v>
      </c>
      <c r="AT23">
        <v>1</v>
      </c>
      <c r="AU23">
        <v>4</v>
      </c>
      <c r="AV23">
        <v>2</v>
      </c>
      <c r="AW23">
        <v>1</v>
      </c>
      <c r="AX23">
        <v>4</v>
      </c>
      <c r="AY23">
        <v>1</v>
      </c>
      <c r="AZ23">
        <v>29</v>
      </c>
      <c r="BA23">
        <v>2</v>
      </c>
      <c r="BB23" s="1">
        <v>45520.37222222222</v>
      </c>
      <c r="BC23">
        <v>12</v>
      </c>
      <c r="BD23">
        <v>2</v>
      </c>
      <c r="BE23">
        <v>4</v>
      </c>
      <c r="BI23" s="2">
        <v>43892</v>
      </c>
      <c r="BJ23">
        <v>5</v>
      </c>
      <c r="BK23">
        <v>1</v>
      </c>
      <c r="BL23">
        <v>3</v>
      </c>
      <c r="BM23">
        <v>21</v>
      </c>
      <c r="BN23">
        <v>5</v>
      </c>
      <c r="BO23">
        <v>1</v>
      </c>
      <c r="BP23">
        <v>1</v>
      </c>
      <c r="BQ23">
        <v>0</v>
      </c>
      <c r="BR23">
        <v>0</v>
      </c>
      <c r="BS23">
        <v>0</v>
      </c>
      <c r="BT23">
        <v>0</v>
      </c>
      <c r="BU23">
        <v>0</v>
      </c>
      <c r="BV23">
        <v>0</v>
      </c>
      <c r="BW23">
        <v>0</v>
      </c>
      <c r="BY23">
        <v>2</v>
      </c>
      <c r="BZ23" s="1">
        <v>45520.372916666667</v>
      </c>
      <c r="CA23">
        <v>4</v>
      </c>
      <c r="CB23">
        <v>1</v>
      </c>
      <c r="CC23">
        <v>4</v>
      </c>
      <c r="CD23">
        <v>2</v>
      </c>
      <c r="CE23">
        <v>4</v>
      </c>
      <c r="CF23">
        <v>4</v>
      </c>
      <c r="CG23">
        <v>2</v>
      </c>
      <c r="CH23">
        <v>4</v>
      </c>
      <c r="CI23">
        <v>4</v>
      </c>
      <c r="CJ23">
        <v>2</v>
      </c>
      <c r="CK23">
        <v>4</v>
      </c>
      <c r="CL23">
        <v>4</v>
      </c>
      <c r="CM23">
        <v>2</v>
      </c>
      <c r="CN23">
        <v>4</v>
      </c>
      <c r="CO23">
        <v>4</v>
      </c>
      <c r="CP23">
        <v>4</v>
      </c>
      <c r="CQ23">
        <v>4</v>
      </c>
      <c r="CR23">
        <v>3</v>
      </c>
      <c r="CS23">
        <v>3</v>
      </c>
      <c r="CT23">
        <v>4</v>
      </c>
      <c r="CU23">
        <v>16</v>
      </c>
      <c r="CV23">
        <v>16</v>
      </c>
      <c r="CW23">
        <v>19</v>
      </c>
      <c r="CX23">
        <v>51</v>
      </c>
      <c r="CY23">
        <v>16</v>
      </c>
      <c r="CZ23">
        <v>2</v>
      </c>
      <c r="DA23" s="1">
        <v>45520.374305555553</v>
      </c>
      <c r="DB23">
        <v>1</v>
      </c>
      <c r="DC23">
        <v>0</v>
      </c>
      <c r="DD23">
        <v>0</v>
      </c>
      <c r="DE23">
        <v>0</v>
      </c>
      <c r="DF23">
        <v>0</v>
      </c>
      <c r="DG23">
        <v>0</v>
      </c>
      <c r="DH23">
        <v>0</v>
      </c>
      <c r="DI23">
        <v>1</v>
      </c>
      <c r="DJ23">
        <v>0</v>
      </c>
      <c r="DK23">
        <v>0</v>
      </c>
      <c r="DL23">
        <v>1</v>
      </c>
      <c r="DM23">
        <v>0</v>
      </c>
      <c r="DN23">
        <v>0</v>
      </c>
      <c r="DO23">
        <v>0</v>
      </c>
      <c r="DP23">
        <v>0</v>
      </c>
      <c r="DQ23">
        <v>0</v>
      </c>
      <c r="DR23">
        <v>0</v>
      </c>
      <c r="DS23">
        <v>0</v>
      </c>
      <c r="DT23">
        <v>0</v>
      </c>
      <c r="DU23">
        <v>1</v>
      </c>
      <c r="DV23">
        <v>1</v>
      </c>
      <c r="DW23">
        <v>0</v>
      </c>
      <c r="DX23">
        <v>0</v>
      </c>
      <c r="DY23">
        <v>0</v>
      </c>
      <c r="DZ23">
        <v>0</v>
      </c>
      <c r="EA23">
        <v>1</v>
      </c>
      <c r="EB23">
        <v>0</v>
      </c>
      <c r="EC23">
        <v>0</v>
      </c>
      <c r="ED23">
        <v>0</v>
      </c>
      <c r="EE23">
        <v>0</v>
      </c>
      <c r="EF23">
        <v>0</v>
      </c>
      <c r="EG23">
        <v>1</v>
      </c>
      <c r="EH23">
        <v>0</v>
      </c>
      <c r="EI23">
        <v>0</v>
      </c>
      <c r="EJ23">
        <v>0</v>
      </c>
      <c r="EK23">
        <v>1</v>
      </c>
      <c r="EL23">
        <v>0</v>
      </c>
      <c r="EM23">
        <v>0</v>
      </c>
      <c r="EN23">
        <v>0</v>
      </c>
      <c r="EO23">
        <v>0</v>
      </c>
      <c r="EP23">
        <v>0</v>
      </c>
      <c r="EQ23">
        <v>0</v>
      </c>
      <c r="ER23">
        <v>0</v>
      </c>
      <c r="ES23">
        <v>1</v>
      </c>
      <c r="ET23">
        <v>0</v>
      </c>
      <c r="EU23">
        <v>1</v>
      </c>
      <c r="EV23">
        <v>0</v>
      </c>
      <c r="EW23">
        <v>0</v>
      </c>
      <c r="EX23">
        <v>0</v>
      </c>
      <c r="EY23">
        <v>0</v>
      </c>
      <c r="EZ23">
        <v>0</v>
      </c>
      <c r="FA23">
        <v>0</v>
      </c>
      <c r="FB23">
        <v>1</v>
      </c>
      <c r="FC23">
        <v>0</v>
      </c>
      <c r="FD23">
        <v>0</v>
      </c>
      <c r="FE23">
        <v>0</v>
      </c>
      <c r="FF23">
        <v>0</v>
      </c>
      <c r="FG23">
        <v>0</v>
      </c>
      <c r="FH23">
        <v>0</v>
      </c>
      <c r="FI23">
        <v>1</v>
      </c>
      <c r="FJ23">
        <v>0</v>
      </c>
      <c r="FK23">
        <v>1</v>
      </c>
      <c r="FL23">
        <v>0</v>
      </c>
      <c r="FM23">
        <v>0</v>
      </c>
      <c r="FN23">
        <v>0</v>
      </c>
      <c r="FO23">
        <v>0</v>
      </c>
      <c r="FP23">
        <v>0</v>
      </c>
      <c r="FQ23">
        <v>1</v>
      </c>
      <c r="FR23">
        <v>0</v>
      </c>
      <c r="FS23">
        <v>0</v>
      </c>
      <c r="FT23">
        <v>0</v>
      </c>
      <c r="FU23">
        <v>0</v>
      </c>
      <c r="FV23">
        <v>1</v>
      </c>
      <c r="FW23">
        <v>0</v>
      </c>
      <c r="FX23">
        <v>0</v>
      </c>
      <c r="FY23">
        <v>0</v>
      </c>
      <c r="FZ23">
        <v>0</v>
      </c>
      <c r="GA23">
        <v>0</v>
      </c>
      <c r="GB23">
        <v>0</v>
      </c>
      <c r="GC23">
        <v>1</v>
      </c>
      <c r="GD23">
        <v>0</v>
      </c>
      <c r="GE23">
        <v>0</v>
      </c>
      <c r="GF23">
        <v>0</v>
      </c>
      <c r="GG23">
        <v>1</v>
      </c>
      <c r="GH23">
        <v>0</v>
      </c>
      <c r="GI23">
        <v>2</v>
      </c>
      <c r="GJ23" s="1">
        <v>45520.374305555553</v>
      </c>
      <c r="GK23">
        <v>0</v>
      </c>
      <c r="HF23">
        <v>2</v>
      </c>
      <c r="HG23" s="1">
        <v>45520.374305555553</v>
      </c>
      <c r="HH23">
        <v>6</v>
      </c>
      <c r="HI23">
        <v>13</v>
      </c>
      <c r="HJ23">
        <v>1</v>
      </c>
      <c r="HK23">
        <v>2</v>
      </c>
      <c r="HL23" s="1">
        <v>45531.601388888892</v>
      </c>
      <c r="HM23">
        <v>0</v>
      </c>
      <c r="HN23">
        <v>0</v>
      </c>
      <c r="HO23">
        <v>0</v>
      </c>
      <c r="HP23">
        <v>0</v>
      </c>
      <c r="HQ23">
        <v>0</v>
      </c>
      <c r="HR23">
        <v>0</v>
      </c>
      <c r="HS23">
        <v>0</v>
      </c>
      <c r="HT23">
        <v>0</v>
      </c>
      <c r="HU23">
        <v>0</v>
      </c>
      <c r="HV23">
        <v>0</v>
      </c>
      <c r="HW23">
        <v>0</v>
      </c>
      <c r="HX23">
        <v>0</v>
      </c>
      <c r="HY23">
        <v>0</v>
      </c>
      <c r="HZ23">
        <v>0</v>
      </c>
      <c r="IA23">
        <v>0</v>
      </c>
      <c r="IB23">
        <v>1</v>
      </c>
      <c r="IC23">
        <v>0</v>
      </c>
      <c r="ID23">
        <v>0</v>
      </c>
      <c r="IE23">
        <v>0</v>
      </c>
      <c r="IF23">
        <v>0</v>
      </c>
      <c r="IG23">
        <v>0</v>
      </c>
      <c r="IH23">
        <v>1</v>
      </c>
      <c r="II23">
        <v>2</v>
      </c>
      <c r="IJ23" s="1">
        <v>45531.601388888892</v>
      </c>
      <c r="IK23">
        <v>0</v>
      </c>
      <c r="IL23">
        <v>0</v>
      </c>
      <c r="IM23">
        <v>0</v>
      </c>
      <c r="IN23">
        <v>0</v>
      </c>
      <c r="IO23">
        <v>0</v>
      </c>
      <c r="IP23">
        <v>0</v>
      </c>
      <c r="IQ23">
        <v>0</v>
      </c>
      <c r="IR23">
        <v>0</v>
      </c>
      <c r="IS23">
        <v>0</v>
      </c>
      <c r="IT23">
        <v>0</v>
      </c>
      <c r="IU23">
        <v>0</v>
      </c>
      <c r="IV23">
        <v>0</v>
      </c>
      <c r="IW23">
        <v>0</v>
      </c>
      <c r="IX23">
        <v>0</v>
      </c>
      <c r="IY23">
        <v>0</v>
      </c>
      <c r="IZ23">
        <v>0</v>
      </c>
      <c r="JA23">
        <v>0</v>
      </c>
      <c r="JB23">
        <v>0</v>
      </c>
      <c r="JC23">
        <v>0</v>
      </c>
      <c r="JD23">
        <v>1</v>
      </c>
      <c r="JN23">
        <v>0</v>
      </c>
      <c r="JQ23">
        <v>2</v>
      </c>
      <c r="JR23" s="1">
        <v>45531.601388888892</v>
      </c>
      <c r="JS23">
        <v>0</v>
      </c>
      <c r="JT23">
        <v>0</v>
      </c>
      <c r="JU23">
        <v>0</v>
      </c>
      <c r="JV23">
        <v>0</v>
      </c>
      <c r="JW23">
        <v>2</v>
      </c>
      <c r="JX23" s="1">
        <v>45531.602083333331</v>
      </c>
      <c r="JY23">
        <v>31.9</v>
      </c>
      <c r="JZ23">
        <v>2.7</v>
      </c>
      <c r="KI23">
        <v>1</v>
      </c>
      <c r="KJ23">
        <v>38.700000000000003</v>
      </c>
      <c r="KK23">
        <v>5.9</v>
      </c>
      <c r="KL23">
        <v>1</v>
      </c>
      <c r="SE23">
        <v>1</v>
      </c>
      <c r="SF23">
        <v>28.6</v>
      </c>
      <c r="SG23">
        <v>3.5</v>
      </c>
      <c r="SH23">
        <v>10</v>
      </c>
      <c r="SQ23">
        <v>1</v>
      </c>
      <c r="SR23">
        <v>31.4</v>
      </c>
      <c r="SS23">
        <v>5</v>
      </c>
      <c r="ST23">
        <v>3</v>
      </c>
      <c r="SU23">
        <v>1</v>
      </c>
      <c r="SV23">
        <v>28.3</v>
      </c>
      <c r="SW23">
        <v>4.5</v>
      </c>
      <c r="SX23">
        <v>6</v>
      </c>
      <c r="TS23">
        <v>5</v>
      </c>
      <c r="TT23">
        <v>27.2</v>
      </c>
      <c r="TU23">
        <v>4.5</v>
      </c>
      <c r="TV23">
        <v>7</v>
      </c>
      <c r="TW23">
        <v>5</v>
      </c>
      <c r="TX23">
        <v>31.9</v>
      </c>
      <c r="TY23">
        <v>2.7</v>
      </c>
      <c r="TZ23">
        <v>12</v>
      </c>
      <c r="UI23">
        <v>1</v>
      </c>
      <c r="UJ23">
        <v>29.1</v>
      </c>
      <c r="UK23">
        <v>4.5999999999999996</v>
      </c>
      <c r="UL23">
        <v>5</v>
      </c>
      <c r="VC23">
        <v>2</v>
      </c>
      <c r="VD23">
        <v>29.5</v>
      </c>
      <c r="VE23">
        <v>3.6</v>
      </c>
      <c r="VF23">
        <v>8</v>
      </c>
      <c r="WI23">
        <v>5</v>
      </c>
      <c r="WJ23">
        <v>28.3</v>
      </c>
      <c r="WK23">
        <v>3.5</v>
      </c>
      <c r="WL23">
        <v>11</v>
      </c>
      <c r="WQ23">
        <v>1</v>
      </c>
      <c r="WR23">
        <v>34.6</v>
      </c>
      <c r="WS23">
        <v>5.2</v>
      </c>
      <c r="WT23">
        <v>2</v>
      </c>
      <c r="XC23">
        <v>1</v>
      </c>
      <c r="XD23">
        <v>30.1</v>
      </c>
      <c r="XE23">
        <v>4.7</v>
      </c>
      <c r="XF23">
        <v>4</v>
      </c>
      <c r="YI23">
        <v>5</v>
      </c>
      <c r="YJ23">
        <v>29</v>
      </c>
      <c r="YK23">
        <v>3.6</v>
      </c>
      <c r="YL23">
        <v>9</v>
      </c>
      <c r="YQ23">
        <v>2</v>
      </c>
      <c r="YR23" s="1">
        <v>45531.602777777778</v>
      </c>
      <c r="YS23">
        <v>5</v>
      </c>
      <c r="YT23">
        <v>1</v>
      </c>
      <c r="YU23">
        <v>5</v>
      </c>
      <c r="YV23">
        <v>1</v>
      </c>
      <c r="YW23">
        <v>5</v>
      </c>
      <c r="YX23">
        <v>1</v>
      </c>
      <c r="YY23">
        <v>1</v>
      </c>
      <c r="YZ23">
        <v>1</v>
      </c>
      <c r="ZA23">
        <v>5</v>
      </c>
      <c r="ZB23">
        <v>5</v>
      </c>
      <c r="ZC23">
        <v>1</v>
      </c>
      <c r="ZD23">
        <v>5</v>
      </c>
      <c r="ZE23">
        <v>1</v>
      </c>
      <c r="ZF23">
        <v>5</v>
      </c>
      <c r="ZG23">
        <v>2</v>
      </c>
      <c r="ZH23">
        <v>5</v>
      </c>
      <c r="ZI23">
        <v>5</v>
      </c>
      <c r="ZJ23">
        <v>1</v>
      </c>
      <c r="ZK23">
        <v>5</v>
      </c>
      <c r="ZL23">
        <v>1</v>
      </c>
      <c r="ZM23">
        <v>50</v>
      </c>
      <c r="ZN23">
        <v>11</v>
      </c>
      <c r="ZO23">
        <v>2</v>
      </c>
      <c r="ZP23" s="1">
        <v>45531.602777777778</v>
      </c>
      <c r="ZQ23">
        <v>0</v>
      </c>
      <c r="ZR23">
        <v>0</v>
      </c>
      <c r="ZS23">
        <v>0</v>
      </c>
      <c r="ZT23">
        <v>0</v>
      </c>
      <c r="ZU23">
        <v>0</v>
      </c>
      <c r="ZV23">
        <v>0</v>
      </c>
      <c r="ZW23">
        <v>0</v>
      </c>
      <c r="ZX23">
        <v>0</v>
      </c>
      <c r="ZY23">
        <v>0</v>
      </c>
      <c r="ZZ23">
        <v>0</v>
      </c>
      <c r="AAA23">
        <v>0</v>
      </c>
      <c r="AAB23">
        <v>0</v>
      </c>
      <c r="AAC23">
        <v>0</v>
      </c>
      <c r="AAD23">
        <v>0</v>
      </c>
      <c r="AAE23">
        <v>0</v>
      </c>
      <c r="AAF23">
        <v>0</v>
      </c>
      <c r="AAG23">
        <v>0</v>
      </c>
      <c r="AAH23">
        <v>0</v>
      </c>
      <c r="AAI23">
        <v>0</v>
      </c>
      <c r="AAJ23">
        <v>0</v>
      </c>
      <c r="AAK23">
        <v>0</v>
      </c>
      <c r="AAL23">
        <v>0</v>
      </c>
      <c r="AAM23">
        <v>2</v>
      </c>
      <c r="AAN23" s="1">
        <v>45531.602777777778</v>
      </c>
      <c r="AAO23">
        <v>0</v>
      </c>
      <c r="ABF23">
        <v>2</v>
      </c>
      <c r="ABG23" s="1">
        <v>45531.602777777778</v>
      </c>
      <c r="ABH23">
        <v>0</v>
      </c>
      <c r="ABI23">
        <v>0</v>
      </c>
      <c r="ABJ23">
        <v>0</v>
      </c>
      <c r="ABK23">
        <v>0</v>
      </c>
      <c r="ABL23">
        <v>0</v>
      </c>
      <c r="ABM23">
        <v>0</v>
      </c>
      <c r="ABN23">
        <v>0</v>
      </c>
      <c r="ABO23">
        <v>0</v>
      </c>
      <c r="ABP23">
        <v>0</v>
      </c>
      <c r="ABQ23">
        <v>0</v>
      </c>
      <c r="ABR23">
        <v>0</v>
      </c>
      <c r="ABS23">
        <v>0</v>
      </c>
      <c r="ABT23">
        <v>0</v>
      </c>
      <c r="ABU23">
        <v>0</v>
      </c>
      <c r="ABV23">
        <v>0</v>
      </c>
      <c r="ABW23">
        <v>0</v>
      </c>
      <c r="ABX23">
        <v>0</v>
      </c>
      <c r="ABY23">
        <v>0</v>
      </c>
      <c r="ABZ23">
        <v>0</v>
      </c>
      <c r="ACA23">
        <v>0</v>
      </c>
      <c r="ACB23">
        <v>0</v>
      </c>
      <c r="ACC23">
        <v>0</v>
      </c>
      <c r="ACD23">
        <v>0</v>
      </c>
      <c r="ACE23">
        <v>0</v>
      </c>
      <c r="ACF23">
        <v>0</v>
      </c>
      <c r="ACG23">
        <v>0</v>
      </c>
      <c r="ACH23">
        <v>0</v>
      </c>
      <c r="ACI23">
        <v>0</v>
      </c>
      <c r="ACJ23">
        <v>0</v>
      </c>
      <c r="ACK23">
        <v>0</v>
      </c>
      <c r="ACL23">
        <v>0</v>
      </c>
      <c r="ACM23">
        <v>0</v>
      </c>
      <c r="ACN23">
        <v>0</v>
      </c>
      <c r="ACO23">
        <v>0</v>
      </c>
      <c r="ACP23">
        <v>0</v>
      </c>
      <c r="ACQ23">
        <v>0</v>
      </c>
      <c r="ACR23">
        <v>0</v>
      </c>
      <c r="ACS23">
        <v>0</v>
      </c>
      <c r="ACT23">
        <v>0</v>
      </c>
      <c r="ACU23">
        <v>0</v>
      </c>
      <c r="ACV23">
        <v>0</v>
      </c>
      <c r="ACW23">
        <v>0</v>
      </c>
      <c r="ACX23">
        <v>0</v>
      </c>
      <c r="ACY23">
        <v>0</v>
      </c>
      <c r="ACZ23">
        <v>0</v>
      </c>
      <c r="ADA23">
        <v>0</v>
      </c>
      <c r="ADB23">
        <v>0</v>
      </c>
      <c r="ADC23">
        <v>0</v>
      </c>
      <c r="ADD23">
        <v>0</v>
      </c>
      <c r="ADE23">
        <v>0</v>
      </c>
      <c r="ADF23">
        <v>0</v>
      </c>
      <c r="ADG23">
        <v>0</v>
      </c>
      <c r="ADH23">
        <v>0</v>
      </c>
      <c r="ADI23">
        <v>0</v>
      </c>
      <c r="ADJ23">
        <v>0</v>
      </c>
      <c r="ADK23">
        <v>0</v>
      </c>
      <c r="ADL23">
        <v>0</v>
      </c>
      <c r="ADM23">
        <v>0</v>
      </c>
      <c r="ADN23">
        <v>0</v>
      </c>
      <c r="ADO23">
        <v>0</v>
      </c>
      <c r="ADP23">
        <v>0</v>
      </c>
      <c r="ADQ23">
        <v>0</v>
      </c>
      <c r="ADR23">
        <v>0</v>
      </c>
      <c r="ADS23">
        <v>0</v>
      </c>
      <c r="ADT23">
        <v>0</v>
      </c>
      <c r="ADU23">
        <v>0</v>
      </c>
      <c r="ADV23">
        <v>0</v>
      </c>
      <c r="ADW23">
        <v>0</v>
      </c>
      <c r="ADX23">
        <v>0</v>
      </c>
      <c r="ADY23">
        <v>0</v>
      </c>
      <c r="ADZ23">
        <v>0</v>
      </c>
      <c r="AEA23">
        <v>0</v>
      </c>
      <c r="AEB23">
        <v>0</v>
      </c>
      <c r="AEC23">
        <v>0</v>
      </c>
      <c r="AEE23">
        <v>2</v>
      </c>
      <c r="AEF23" s="1">
        <v>45531.603472222225</v>
      </c>
      <c r="AEG23">
        <v>0</v>
      </c>
      <c r="AEH23">
        <v>0</v>
      </c>
      <c r="AEI23">
        <v>0</v>
      </c>
      <c r="AEJ23">
        <v>3</v>
      </c>
      <c r="AEK23">
        <v>0</v>
      </c>
      <c r="AEL23">
        <v>0</v>
      </c>
      <c r="AEM23">
        <v>0</v>
      </c>
      <c r="AEN23">
        <v>3</v>
      </c>
      <c r="AEO23">
        <v>0</v>
      </c>
      <c r="AEP23">
        <v>4</v>
      </c>
      <c r="AEQ23">
        <v>0</v>
      </c>
      <c r="AER23">
        <v>0</v>
      </c>
      <c r="AES23">
        <v>0</v>
      </c>
      <c r="AET23">
        <v>0</v>
      </c>
      <c r="AEU23">
        <v>0</v>
      </c>
      <c r="AEV23">
        <v>1</v>
      </c>
      <c r="AEW23">
        <v>0</v>
      </c>
      <c r="AEX23">
        <v>0</v>
      </c>
      <c r="AEY23">
        <v>0</v>
      </c>
      <c r="AEZ23">
        <v>1</v>
      </c>
      <c r="AFA23">
        <v>0</v>
      </c>
      <c r="AFB23">
        <v>0</v>
      </c>
      <c r="AFC23">
        <v>0</v>
      </c>
      <c r="AFD23">
        <v>0</v>
      </c>
      <c r="AFE23">
        <v>0</v>
      </c>
      <c r="AFF23">
        <v>3</v>
      </c>
      <c r="AFG23">
        <v>3</v>
      </c>
      <c r="AFH23">
        <v>0</v>
      </c>
      <c r="AFI23">
        <v>0</v>
      </c>
      <c r="AFJ23">
        <v>3</v>
      </c>
      <c r="AFK23">
        <v>2</v>
      </c>
      <c r="AFL23">
        <v>0</v>
      </c>
      <c r="AFM23">
        <v>0</v>
      </c>
      <c r="AFN23">
        <v>0</v>
      </c>
      <c r="AFO23">
        <v>3</v>
      </c>
      <c r="AFP23">
        <v>16</v>
      </c>
      <c r="AFQ23">
        <v>-11</v>
      </c>
      <c r="AFR23">
        <v>2</v>
      </c>
      <c r="AFS23" s="1">
        <v>45531.604166666664</v>
      </c>
      <c r="AFT23">
        <v>4</v>
      </c>
      <c r="AFU23">
        <v>4</v>
      </c>
      <c r="AFV23">
        <v>2</v>
      </c>
      <c r="AFW23">
        <v>1</v>
      </c>
      <c r="AFX23">
        <v>4</v>
      </c>
      <c r="AFY23">
        <v>1</v>
      </c>
      <c r="AFZ23">
        <v>1</v>
      </c>
      <c r="AGA23">
        <v>4</v>
      </c>
      <c r="AGB23">
        <v>1</v>
      </c>
      <c r="AGC23">
        <v>4</v>
      </c>
      <c r="AGD23">
        <v>4</v>
      </c>
      <c r="AGE23">
        <v>2</v>
      </c>
      <c r="AGF23">
        <v>1</v>
      </c>
      <c r="AGG23">
        <v>1</v>
      </c>
      <c r="AGH23">
        <v>3</v>
      </c>
      <c r="AGI23">
        <v>4</v>
      </c>
      <c r="AGJ23">
        <v>1</v>
      </c>
      <c r="AGK23">
        <v>1</v>
      </c>
      <c r="AGL23">
        <v>1</v>
      </c>
      <c r="AGM23">
        <v>4</v>
      </c>
      <c r="AGN23">
        <v>26</v>
      </c>
      <c r="AGO23">
        <v>2</v>
      </c>
      <c r="AGP23" s="1">
        <v>45531.604166666664</v>
      </c>
      <c r="AGQ23">
        <v>0</v>
      </c>
      <c r="AGV23">
        <v>0</v>
      </c>
      <c r="AGW23">
        <v>0</v>
      </c>
      <c r="AGX23">
        <v>0</v>
      </c>
      <c r="AGY23">
        <v>0</v>
      </c>
      <c r="AGZ23">
        <v>0</v>
      </c>
      <c r="AHB23">
        <v>2</v>
      </c>
      <c r="AHC23" s="1">
        <v>45531.604861111111</v>
      </c>
      <c r="AHD23" t="s">
        <v>210</v>
      </c>
      <c r="AHE23" t="s">
        <v>212</v>
      </c>
      <c r="AHN23" t="s">
        <v>345</v>
      </c>
      <c r="AHO23" t="s">
        <v>219</v>
      </c>
      <c r="AHP23">
        <v>6</v>
      </c>
      <c r="AHQ23" t="s">
        <v>380</v>
      </c>
      <c r="AHR23" t="s">
        <v>381</v>
      </c>
      <c r="AHS23" t="s">
        <v>210</v>
      </c>
      <c r="AHU23" t="s">
        <v>211</v>
      </c>
    </row>
    <row r="24" spans="1:905">
      <c r="A24">
        <v>156</v>
      </c>
      <c r="B24" t="s">
        <v>205</v>
      </c>
      <c r="C24" t="s">
        <v>382</v>
      </c>
      <c r="D24">
        <v>2</v>
      </c>
      <c r="E24">
        <v>1</v>
      </c>
      <c r="F24">
        <v>25</v>
      </c>
      <c r="G24">
        <v>60</v>
      </c>
      <c r="H24">
        <v>122</v>
      </c>
      <c r="I24">
        <v>0</v>
      </c>
      <c r="J24">
        <v>2</v>
      </c>
      <c r="L24" t="s">
        <v>383</v>
      </c>
      <c r="M24">
        <v>2</v>
      </c>
      <c r="N24" s="1">
        <v>45531.736805555556</v>
      </c>
      <c r="O24">
        <v>7</v>
      </c>
      <c r="P24">
        <v>0</v>
      </c>
      <c r="R24">
        <v>1</v>
      </c>
      <c r="S24">
        <v>0</v>
      </c>
      <c r="T24">
        <v>0</v>
      </c>
      <c r="U24">
        <v>1</v>
      </c>
      <c r="V24">
        <v>0</v>
      </c>
      <c r="W24">
        <v>0</v>
      </c>
      <c r="X24">
        <v>0</v>
      </c>
      <c r="Y24">
        <v>0</v>
      </c>
      <c r="Z24">
        <v>0</v>
      </c>
      <c r="AA24">
        <v>0</v>
      </c>
      <c r="AB24">
        <v>0</v>
      </c>
      <c r="AC24" t="s">
        <v>208</v>
      </c>
      <c r="AD24">
        <v>2</v>
      </c>
      <c r="AE24" s="1">
        <v>45531.737500000003</v>
      </c>
      <c r="AF24">
        <v>2</v>
      </c>
      <c r="AG24">
        <v>3</v>
      </c>
      <c r="AH24">
        <v>3</v>
      </c>
      <c r="AI24">
        <v>2</v>
      </c>
      <c r="AJ24">
        <v>1</v>
      </c>
      <c r="AK24">
        <v>2</v>
      </c>
      <c r="AL24">
        <v>1</v>
      </c>
      <c r="AM24">
        <v>3</v>
      </c>
      <c r="AN24">
        <v>4</v>
      </c>
      <c r="AO24">
        <v>3</v>
      </c>
      <c r="AP24">
        <v>3</v>
      </c>
      <c r="AQ24">
        <v>3</v>
      </c>
      <c r="AR24">
        <v>2</v>
      </c>
      <c r="AS24">
        <v>1</v>
      </c>
      <c r="AT24">
        <v>1</v>
      </c>
      <c r="AU24">
        <v>3</v>
      </c>
      <c r="AV24">
        <v>3</v>
      </c>
      <c r="AW24">
        <v>3</v>
      </c>
      <c r="AX24">
        <v>1</v>
      </c>
      <c r="AY24">
        <v>3</v>
      </c>
      <c r="AZ24">
        <v>56</v>
      </c>
      <c r="BA24">
        <v>2</v>
      </c>
      <c r="BB24" s="1">
        <v>45531.738888888889</v>
      </c>
      <c r="BC24">
        <v>10</v>
      </c>
      <c r="BD24">
        <v>2</v>
      </c>
      <c r="BE24">
        <v>1</v>
      </c>
      <c r="BI24" s="2">
        <v>45509</v>
      </c>
      <c r="BM24">
        <v>26</v>
      </c>
      <c r="BN24">
        <v>5</v>
      </c>
      <c r="BO24">
        <v>1</v>
      </c>
      <c r="BP24">
        <v>1</v>
      </c>
      <c r="BQ24">
        <v>0</v>
      </c>
      <c r="BR24">
        <v>0</v>
      </c>
      <c r="BS24">
        <v>0</v>
      </c>
      <c r="BT24">
        <v>0</v>
      </c>
      <c r="BU24">
        <v>0</v>
      </c>
      <c r="BV24">
        <v>0</v>
      </c>
      <c r="BW24">
        <v>0</v>
      </c>
      <c r="BY24">
        <v>2</v>
      </c>
      <c r="BZ24" s="1">
        <v>45531.740972222222</v>
      </c>
      <c r="CA24">
        <v>3</v>
      </c>
      <c r="CB24">
        <v>3</v>
      </c>
      <c r="CC24">
        <v>3</v>
      </c>
      <c r="CD24">
        <v>3</v>
      </c>
      <c r="CE24">
        <v>4</v>
      </c>
      <c r="CF24">
        <v>4</v>
      </c>
      <c r="CG24">
        <v>2</v>
      </c>
      <c r="CH24">
        <v>4</v>
      </c>
      <c r="CI24">
        <v>3</v>
      </c>
      <c r="CJ24">
        <v>4</v>
      </c>
      <c r="CK24">
        <v>4</v>
      </c>
      <c r="CL24">
        <v>3</v>
      </c>
      <c r="CM24">
        <v>3</v>
      </c>
      <c r="CN24">
        <v>2</v>
      </c>
      <c r="CO24">
        <v>2</v>
      </c>
      <c r="CP24">
        <v>4</v>
      </c>
      <c r="CQ24">
        <v>3</v>
      </c>
      <c r="CR24">
        <v>2</v>
      </c>
      <c r="CS24">
        <v>4</v>
      </c>
      <c r="CT24">
        <v>2</v>
      </c>
      <c r="CU24">
        <v>12</v>
      </c>
      <c r="CV24">
        <v>15</v>
      </c>
      <c r="CW24">
        <v>16</v>
      </c>
      <c r="CX24">
        <v>43</v>
      </c>
      <c r="CY24">
        <v>19</v>
      </c>
      <c r="CZ24">
        <v>2</v>
      </c>
      <c r="DA24" s="1">
        <v>45531.741666666669</v>
      </c>
      <c r="DB24">
        <v>1</v>
      </c>
      <c r="DC24">
        <v>0</v>
      </c>
      <c r="DD24">
        <v>0</v>
      </c>
      <c r="DE24">
        <v>0</v>
      </c>
      <c r="DF24">
        <v>0</v>
      </c>
      <c r="DG24">
        <v>1</v>
      </c>
      <c r="DH24">
        <v>0</v>
      </c>
      <c r="DI24">
        <v>0</v>
      </c>
      <c r="DJ24">
        <v>0</v>
      </c>
      <c r="DK24">
        <v>0</v>
      </c>
      <c r="DL24">
        <v>0</v>
      </c>
      <c r="DM24">
        <v>1</v>
      </c>
      <c r="DN24">
        <v>0</v>
      </c>
      <c r="DO24">
        <v>0</v>
      </c>
      <c r="DP24">
        <v>0</v>
      </c>
      <c r="DQ24">
        <v>1</v>
      </c>
      <c r="DR24">
        <v>0</v>
      </c>
      <c r="DS24">
        <v>0</v>
      </c>
      <c r="DT24">
        <v>0</v>
      </c>
      <c r="DU24">
        <v>0</v>
      </c>
      <c r="DV24">
        <v>0</v>
      </c>
      <c r="DW24">
        <v>0</v>
      </c>
      <c r="DX24">
        <v>0</v>
      </c>
      <c r="DY24">
        <v>0</v>
      </c>
      <c r="DZ24">
        <v>1</v>
      </c>
      <c r="EA24">
        <v>0</v>
      </c>
      <c r="EB24">
        <v>0</v>
      </c>
      <c r="EC24">
        <v>0</v>
      </c>
      <c r="ED24">
        <v>0</v>
      </c>
      <c r="EE24">
        <v>1</v>
      </c>
      <c r="EF24">
        <v>0</v>
      </c>
      <c r="EG24">
        <v>0</v>
      </c>
      <c r="EH24">
        <v>0</v>
      </c>
      <c r="EI24">
        <v>0</v>
      </c>
      <c r="EJ24">
        <v>1</v>
      </c>
      <c r="EK24">
        <v>0</v>
      </c>
      <c r="EL24">
        <v>0</v>
      </c>
      <c r="EM24">
        <v>0</v>
      </c>
      <c r="EN24">
        <v>0</v>
      </c>
      <c r="EO24">
        <v>1</v>
      </c>
      <c r="EP24">
        <v>1</v>
      </c>
      <c r="EQ24">
        <v>0</v>
      </c>
      <c r="ER24">
        <v>0</v>
      </c>
      <c r="ES24">
        <v>0</v>
      </c>
      <c r="ET24">
        <v>0</v>
      </c>
      <c r="EU24">
        <v>0</v>
      </c>
      <c r="EV24">
        <v>0</v>
      </c>
      <c r="EW24">
        <v>0</v>
      </c>
      <c r="EX24">
        <v>0</v>
      </c>
      <c r="EY24">
        <v>1</v>
      </c>
      <c r="EZ24">
        <v>0</v>
      </c>
      <c r="FA24">
        <v>0</v>
      </c>
      <c r="FB24">
        <v>0</v>
      </c>
      <c r="FC24">
        <v>0</v>
      </c>
      <c r="FD24">
        <v>1</v>
      </c>
      <c r="FE24">
        <v>0</v>
      </c>
      <c r="FF24">
        <v>0</v>
      </c>
      <c r="FG24">
        <v>0</v>
      </c>
      <c r="FH24">
        <v>0</v>
      </c>
      <c r="FI24">
        <v>1</v>
      </c>
      <c r="FJ24">
        <v>0</v>
      </c>
      <c r="FK24">
        <v>0</v>
      </c>
      <c r="FL24">
        <v>0</v>
      </c>
      <c r="FM24">
        <v>0</v>
      </c>
      <c r="FN24">
        <v>1</v>
      </c>
      <c r="FO24">
        <v>0</v>
      </c>
      <c r="FP24">
        <v>0</v>
      </c>
      <c r="FQ24">
        <v>0</v>
      </c>
      <c r="FR24">
        <v>0</v>
      </c>
      <c r="FS24">
        <v>1</v>
      </c>
      <c r="FT24">
        <v>0</v>
      </c>
      <c r="FU24">
        <v>0</v>
      </c>
      <c r="FV24">
        <v>0</v>
      </c>
      <c r="FW24">
        <v>0</v>
      </c>
      <c r="FX24">
        <v>1</v>
      </c>
      <c r="FY24">
        <v>0</v>
      </c>
      <c r="FZ24">
        <v>0</v>
      </c>
      <c r="GA24">
        <v>0</v>
      </c>
      <c r="GB24">
        <v>0</v>
      </c>
      <c r="GC24">
        <v>1</v>
      </c>
      <c r="GD24">
        <v>0</v>
      </c>
      <c r="GE24">
        <v>0</v>
      </c>
      <c r="GF24">
        <v>0</v>
      </c>
      <c r="GG24">
        <v>0</v>
      </c>
      <c r="GH24">
        <v>1</v>
      </c>
      <c r="GI24">
        <v>2</v>
      </c>
      <c r="GJ24" s="1">
        <v>45531.742361111108</v>
      </c>
      <c r="GK24">
        <v>0</v>
      </c>
      <c r="HF24">
        <v>2</v>
      </c>
      <c r="HG24" s="1">
        <v>45531.742361111108</v>
      </c>
      <c r="HH24">
        <v>4</v>
      </c>
      <c r="HI24">
        <v>5</v>
      </c>
      <c r="HJ24">
        <v>9</v>
      </c>
      <c r="HK24">
        <v>2</v>
      </c>
      <c r="HL24" s="1">
        <v>45531.745138888888</v>
      </c>
      <c r="HM24">
        <v>1</v>
      </c>
      <c r="HN24">
        <v>1</v>
      </c>
      <c r="HO24">
        <v>0</v>
      </c>
      <c r="HP24">
        <v>3</v>
      </c>
      <c r="HQ24">
        <v>3</v>
      </c>
      <c r="HR24">
        <v>3</v>
      </c>
      <c r="HS24">
        <v>1</v>
      </c>
      <c r="HT24">
        <v>0</v>
      </c>
      <c r="HU24">
        <v>0</v>
      </c>
      <c r="HV24">
        <v>0</v>
      </c>
      <c r="HW24">
        <v>0</v>
      </c>
      <c r="HX24">
        <v>2</v>
      </c>
      <c r="HY24">
        <v>2</v>
      </c>
      <c r="HZ24">
        <v>1</v>
      </c>
      <c r="IA24">
        <v>2</v>
      </c>
      <c r="IB24">
        <v>2</v>
      </c>
      <c r="IC24">
        <v>1</v>
      </c>
      <c r="ID24">
        <v>0</v>
      </c>
      <c r="IE24">
        <v>2</v>
      </c>
      <c r="IF24">
        <v>2</v>
      </c>
      <c r="IG24">
        <v>3</v>
      </c>
      <c r="IH24">
        <v>28</v>
      </c>
      <c r="II24">
        <v>2</v>
      </c>
      <c r="IJ24" s="1">
        <v>45531.745833333334</v>
      </c>
      <c r="IK24">
        <v>0</v>
      </c>
      <c r="IL24">
        <v>0</v>
      </c>
      <c r="IM24">
        <v>0</v>
      </c>
      <c r="IN24">
        <v>0</v>
      </c>
      <c r="IO24">
        <v>0</v>
      </c>
      <c r="IP24">
        <v>0</v>
      </c>
      <c r="IQ24">
        <v>0</v>
      </c>
      <c r="IR24">
        <v>0</v>
      </c>
      <c r="IS24">
        <v>0</v>
      </c>
      <c r="IT24">
        <v>0</v>
      </c>
      <c r="IU24">
        <v>0</v>
      </c>
      <c r="IV24">
        <v>0</v>
      </c>
      <c r="IW24">
        <v>0</v>
      </c>
      <c r="IX24">
        <v>0</v>
      </c>
      <c r="IY24">
        <v>0</v>
      </c>
      <c r="IZ24">
        <v>0</v>
      </c>
      <c r="JA24">
        <v>0</v>
      </c>
      <c r="JB24">
        <v>0</v>
      </c>
      <c r="JC24">
        <v>0</v>
      </c>
      <c r="JD24">
        <v>1</v>
      </c>
      <c r="JN24">
        <v>0</v>
      </c>
      <c r="JQ24">
        <v>2</v>
      </c>
      <c r="JR24" s="1">
        <v>45531.745833333334</v>
      </c>
      <c r="JS24">
        <v>0</v>
      </c>
      <c r="JT24">
        <v>0</v>
      </c>
      <c r="JU24">
        <v>0</v>
      </c>
      <c r="JV24">
        <v>0</v>
      </c>
      <c r="JW24">
        <v>2</v>
      </c>
      <c r="JX24" s="1">
        <v>45531.746527777781</v>
      </c>
      <c r="JY24">
        <v>50.1</v>
      </c>
      <c r="JZ24">
        <v>2.4</v>
      </c>
      <c r="KI24">
        <v>2</v>
      </c>
      <c r="KJ24">
        <v>47.9</v>
      </c>
      <c r="KK24">
        <v>4</v>
      </c>
      <c r="KL24">
        <v>1</v>
      </c>
      <c r="UA24">
        <v>2</v>
      </c>
      <c r="UB24">
        <v>51.5</v>
      </c>
      <c r="UC24">
        <v>2.7</v>
      </c>
      <c r="UD24">
        <v>3</v>
      </c>
      <c r="WQ24">
        <v>2</v>
      </c>
      <c r="WR24">
        <v>50.1</v>
      </c>
      <c r="WS24">
        <v>2.4</v>
      </c>
      <c r="WT24">
        <v>4</v>
      </c>
      <c r="XG24">
        <v>3</v>
      </c>
      <c r="XH24">
        <v>52.4</v>
      </c>
      <c r="XI24">
        <v>3.3</v>
      </c>
      <c r="XJ24">
        <v>2</v>
      </c>
      <c r="YQ24">
        <v>2</v>
      </c>
      <c r="YR24" s="1">
        <v>45531.74722222222</v>
      </c>
      <c r="YS24">
        <v>2</v>
      </c>
      <c r="YT24">
        <v>1</v>
      </c>
      <c r="YU24">
        <v>2</v>
      </c>
      <c r="YV24">
        <v>3</v>
      </c>
      <c r="YW24">
        <v>1</v>
      </c>
      <c r="YX24">
        <v>2</v>
      </c>
      <c r="YY24">
        <v>4</v>
      </c>
      <c r="YZ24">
        <v>1</v>
      </c>
      <c r="ZA24">
        <v>1</v>
      </c>
      <c r="ZB24">
        <v>1</v>
      </c>
      <c r="ZC24">
        <v>2</v>
      </c>
      <c r="ZD24">
        <v>2</v>
      </c>
      <c r="ZE24">
        <v>3</v>
      </c>
      <c r="ZF24">
        <v>2</v>
      </c>
      <c r="ZG24">
        <v>4</v>
      </c>
      <c r="ZH24">
        <v>4</v>
      </c>
      <c r="ZI24">
        <v>4</v>
      </c>
      <c r="ZJ24">
        <v>2</v>
      </c>
      <c r="ZK24">
        <v>3</v>
      </c>
      <c r="ZL24">
        <v>4</v>
      </c>
      <c r="ZM24">
        <v>22</v>
      </c>
      <c r="ZN24">
        <v>26</v>
      </c>
      <c r="ZO24">
        <v>2</v>
      </c>
      <c r="ZP24" s="1">
        <v>45531.747916666667</v>
      </c>
      <c r="ZQ24">
        <v>0</v>
      </c>
      <c r="ZR24">
        <v>1</v>
      </c>
      <c r="ZS24">
        <v>3</v>
      </c>
      <c r="ZT24">
        <v>0</v>
      </c>
      <c r="ZU24">
        <v>1</v>
      </c>
      <c r="ZV24">
        <v>3</v>
      </c>
      <c r="ZW24">
        <v>2</v>
      </c>
      <c r="ZX24">
        <v>2</v>
      </c>
      <c r="ZY24">
        <v>0</v>
      </c>
      <c r="ZZ24">
        <v>0</v>
      </c>
      <c r="AAA24">
        <v>0</v>
      </c>
      <c r="AAB24">
        <v>0</v>
      </c>
      <c r="AAC24">
        <v>0</v>
      </c>
      <c r="AAD24">
        <v>3</v>
      </c>
      <c r="AAE24">
        <v>3</v>
      </c>
      <c r="AAF24">
        <v>1</v>
      </c>
      <c r="AAG24">
        <v>0</v>
      </c>
      <c r="AAH24">
        <v>0</v>
      </c>
      <c r="AAI24">
        <v>3</v>
      </c>
      <c r="AAJ24">
        <v>7</v>
      </c>
      <c r="AAK24">
        <v>9</v>
      </c>
      <c r="AAL24">
        <v>19</v>
      </c>
      <c r="AAM24">
        <v>2</v>
      </c>
      <c r="AAN24" s="1">
        <v>45531.747916666667</v>
      </c>
      <c r="AAO24">
        <v>0</v>
      </c>
      <c r="ABF24">
        <v>2</v>
      </c>
      <c r="ABG24" s="1">
        <v>45531.747916666667</v>
      </c>
      <c r="ABH24">
        <v>0</v>
      </c>
      <c r="ABI24">
        <v>0</v>
      </c>
      <c r="ABJ24">
        <v>0</v>
      </c>
      <c r="ABK24">
        <v>0</v>
      </c>
      <c r="ABL24">
        <v>0</v>
      </c>
      <c r="ABM24">
        <v>0</v>
      </c>
      <c r="ABN24">
        <v>0</v>
      </c>
      <c r="ABO24">
        <v>0</v>
      </c>
      <c r="ABP24">
        <v>0</v>
      </c>
      <c r="ABQ24">
        <v>0</v>
      </c>
      <c r="ABR24">
        <v>0</v>
      </c>
      <c r="ABS24">
        <v>0</v>
      </c>
      <c r="ABT24">
        <v>0</v>
      </c>
      <c r="ABU24">
        <v>0</v>
      </c>
      <c r="ABV24">
        <v>0</v>
      </c>
      <c r="ABW24">
        <v>0</v>
      </c>
      <c r="ABX24">
        <v>0</v>
      </c>
      <c r="ABY24">
        <v>0</v>
      </c>
      <c r="ABZ24">
        <v>0</v>
      </c>
      <c r="ACA24">
        <v>0</v>
      </c>
      <c r="ACB24">
        <v>0</v>
      </c>
      <c r="ACC24">
        <v>0</v>
      </c>
      <c r="ACD24">
        <v>0</v>
      </c>
      <c r="ACE24">
        <v>0</v>
      </c>
      <c r="ACF24">
        <v>0</v>
      </c>
      <c r="ACG24">
        <v>0</v>
      </c>
      <c r="ACH24">
        <v>0</v>
      </c>
      <c r="ACI24">
        <v>0</v>
      </c>
      <c r="ACJ24">
        <v>0</v>
      </c>
      <c r="ACK24">
        <v>0</v>
      </c>
      <c r="ACL24">
        <v>0</v>
      </c>
      <c r="ACM24">
        <v>0</v>
      </c>
      <c r="ACN24">
        <v>0</v>
      </c>
      <c r="ACO24">
        <v>0</v>
      </c>
      <c r="ACP24">
        <v>0</v>
      </c>
      <c r="ACQ24">
        <v>0</v>
      </c>
      <c r="ACR24">
        <v>0</v>
      </c>
      <c r="ACS24">
        <v>0</v>
      </c>
      <c r="ACT24">
        <v>0</v>
      </c>
      <c r="ACU24">
        <v>0</v>
      </c>
      <c r="ACV24">
        <v>0</v>
      </c>
      <c r="ACW24">
        <v>0</v>
      </c>
      <c r="ACX24">
        <v>0</v>
      </c>
      <c r="ACY24">
        <v>0</v>
      </c>
      <c r="ACZ24">
        <v>0</v>
      </c>
      <c r="ADA24">
        <v>0</v>
      </c>
      <c r="ADB24">
        <v>0</v>
      </c>
      <c r="ADC24">
        <v>0</v>
      </c>
      <c r="ADD24">
        <v>0</v>
      </c>
      <c r="ADE24">
        <v>0</v>
      </c>
      <c r="ADF24">
        <v>0</v>
      </c>
      <c r="ADG24">
        <v>0</v>
      </c>
      <c r="ADH24">
        <v>0</v>
      </c>
      <c r="ADI24">
        <v>0</v>
      </c>
      <c r="ADJ24">
        <v>0</v>
      </c>
      <c r="ADK24">
        <v>0</v>
      </c>
      <c r="ADL24">
        <v>0</v>
      </c>
      <c r="ADM24">
        <v>0</v>
      </c>
      <c r="ADN24">
        <v>0</v>
      </c>
      <c r="ADO24">
        <v>0</v>
      </c>
      <c r="ADP24">
        <v>0</v>
      </c>
      <c r="ADQ24">
        <v>0</v>
      </c>
      <c r="ADR24">
        <v>0</v>
      </c>
      <c r="ADS24">
        <v>0</v>
      </c>
      <c r="ADT24">
        <v>0</v>
      </c>
      <c r="ADU24">
        <v>0</v>
      </c>
      <c r="ADV24">
        <v>0</v>
      </c>
      <c r="ADW24">
        <v>0</v>
      </c>
      <c r="ADX24">
        <v>0</v>
      </c>
      <c r="ADY24">
        <v>0</v>
      </c>
      <c r="ADZ24">
        <v>0</v>
      </c>
      <c r="AEA24">
        <v>0</v>
      </c>
      <c r="AEB24">
        <v>0</v>
      </c>
      <c r="AEC24">
        <v>0</v>
      </c>
      <c r="AEE24">
        <v>2</v>
      </c>
      <c r="AEF24" s="1">
        <v>45531.749305555553</v>
      </c>
      <c r="AEG24">
        <v>2</v>
      </c>
      <c r="AEH24">
        <v>0</v>
      </c>
      <c r="AEI24">
        <v>3</v>
      </c>
      <c r="AEJ24">
        <v>0</v>
      </c>
      <c r="AEK24">
        <v>0</v>
      </c>
      <c r="AEL24">
        <v>0</v>
      </c>
      <c r="AEM24">
        <v>0</v>
      </c>
      <c r="AEN24">
        <v>0</v>
      </c>
      <c r="AEO24">
        <v>0</v>
      </c>
      <c r="AEP24">
        <v>0</v>
      </c>
      <c r="AEQ24">
        <v>0</v>
      </c>
      <c r="AER24">
        <v>1</v>
      </c>
      <c r="AES24">
        <v>1</v>
      </c>
      <c r="AET24">
        <v>1</v>
      </c>
      <c r="AEU24">
        <v>1</v>
      </c>
      <c r="AEV24">
        <v>1</v>
      </c>
      <c r="AEW24">
        <v>1</v>
      </c>
      <c r="AEX24">
        <v>0</v>
      </c>
      <c r="AEY24">
        <v>3</v>
      </c>
      <c r="AEZ24">
        <v>3</v>
      </c>
      <c r="AFA24">
        <v>0</v>
      </c>
      <c r="AFB24">
        <v>1</v>
      </c>
      <c r="AFC24">
        <v>1</v>
      </c>
      <c r="AFD24">
        <v>0</v>
      </c>
      <c r="AFE24">
        <v>0</v>
      </c>
      <c r="AFF24">
        <v>2</v>
      </c>
      <c r="AFG24">
        <v>1</v>
      </c>
      <c r="AFH24">
        <v>3</v>
      </c>
      <c r="AFI24">
        <v>3</v>
      </c>
      <c r="AFJ24">
        <v>2</v>
      </c>
      <c r="AFK24">
        <v>7</v>
      </c>
      <c r="AFL24">
        <v>2</v>
      </c>
      <c r="AFM24">
        <v>4</v>
      </c>
      <c r="AFN24">
        <v>9</v>
      </c>
      <c r="AFO24">
        <v>5</v>
      </c>
      <c r="AFP24">
        <v>3</v>
      </c>
      <c r="AFQ24">
        <v>24</v>
      </c>
      <c r="AFR24">
        <v>2</v>
      </c>
      <c r="AFS24" s="1">
        <v>45531.75</v>
      </c>
      <c r="AFT24">
        <v>2</v>
      </c>
      <c r="AFU24">
        <v>2</v>
      </c>
      <c r="AFV24">
        <v>2</v>
      </c>
      <c r="AFW24">
        <v>3</v>
      </c>
      <c r="AFX24">
        <v>2</v>
      </c>
      <c r="AFY24">
        <v>2</v>
      </c>
      <c r="AFZ24">
        <v>4</v>
      </c>
      <c r="AGA24">
        <v>2</v>
      </c>
      <c r="AGB24">
        <v>3</v>
      </c>
      <c r="AGC24">
        <v>2</v>
      </c>
      <c r="AGD24">
        <v>2</v>
      </c>
      <c r="AGE24">
        <v>2</v>
      </c>
      <c r="AGF24">
        <v>2</v>
      </c>
      <c r="AGG24">
        <v>4</v>
      </c>
      <c r="AGH24">
        <v>1</v>
      </c>
      <c r="AGI24">
        <v>2</v>
      </c>
      <c r="AGJ24">
        <v>4</v>
      </c>
      <c r="AGK24">
        <v>2</v>
      </c>
      <c r="AGL24">
        <v>2</v>
      </c>
      <c r="AGM24">
        <v>2</v>
      </c>
      <c r="AGN24">
        <v>59</v>
      </c>
      <c r="AGO24">
        <v>2</v>
      </c>
      <c r="AGP24" s="1">
        <v>45531.75</v>
      </c>
      <c r="AGQ24">
        <v>1</v>
      </c>
      <c r="AGR24" t="s">
        <v>384</v>
      </c>
      <c r="AGT24">
        <v>1</v>
      </c>
      <c r="AGU24">
        <v>1</v>
      </c>
      <c r="AGV24">
        <v>0</v>
      </c>
      <c r="AGW24">
        <v>1</v>
      </c>
      <c r="AGX24">
        <v>0</v>
      </c>
      <c r="AGY24">
        <v>0</v>
      </c>
      <c r="AGZ24">
        <v>0</v>
      </c>
      <c r="AHB24">
        <v>2</v>
      </c>
      <c r="AHC24" s="1">
        <v>45531.751388888886</v>
      </c>
      <c r="AHD24" t="s">
        <v>210</v>
      </c>
      <c r="AHE24" t="s">
        <v>212</v>
      </c>
      <c r="AHN24">
        <v>8</v>
      </c>
      <c r="AHO24">
        <v>4</v>
      </c>
      <c r="AHP24">
        <v>7</v>
      </c>
      <c r="AHQ24" t="s">
        <v>381</v>
      </c>
      <c r="AHR24" t="s">
        <v>381</v>
      </c>
      <c r="AHS24" t="s">
        <v>210</v>
      </c>
      <c r="AHU24" t="s">
        <v>211</v>
      </c>
    </row>
    <row r="25" spans="1:905">
      <c r="A25">
        <v>157</v>
      </c>
      <c r="B25" t="s">
        <v>205</v>
      </c>
      <c r="C25" t="s">
        <v>385</v>
      </c>
      <c r="D25">
        <v>2</v>
      </c>
      <c r="E25">
        <v>2</v>
      </c>
      <c r="F25">
        <v>25</v>
      </c>
      <c r="G25">
        <v>65</v>
      </c>
      <c r="H25">
        <v>125</v>
      </c>
      <c r="I25">
        <v>0</v>
      </c>
      <c r="J25">
        <v>3</v>
      </c>
      <c r="L25" t="s">
        <v>386</v>
      </c>
      <c r="M25">
        <v>2</v>
      </c>
      <c r="N25" s="1">
        <v>45527.663194444445</v>
      </c>
      <c r="O25">
        <v>8</v>
      </c>
      <c r="P25">
        <v>0</v>
      </c>
      <c r="R25">
        <v>0</v>
      </c>
      <c r="S25">
        <v>0</v>
      </c>
      <c r="T25">
        <v>1</v>
      </c>
      <c r="U25">
        <v>0</v>
      </c>
      <c r="V25">
        <v>0</v>
      </c>
      <c r="W25">
        <v>0</v>
      </c>
      <c r="X25">
        <v>0</v>
      </c>
      <c r="Y25">
        <v>0</v>
      </c>
      <c r="Z25">
        <v>0</v>
      </c>
      <c r="AA25">
        <v>0</v>
      </c>
      <c r="AB25">
        <v>0</v>
      </c>
      <c r="AC25" t="s">
        <v>208</v>
      </c>
      <c r="AD25">
        <v>2</v>
      </c>
      <c r="AE25" s="1">
        <v>45527.663888888892</v>
      </c>
      <c r="AF25">
        <v>2</v>
      </c>
      <c r="AG25">
        <v>2</v>
      </c>
      <c r="AH25">
        <v>3</v>
      </c>
      <c r="AI25">
        <v>4</v>
      </c>
      <c r="AJ25">
        <v>2</v>
      </c>
      <c r="AK25">
        <v>1</v>
      </c>
      <c r="AL25">
        <v>4</v>
      </c>
      <c r="AM25">
        <v>1</v>
      </c>
      <c r="AN25">
        <v>1</v>
      </c>
      <c r="AO25">
        <v>2</v>
      </c>
      <c r="AP25">
        <v>4</v>
      </c>
      <c r="AQ25">
        <v>2</v>
      </c>
      <c r="AR25">
        <v>2</v>
      </c>
      <c r="AS25">
        <v>4</v>
      </c>
      <c r="AT25">
        <v>2</v>
      </c>
      <c r="AU25">
        <v>1</v>
      </c>
      <c r="AV25">
        <v>2</v>
      </c>
      <c r="AW25">
        <v>2</v>
      </c>
      <c r="AX25">
        <v>2</v>
      </c>
      <c r="AY25">
        <v>2</v>
      </c>
      <c r="AZ25">
        <v>48</v>
      </c>
      <c r="BA25">
        <v>2</v>
      </c>
      <c r="BB25" s="1">
        <v>45527.664583333331</v>
      </c>
      <c r="BC25">
        <v>12</v>
      </c>
      <c r="BD25">
        <v>2</v>
      </c>
      <c r="BE25">
        <v>1</v>
      </c>
      <c r="BI25" s="2">
        <v>45527</v>
      </c>
      <c r="BM25">
        <v>23</v>
      </c>
      <c r="BN25">
        <v>5</v>
      </c>
      <c r="BO25">
        <v>1</v>
      </c>
      <c r="BP25">
        <v>0</v>
      </c>
      <c r="BQ25">
        <v>0</v>
      </c>
      <c r="BR25">
        <v>1</v>
      </c>
      <c r="BS25">
        <v>0</v>
      </c>
      <c r="BT25">
        <v>0</v>
      </c>
      <c r="BU25">
        <v>0</v>
      </c>
      <c r="BV25">
        <v>0</v>
      </c>
      <c r="BW25">
        <v>0</v>
      </c>
      <c r="BX25" t="s">
        <v>387</v>
      </c>
      <c r="BY25">
        <v>2</v>
      </c>
      <c r="BZ25" s="1">
        <v>45527.665277777778</v>
      </c>
      <c r="CA25">
        <v>2</v>
      </c>
      <c r="CB25">
        <v>3</v>
      </c>
      <c r="CC25">
        <v>3</v>
      </c>
      <c r="CD25">
        <v>2</v>
      </c>
      <c r="CE25">
        <v>4</v>
      </c>
      <c r="CF25">
        <v>2</v>
      </c>
      <c r="CG25">
        <v>2</v>
      </c>
      <c r="CH25">
        <v>4</v>
      </c>
      <c r="CI25">
        <v>3</v>
      </c>
      <c r="CJ25">
        <v>3</v>
      </c>
      <c r="CK25">
        <v>4</v>
      </c>
      <c r="CL25">
        <v>3</v>
      </c>
      <c r="CM25">
        <v>4</v>
      </c>
      <c r="CN25">
        <v>3</v>
      </c>
      <c r="CO25">
        <v>3</v>
      </c>
      <c r="CP25">
        <v>4</v>
      </c>
      <c r="CQ25">
        <v>2</v>
      </c>
      <c r="CR25">
        <v>4</v>
      </c>
      <c r="CS25">
        <v>1</v>
      </c>
      <c r="CT25">
        <v>2</v>
      </c>
      <c r="CU25">
        <v>10</v>
      </c>
      <c r="CV25">
        <v>15</v>
      </c>
      <c r="CW25">
        <v>12</v>
      </c>
      <c r="CX25">
        <v>37</v>
      </c>
      <c r="CY25">
        <v>15</v>
      </c>
      <c r="CZ25">
        <v>2</v>
      </c>
      <c r="DA25" s="1">
        <v>45527.665972222225</v>
      </c>
      <c r="DB25">
        <v>1</v>
      </c>
      <c r="DC25">
        <v>1</v>
      </c>
      <c r="DD25">
        <v>1</v>
      </c>
      <c r="DE25">
        <v>0</v>
      </c>
      <c r="DF25">
        <v>0</v>
      </c>
      <c r="DG25">
        <v>0</v>
      </c>
      <c r="DH25">
        <v>0</v>
      </c>
      <c r="DI25">
        <v>1</v>
      </c>
      <c r="DJ25">
        <v>0</v>
      </c>
      <c r="DK25">
        <v>0</v>
      </c>
      <c r="DL25">
        <v>1</v>
      </c>
      <c r="DM25">
        <v>0</v>
      </c>
      <c r="DN25">
        <v>1</v>
      </c>
      <c r="DO25">
        <v>0</v>
      </c>
      <c r="DP25">
        <v>0</v>
      </c>
      <c r="DQ25">
        <v>0</v>
      </c>
      <c r="DR25">
        <v>0</v>
      </c>
      <c r="DS25">
        <v>1</v>
      </c>
      <c r="DT25">
        <v>0</v>
      </c>
      <c r="DU25">
        <v>0</v>
      </c>
      <c r="DV25">
        <v>0</v>
      </c>
      <c r="DW25">
        <v>0</v>
      </c>
      <c r="DX25">
        <v>0</v>
      </c>
      <c r="DY25">
        <v>0</v>
      </c>
      <c r="DZ25">
        <v>1</v>
      </c>
      <c r="EA25">
        <v>0</v>
      </c>
      <c r="EB25">
        <v>1</v>
      </c>
      <c r="EC25">
        <v>1</v>
      </c>
      <c r="ED25">
        <v>0</v>
      </c>
      <c r="EE25">
        <v>0</v>
      </c>
      <c r="EF25">
        <v>1</v>
      </c>
      <c r="EG25">
        <v>1</v>
      </c>
      <c r="EH25">
        <v>1</v>
      </c>
      <c r="EI25">
        <v>0</v>
      </c>
      <c r="EJ25">
        <v>0</v>
      </c>
      <c r="EK25">
        <v>1</v>
      </c>
      <c r="EL25">
        <v>0</v>
      </c>
      <c r="EM25">
        <v>1</v>
      </c>
      <c r="EN25">
        <v>0</v>
      </c>
      <c r="EO25">
        <v>0</v>
      </c>
      <c r="EP25">
        <v>1</v>
      </c>
      <c r="EQ25">
        <v>0</v>
      </c>
      <c r="ER25">
        <v>1</v>
      </c>
      <c r="ES25">
        <v>0</v>
      </c>
      <c r="ET25">
        <v>0</v>
      </c>
      <c r="EU25">
        <v>0</v>
      </c>
      <c r="EV25">
        <v>0</v>
      </c>
      <c r="EW25">
        <v>0</v>
      </c>
      <c r="EX25">
        <v>0</v>
      </c>
      <c r="EY25">
        <v>1</v>
      </c>
      <c r="EZ25">
        <v>0</v>
      </c>
      <c r="FA25">
        <v>0</v>
      </c>
      <c r="FB25">
        <v>0</v>
      </c>
      <c r="FC25">
        <v>0</v>
      </c>
      <c r="FD25">
        <v>1</v>
      </c>
      <c r="FE25">
        <v>0</v>
      </c>
      <c r="FF25">
        <v>0</v>
      </c>
      <c r="FG25">
        <v>1</v>
      </c>
      <c r="FH25">
        <v>0</v>
      </c>
      <c r="FI25">
        <v>0</v>
      </c>
      <c r="FJ25">
        <v>0</v>
      </c>
      <c r="FK25">
        <v>0</v>
      </c>
      <c r="FL25">
        <v>1</v>
      </c>
      <c r="FM25">
        <v>0</v>
      </c>
      <c r="FN25">
        <v>0</v>
      </c>
      <c r="FO25">
        <v>0</v>
      </c>
      <c r="FP25">
        <v>0</v>
      </c>
      <c r="FQ25">
        <v>1</v>
      </c>
      <c r="FR25">
        <v>0</v>
      </c>
      <c r="FS25">
        <v>0</v>
      </c>
      <c r="FT25">
        <v>1</v>
      </c>
      <c r="FU25">
        <v>0</v>
      </c>
      <c r="FV25">
        <v>1</v>
      </c>
      <c r="FW25">
        <v>0</v>
      </c>
      <c r="FX25">
        <v>0</v>
      </c>
      <c r="FY25">
        <v>0</v>
      </c>
      <c r="FZ25">
        <v>0</v>
      </c>
      <c r="GA25">
        <v>0</v>
      </c>
      <c r="GB25">
        <v>0</v>
      </c>
      <c r="GC25">
        <v>1</v>
      </c>
      <c r="GD25">
        <v>1</v>
      </c>
      <c r="GE25">
        <v>1</v>
      </c>
      <c r="GF25">
        <v>1</v>
      </c>
      <c r="GG25">
        <v>0</v>
      </c>
      <c r="GH25">
        <v>0</v>
      </c>
      <c r="GI25">
        <v>2</v>
      </c>
      <c r="GJ25" s="1">
        <v>45527.666666666664</v>
      </c>
      <c r="GK25">
        <v>1</v>
      </c>
      <c r="GL25">
        <v>3</v>
      </c>
      <c r="GM25">
        <v>2</v>
      </c>
      <c r="GN25">
        <v>2</v>
      </c>
      <c r="GO25">
        <v>3</v>
      </c>
      <c r="GP25">
        <v>3</v>
      </c>
      <c r="GQ25">
        <v>1</v>
      </c>
      <c r="GR25">
        <v>1</v>
      </c>
      <c r="GS25">
        <v>2</v>
      </c>
      <c r="GT25">
        <v>3</v>
      </c>
      <c r="GU25">
        <v>1</v>
      </c>
      <c r="GV25">
        <v>2</v>
      </c>
      <c r="GW25">
        <v>4</v>
      </c>
      <c r="GX25">
        <v>1</v>
      </c>
      <c r="GY25">
        <v>1</v>
      </c>
      <c r="GZ25">
        <v>1</v>
      </c>
      <c r="HA25">
        <v>2</v>
      </c>
      <c r="HB25">
        <v>2</v>
      </c>
      <c r="HC25">
        <v>13</v>
      </c>
      <c r="HD25">
        <v>11</v>
      </c>
      <c r="HE25">
        <v>32</v>
      </c>
      <c r="HF25">
        <v>2</v>
      </c>
      <c r="HG25" s="1">
        <v>45527.666666666664</v>
      </c>
      <c r="HH25">
        <v>6</v>
      </c>
      <c r="HI25">
        <v>8</v>
      </c>
      <c r="HJ25">
        <v>1</v>
      </c>
      <c r="HK25">
        <v>2</v>
      </c>
      <c r="HL25" s="1">
        <v>45532.675000000003</v>
      </c>
      <c r="HM25">
        <v>3</v>
      </c>
      <c r="HN25">
        <v>1</v>
      </c>
      <c r="HO25">
        <v>1</v>
      </c>
      <c r="HP25">
        <v>3</v>
      </c>
      <c r="HQ25">
        <v>2</v>
      </c>
      <c r="HR25">
        <v>1</v>
      </c>
      <c r="HS25">
        <v>3</v>
      </c>
      <c r="HT25">
        <v>2</v>
      </c>
      <c r="HU25">
        <v>1</v>
      </c>
      <c r="HV25">
        <v>1</v>
      </c>
      <c r="HW25">
        <v>2</v>
      </c>
      <c r="HX25">
        <v>3</v>
      </c>
      <c r="HY25">
        <v>0</v>
      </c>
      <c r="HZ25">
        <v>1</v>
      </c>
      <c r="IA25">
        <v>2</v>
      </c>
      <c r="IB25">
        <v>2</v>
      </c>
      <c r="IC25">
        <v>0</v>
      </c>
      <c r="ID25">
        <v>1</v>
      </c>
      <c r="IE25">
        <v>3</v>
      </c>
      <c r="IF25">
        <v>1</v>
      </c>
      <c r="IG25">
        <v>0</v>
      </c>
      <c r="IH25">
        <v>31</v>
      </c>
      <c r="II25">
        <v>2</v>
      </c>
      <c r="IJ25" s="1">
        <v>45532.676388888889</v>
      </c>
      <c r="IK25">
        <v>1</v>
      </c>
      <c r="IL25">
        <v>0</v>
      </c>
      <c r="IM25">
        <v>1</v>
      </c>
      <c r="IN25">
        <v>0</v>
      </c>
      <c r="IO25">
        <v>1</v>
      </c>
      <c r="IP25">
        <v>1</v>
      </c>
      <c r="IQ25">
        <v>1</v>
      </c>
      <c r="IR25">
        <v>0</v>
      </c>
      <c r="IS25">
        <v>1</v>
      </c>
      <c r="IT25">
        <v>0</v>
      </c>
      <c r="IU25">
        <v>1</v>
      </c>
      <c r="IV25">
        <v>1</v>
      </c>
      <c r="IW25">
        <v>1</v>
      </c>
      <c r="IX25">
        <v>1</v>
      </c>
      <c r="IY25">
        <v>0</v>
      </c>
      <c r="IZ25">
        <v>0</v>
      </c>
      <c r="JA25">
        <v>1</v>
      </c>
      <c r="JB25">
        <v>1</v>
      </c>
      <c r="JC25">
        <v>1</v>
      </c>
      <c r="JD25">
        <v>0</v>
      </c>
      <c r="JE25">
        <v>7</v>
      </c>
      <c r="JF25">
        <v>2</v>
      </c>
      <c r="JG25">
        <v>2</v>
      </c>
      <c r="JH25">
        <v>3</v>
      </c>
      <c r="JI25">
        <v>1</v>
      </c>
      <c r="JJ25">
        <v>1</v>
      </c>
      <c r="JK25">
        <v>1</v>
      </c>
      <c r="JL25" t="s">
        <v>208</v>
      </c>
      <c r="JM25" t="s">
        <v>388</v>
      </c>
      <c r="JN25">
        <v>13</v>
      </c>
      <c r="JO25">
        <v>10</v>
      </c>
      <c r="JP25">
        <v>3</v>
      </c>
      <c r="JQ25">
        <v>2</v>
      </c>
      <c r="JR25" s="1">
        <v>45532.676388888889</v>
      </c>
      <c r="JS25">
        <v>0</v>
      </c>
      <c r="JT25">
        <v>0</v>
      </c>
      <c r="JU25">
        <v>0</v>
      </c>
      <c r="JV25">
        <v>0</v>
      </c>
      <c r="JW25">
        <v>2</v>
      </c>
      <c r="JX25" s="1">
        <v>45532.676388888889</v>
      </c>
      <c r="JY25">
        <v>65.900000000000006</v>
      </c>
      <c r="JZ25">
        <v>2.2999999999999998</v>
      </c>
      <c r="KI25">
        <v>4</v>
      </c>
      <c r="KJ25">
        <v>62.3</v>
      </c>
      <c r="KK25">
        <v>4.2</v>
      </c>
      <c r="KL25">
        <v>1</v>
      </c>
      <c r="UA25">
        <v>4</v>
      </c>
      <c r="UB25">
        <v>65.900000000000006</v>
      </c>
      <c r="UC25">
        <v>2.2999999999999998</v>
      </c>
      <c r="UD25">
        <v>4</v>
      </c>
      <c r="WQ25">
        <v>5</v>
      </c>
      <c r="WR25">
        <v>66.3</v>
      </c>
      <c r="WS25">
        <v>2.6</v>
      </c>
      <c r="WT25">
        <v>3</v>
      </c>
      <c r="XG25">
        <v>4</v>
      </c>
      <c r="XH25">
        <v>63.9</v>
      </c>
      <c r="XI25">
        <v>3</v>
      </c>
      <c r="XJ25">
        <v>2</v>
      </c>
      <c r="YQ25">
        <v>2</v>
      </c>
      <c r="YR25" s="1">
        <v>45532.677083333336</v>
      </c>
      <c r="YS25">
        <v>2</v>
      </c>
      <c r="YT25">
        <v>3</v>
      </c>
      <c r="YU25">
        <v>1</v>
      </c>
      <c r="YV25">
        <v>3</v>
      </c>
      <c r="YW25">
        <v>3</v>
      </c>
      <c r="YX25">
        <v>2</v>
      </c>
      <c r="YY25">
        <v>2</v>
      </c>
      <c r="YZ25">
        <v>1</v>
      </c>
      <c r="ZA25">
        <v>2</v>
      </c>
      <c r="ZB25">
        <v>1</v>
      </c>
      <c r="ZC25">
        <v>2</v>
      </c>
      <c r="ZD25">
        <v>1</v>
      </c>
      <c r="ZE25">
        <v>1</v>
      </c>
      <c r="ZF25">
        <v>1</v>
      </c>
      <c r="ZG25">
        <v>2</v>
      </c>
      <c r="ZH25">
        <v>1</v>
      </c>
      <c r="ZI25">
        <v>1</v>
      </c>
      <c r="ZJ25">
        <v>3</v>
      </c>
      <c r="ZK25">
        <v>1</v>
      </c>
      <c r="ZL25">
        <v>1</v>
      </c>
      <c r="ZM25">
        <v>14</v>
      </c>
      <c r="ZN25">
        <v>20</v>
      </c>
      <c r="ZO25">
        <v>2</v>
      </c>
      <c r="ZP25" s="1">
        <v>45532.677777777775</v>
      </c>
      <c r="ZQ25">
        <v>1</v>
      </c>
      <c r="ZR25">
        <v>4</v>
      </c>
      <c r="ZS25">
        <v>0</v>
      </c>
      <c r="ZT25">
        <v>0</v>
      </c>
      <c r="ZU25">
        <v>2</v>
      </c>
      <c r="ZV25">
        <v>1</v>
      </c>
      <c r="ZW25">
        <v>0</v>
      </c>
      <c r="ZX25">
        <v>3</v>
      </c>
      <c r="ZY25">
        <v>0</v>
      </c>
      <c r="ZZ25">
        <v>1</v>
      </c>
      <c r="AAA25">
        <v>2</v>
      </c>
      <c r="AAB25">
        <v>0</v>
      </c>
      <c r="AAC25">
        <v>2</v>
      </c>
      <c r="AAD25">
        <v>1</v>
      </c>
      <c r="AAE25">
        <v>2</v>
      </c>
      <c r="AAF25">
        <v>2</v>
      </c>
      <c r="AAG25">
        <v>2</v>
      </c>
      <c r="AAH25">
        <v>0</v>
      </c>
      <c r="AAI25">
        <v>6</v>
      </c>
      <c r="AAJ25">
        <v>14</v>
      </c>
      <c r="AAK25">
        <v>3</v>
      </c>
      <c r="AAL25">
        <v>23</v>
      </c>
      <c r="AAM25">
        <v>2</v>
      </c>
      <c r="AAN25" s="1">
        <v>45532.678472222222</v>
      </c>
      <c r="AAO25">
        <v>1</v>
      </c>
      <c r="AAP25">
        <v>7</v>
      </c>
      <c r="AAQ25">
        <v>1</v>
      </c>
      <c r="AAR25">
        <v>3</v>
      </c>
      <c r="AAS25">
        <v>4</v>
      </c>
      <c r="AAT25">
        <v>12</v>
      </c>
      <c r="AAU25">
        <v>2</v>
      </c>
      <c r="AAV25">
        <v>3</v>
      </c>
      <c r="AAW25">
        <v>4</v>
      </c>
      <c r="AAX25">
        <v>2</v>
      </c>
      <c r="AAY25">
        <v>1</v>
      </c>
      <c r="AAZ25">
        <v>0</v>
      </c>
      <c r="ABA25">
        <v>4</v>
      </c>
      <c r="ABB25">
        <v>3</v>
      </c>
      <c r="ABC25">
        <v>0</v>
      </c>
      <c r="ABD25">
        <v>3.75</v>
      </c>
      <c r="ABE25">
        <v>4</v>
      </c>
      <c r="ABF25">
        <v>2</v>
      </c>
      <c r="ABG25" s="1">
        <v>45532.679861111108</v>
      </c>
      <c r="ABH25">
        <v>0</v>
      </c>
      <c r="ABI25">
        <v>0</v>
      </c>
      <c r="ABJ25">
        <v>1</v>
      </c>
      <c r="ABK25">
        <v>0</v>
      </c>
      <c r="ABL25">
        <v>0</v>
      </c>
      <c r="ABM25">
        <v>0</v>
      </c>
      <c r="ABN25">
        <v>0</v>
      </c>
      <c r="ABO25">
        <v>0</v>
      </c>
      <c r="ABP25">
        <v>0</v>
      </c>
      <c r="ABQ25">
        <v>0</v>
      </c>
      <c r="ABR25">
        <v>0</v>
      </c>
      <c r="ABS25">
        <v>0</v>
      </c>
      <c r="ABT25">
        <v>1</v>
      </c>
      <c r="ABU25">
        <v>0</v>
      </c>
      <c r="ABV25">
        <v>0</v>
      </c>
      <c r="ABW25">
        <v>0</v>
      </c>
      <c r="ABX25">
        <v>0</v>
      </c>
      <c r="ABY25">
        <v>0</v>
      </c>
      <c r="ABZ25">
        <v>1</v>
      </c>
      <c r="ACA25">
        <v>1</v>
      </c>
      <c r="ACB25">
        <v>1</v>
      </c>
      <c r="ACC25">
        <v>0</v>
      </c>
      <c r="ACD25">
        <v>0</v>
      </c>
      <c r="ACE25">
        <v>1</v>
      </c>
      <c r="ACF25">
        <v>1</v>
      </c>
      <c r="ACG25">
        <v>1</v>
      </c>
      <c r="ACH25">
        <v>0</v>
      </c>
      <c r="ACI25">
        <v>0</v>
      </c>
      <c r="ACJ25">
        <v>1</v>
      </c>
      <c r="ACK25">
        <v>1</v>
      </c>
      <c r="ACL25">
        <v>0</v>
      </c>
      <c r="ACM25">
        <v>0</v>
      </c>
      <c r="ACN25">
        <v>1</v>
      </c>
      <c r="ACO25">
        <v>1</v>
      </c>
      <c r="ACP25">
        <v>1</v>
      </c>
      <c r="ACQ25">
        <v>0</v>
      </c>
      <c r="ACR25">
        <v>0</v>
      </c>
      <c r="ACS25">
        <v>0</v>
      </c>
      <c r="ACT25">
        <v>0</v>
      </c>
      <c r="ACU25">
        <v>0</v>
      </c>
      <c r="ACV25">
        <v>1</v>
      </c>
      <c r="ACW25">
        <v>1</v>
      </c>
      <c r="ACX25">
        <v>0</v>
      </c>
      <c r="ACY25">
        <v>1</v>
      </c>
      <c r="ACZ25">
        <v>0</v>
      </c>
      <c r="ADA25">
        <v>0</v>
      </c>
      <c r="ADB25">
        <v>0</v>
      </c>
      <c r="ADC25">
        <v>0</v>
      </c>
      <c r="ADD25">
        <v>0</v>
      </c>
      <c r="ADE25">
        <v>0</v>
      </c>
      <c r="ADF25">
        <v>0</v>
      </c>
      <c r="ADG25">
        <v>0</v>
      </c>
      <c r="ADH25">
        <v>0</v>
      </c>
      <c r="ADI25">
        <v>1</v>
      </c>
      <c r="ADJ25">
        <v>1</v>
      </c>
      <c r="ADK25">
        <v>0</v>
      </c>
      <c r="ADL25">
        <v>0</v>
      </c>
      <c r="ADM25">
        <v>1</v>
      </c>
      <c r="ADN25">
        <v>0</v>
      </c>
      <c r="ADO25">
        <v>0</v>
      </c>
      <c r="ADP25">
        <v>0</v>
      </c>
      <c r="ADQ25">
        <v>0</v>
      </c>
      <c r="ADR25">
        <v>0</v>
      </c>
      <c r="ADS25">
        <v>0</v>
      </c>
      <c r="ADT25">
        <v>0</v>
      </c>
      <c r="ADU25">
        <v>0</v>
      </c>
      <c r="ADV25">
        <v>0</v>
      </c>
      <c r="ADW25">
        <v>1</v>
      </c>
      <c r="ADX25">
        <v>0</v>
      </c>
      <c r="ADY25">
        <v>0</v>
      </c>
      <c r="ADZ25">
        <v>0</v>
      </c>
      <c r="AEA25">
        <v>0</v>
      </c>
      <c r="AEB25">
        <v>0</v>
      </c>
      <c r="AEC25">
        <v>0</v>
      </c>
      <c r="AEE25">
        <v>2</v>
      </c>
      <c r="AEF25" s="1">
        <v>45532.680555555555</v>
      </c>
      <c r="AEG25">
        <v>1</v>
      </c>
      <c r="AEH25">
        <v>0</v>
      </c>
      <c r="AEI25">
        <v>2</v>
      </c>
      <c r="AEJ25">
        <v>1</v>
      </c>
      <c r="AEK25">
        <v>0</v>
      </c>
      <c r="AEL25">
        <v>0</v>
      </c>
      <c r="AEM25">
        <v>2</v>
      </c>
      <c r="AEN25">
        <v>1</v>
      </c>
      <c r="AEO25">
        <v>0</v>
      </c>
      <c r="AEP25">
        <v>1</v>
      </c>
      <c r="AEQ25">
        <v>0</v>
      </c>
      <c r="AER25">
        <v>1</v>
      </c>
      <c r="AES25">
        <v>3</v>
      </c>
      <c r="AET25">
        <v>2</v>
      </c>
      <c r="AEU25">
        <v>1</v>
      </c>
      <c r="AEV25">
        <v>0</v>
      </c>
      <c r="AEW25">
        <v>1</v>
      </c>
      <c r="AEX25">
        <v>1</v>
      </c>
      <c r="AEY25">
        <v>3</v>
      </c>
      <c r="AEZ25">
        <v>1</v>
      </c>
      <c r="AFA25">
        <v>1</v>
      </c>
      <c r="AFB25">
        <v>2</v>
      </c>
      <c r="AFC25">
        <v>2</v>
      </c>
      <c r="AFD25">
        <v>0</v>
      </c>
      <c r="AFE25">
        <v>0</v>
      </c>
      <c r="AFF25">
        <v>1</v>
      </c>
      <c r="AFG25">
        <v>0</v>
      </c>
      <c r="AFH25">
        <v>1</v>
      </c>
      <c r="AFI25">
        <v>2</v>
      </c>
      <c r="AFJ25">
        <v>1</v>
      </c>
      <c r="AFK25">
        <v>3</v>
      </c>
      <c r="AFL25">
        <v>5</v>
      </c>
      <c r="AFM25">
        <v>3</v>
      </c>
      <c r="AFN25">
        <v>12</v>
      </c>
      <c r="AFO25">
        <v>4</v>
      </c>
      <c r="AFP25">
        <v>4</v>
      </c>
      <c r="AFQ25">
        <v>23</v>
      </c>
      <c r="AFR25">
        <v>2</v>
      </c>
      <c r="AFS25" s="1">
        <v>45532.681250000001</v>
      </c>
      <c r="AFT25">
        <v>3</v>
      </c>
      <c r="AFU25">
        <v>3</v>
      </c>
      <c r="AFV25">
        <v>2</v>
      </c>
      <c r="AFW25">
        <v>2</v>
      </c>
      <c r="AFX25">
        <v>3</v>
      </c>
      <c r="AFY25">
        <v>2</v>
      </c>
      <c r="AFZ25">
        <v>2</v>
      </c>
      <c r="AGA25">
        <v>2</v>
      </c>
      <c r="AGB25">
        <v>1</v>
      </c>
      <c r="AGC25">
        <v>2</v>
      </c>
      <c r="AGD25">
        <v>3</v>
      </c>
      <c r="AGE25">
        <v>2</v>
      </c>
      <c r="AGF25">
        <v>1</v>
      </c>
      <c r="AGG25">
        <v>1</v>
      </c>
      <c r="AGH25">
        <v>3</v>
      </c>
      <c r="AGI25">
        <v>2</v>
      </c>
      <c r="AGJ25">
        <v>2</v>
      </c>
      <c r="AGK25">
        <v>1</v>
      </c>
      <c r="AGL25">
        <v>4</v>
      </c>
      <c r="AGM25">
        <v>2</v>
      </c>
      <c r="AGN25">
        <v>39</v>
      </c>
      <c r="AGO25">
        <v>2</v>
      </c>
      <c r="AGP25" s="1">
        <v>45532.681250000001</v>
      </c>
      <c r="AGQ25">
        <v>0</v>
      </c>
      <c r="AGV25">
        <v>0</v>
      </c>
      <c r="AGW25">
        <v>0</v>
      </c>
      <c r="AGX25">
        <v>0</v>
      </c>
      <c r="AGY25">
        <v>0</v>
      </c>
      <c r="AGZ25">
        <v>0</v>
      </c>
      <c r="AHB25">
        <v>2</v>
      </c>
      <c r="AHC25" s="1">
        <v>45532.681944444441</v>
      </c>
      <c r="AHD25" t="s">
        <v>210</v>
      </c>
      <c r="AHE25" t="s">
        <v>212</v>
      </c>
      <c r="AHN25">
        <v>6</v>
      </c>
      <c r="AHO25">
        <v>1</v>
      </c>
      <c r="AHP25">
        <v>3</v>
      </c>
      <c r="AHQ25" t="s">
        <v>389</v>
      </c>
      <c r="AHR25" t="s">
        <v>390</v>
      </c>
      <c r="AHS25" t="s">
        <v>210</v>
      </c>
      <c r="AHU25" t="s">
        <v>211</v>
      </c>
    </row>
    <row r="26" spans="1:905">
      <c r="A26">
        <v>158</v>
      </c>
      <c r="B26" t="s">
        <v>205</v>
      </c>
      <c r="C26" t="s">
        <v>391</v>
      </c>
      <c r="D26">
        <v>2</v>
      </c>
      <c r="E26">
        <v>2</v>
      </c>
      <c r="F26">
        <v>34</v>
      </c>
      <c r="G26">
        <v>67</v>
      </c>
      <c r="H26">
        <v>118</v>
      </c>
      <c r="I26">
        <v>0</v>
      </c>
      <c r="J26">
        <v>3</v>
      </c>
      <c r="L26" t="s">
        <v>392</v>
      </c>
      <c r="M26">
        <v>2</v>
      </c>
      <c r="N26" s="1">
        <v>45542.601388888892</v>
      </c>
      <c r="O26">
        <v>8</v>
      </c>
      <c r="P26">
        <v>0</v>
      </c>
      <c r="R26">
        <v>0</v>
      </c>
      <c r="S26">
        <v>1</v>
      </c>
      <c r="T26">
        <v>0</v>
      </c>
      <c r="U26">
        <v>0</v>
      </c>
      <c r="V26">
        <v>0</v>
      </c>
      <c r="W26">
        <v>0</v>
      </c>
      <c r="X26">
        <v>0</v>
      </c>
      <c r="Y26">
        <v>0</v>
      </c>
      <c r="Z26">
        <v>0</v>
      </c>
      <c r="AA26">
        <v>0</v>
      </c>
      <c r="AB26">
        <v>0</v>
      </c>
      <c r="AC26" t="s">
        <v>208</v>
      </c>
      <c r="AD26">
        <v>2</v>
      </c>
      <c r="AE26" s="1">
        <v>45542.602777777778</v>
      </c>
      <c r="AF26">
        <v>2</v>
      </c>
      <c r="AG26">
        <v>3</v>
      </c>
      <c r="AH26">
        <v>2</v>
      </c>
      <c r="AI26">
        <v>3</v>
      </c>
      <c r="AJ26">
        <v>1</v>
      </c>
      <c r="AK26">
        <v>1</v>
      </c>
      <c r="AL26">
        <v>4</v>
      </c>
      <c r="AM26">
        <v>3</v>
      </c>
      <c r="AN26">
        <v>2</v>
      </c>
      <c r="AO26">
        <v>2</v>
      </c>
      <c r="AP26">
        <v>2</v>
      </c>
      <c r="AQ26">
        <v>3</v>
      </c>
      <c r="AR26">
        <v>3</v>
      </c>
      <c r="AS26">
        <v>2</v>
      </c>
      <c r="AT26">
        <v>2</v>
      </c>
      <c r="AU26">
        <v>2</v>
      </c>
      <c r="AV26">
        <v>2</v>
      </c>
      <c r="AW26">
        <v>2</v>
      </c>
      <c r="AX26">
        <v>3</v>
      </c>
      <c r="AY26">
        <v>3</v>
      </c>
      <c r="AZ26">
        <v>50</v>
      </c>
      <c r="BA26">
        <v>2</v>
      </c>
      <c r="BB26" s="1">
        <v>45542.604166666664</v>
      </c>
      <c r="BC26">
        <v>12</v>
      </c>
      <c r="BD26">
        <v>2</v>
      </c>
      <c r="BE26">
        <v>1</v>
      </c>
      <c r="BI26" s="2">
        <v>45542</v>
      </c>
      <c r="BM26" t="s">
        <v>393</v>
      </c>
      <c r="BN26">
        <v>7</v>
      </c>
      <c r="BO26">
        <v>2</v>
      </c>
      <c r="BP26">
        <v>0</v>
      </c>
      <c r="BQ26">
        <v>0</v>
      </c>
      <c r="BR26">
        <v>1</v>
      </c>
      <c r="BS26">
        <v>0</v>
      </c>
      <c r="BT26">
        <v>0</v>
      </c>
      <c r="BU26">
        <v>0</v>
      </c>
      <c r="BV26">
        <v>0</v>
      </c>
      <c r="BW26">
        <v>0</v>
      </c>
      <c r="BX26" t="s">
        <v>394</v>
      </c>
      <c r="BY26">
        <v>2</v>
      </c>
      <c r="BZ26" s="1">
        <v>45542.605555555558</v>
      </c>
      <c r="CA26">
        <v>3</v>
      </c>
      <c r="CB26">
        <v>3</v>
      </c>
      <c r="CC26">
        <v>2</v>
      </c>
      <c r="CD26">
        <v>4</v>
      </c>
      <c r="CE26">
        <v>3</v>
      </c>
      <c r="CF26">
        <v>2</v>
      </c>
      <c r="CG26">
        <v>3</v>
      </c>
      <c r="CH26">
        <v>3</v>
      </c>
      <c r="CI26">
        <v>1</v>
      </c>
      <c r="CJ26">
        <v>4</v>
      </c>
      <c r="CK26">
        <v>1</v>
      </c>
      <c r="CL26">
        <v>3</v>
      </c>
      <c r="CM26">
        <v>2</v>
      </c>
      <c r="CN26">
        <v>3</v>
      </c>
      <c r="CO26">
        <v>4</v>
      </c>
      <c r="CP26">
        <v>3</v>
      </c>
      <c r="CQ26">
        <v>1</v>
      </c>
      <c r="CR26">
        <v>1</v>
      </c>
      <c r="CS26">
        <v>3</v>
      </c>
      <c r="CT26">
        <v>3</v>
      </c>
      <c r="CU26">
        <v>8</v>
      </c>
      <c r="CV26">
        <v>8</v>
      </c>
      <c r="CW26">
        <v>15</v>
      </c>
      <c r="CX26">
        <v>31</v>
      </c>
      <c r="CY26">
        <v>25</v>
      </c>
      <c r="CZ26">
        <v>2</v>
      </c>
      <c r="DA26" s="1">
        <v>45542.60833333333</v>
      </c>
      <c r="DB26">
        <v>1</v>
      </c>
      <c r="DC26">
        <v>0</v>
      </c>
      <c r="DD26">
        <v>0</v>
      </c>
      <c r="DE26">
        <v>0</v>
      </c>
      <c r="DF26">
        <v>0</v>
      </c>
      <c r="DG26">
        <v>1</v>
      </c>
      <c r="DH26">
        <v>0</v>
      </c>
      <c r="DI26">
        <v>0</v>
      </c>
      <c r="DJ26">
        <v>0</v>
      </c>
      <c r="DK26">
        <v>0</v>
      </c>
      <c r="DL26">
        <v>1</v>
      </c>
      <c r="DM26">
        <v>0</v>
      </c>
      <c r="DN26">
        <v>0</v>
      </c>
      <c r="DO26">
        <v>0</v>
      </c>
      <c r="DP26">
        <v>0</v>
      </c>
      <c r="DQ26">
        <v>0</v>
      </c>
      <c r="DR26">
        <v>1</v>
      </c>
      <c r="DS26">
        <v>0</v>
      </c>
      <c r="DT26">
        <v>0</v>
      </c>
      <c r="DU26">
        <v>0</v>
      </c>
      <c r="DV26">
        <v>0</v>
      </c>
      <c r="DW26">
        <v>0</v>
      </c>
      <c r="DX26">
        <v>0</v>
      </c>
      <c r="DY26">
        <v>1</v>
      </c>
      <c r="DZ26">
        <v>0</v>
      </c>
      <c r="EA26">
        <v>1</v>
      </c>
      <c r="EB26">
        <v>1</v>
      </c>
      <c r="EC26">
        <v>0</v>
      </c>
      <c r="ED26">
        <v>0</v>
      </c>
      <c r="EE26">
        <v>0</v>
      </c>
      <c r="EF26">
        <v>0</v>
      </c>
      <c r="EG26">
        <v>0</v>
      </c>
      <c r="EH26">
        <v>1</v>
      </c>
      <c r="EI26">
        <v>0</v>
      </c>
      <c r="EJ26">
        <v>0</v>
      </c>
      <c r="EK26">
        <v>1</v>
      </c>
      <c r="EL26">
        <v>0</v>
      </c>
      <c r="EM26">
        <v>0</v>
      </c>
      <c r="EN26">
        <v>0</v>
      </c>
      <c r="EO26">
        <v>0</v>
      </c>
      <c r="EP26">
        <v>1</v>
      </c>
      <c r="EQ26">
        <v>0</v>
      </c>
      <c r="ER26">
        <v>0</v>
      </c>
      <c r="ES26">
        <v>0</v>
      </c>
      <c r="ET26">
        <v>0</v>
      </c>
      <c r="EU26">
        <v>0</v>
      </c>
      <c r="EV26">
        <v>0</v>
      </c>
      <c r="EW26">
        <v>0</v>
      </c>
      <c r="EX26">
        <v>0</v>
      </c>
      <c r="EY26">
        <v>1</v>
      </c>
      <c r="EZ26">
        <v>0</v>
      </c>
      <c r="FA26">
        <v>0</v>
      </c>
      <c r="FB26">
        <v>0</v>
      </c>
      <c r="FC26">
        <v>1</v>
      </c>
      <c r="FD26">
        <v>0</v>
      </c>
      <c r="FE26">
        <v>0</v>
      </c>
      <c r="FF26">
        <v>1</v>
      </c>
      <c r="FG26">
        <v>0</v>
      </c>
      <c r="FH26">
        <v>0</v>
      </c>
      <c r="FI26">
        <v>0</v>
      </c>
      <c r="FJ26">
        <v>0</v>
      </c>
      <c r="FK26">
        <v>1</v>
      </c>
      <c r="FL26">
        <v>0</v>
      </c>
      <c r="FM26">
        <v>0</v>
      </c>
      <c r="FN26">
        <v>0</v>
      </c>
      <c r="FO26">
        <v>0</v>
      </c>
      <c r="FP26">
        <v>0</v>
      </c>
      <c r="FQ26">
        <v>1</v>
      </c>
      <c r="FR26">
        <v>0</v>
      </c>
      <c r="FS26">
        <v>0</v>
      </c>
      <c r="FT26">
        <v>1</v>
      </c>
      <c r="FU26">
        <v>1</v>
      </c>
      <c r="FV26">
        <v>0</v>
      </c>
      <c r="FW26">
        <v>0</v>
      </c>
      <c r="FX26">
        <v>0</v>
      </c>
      <c r="FY26">
        <v>0</v>
      </c>
      <c r="FZ26">
        <v>0</v>
      </c>
      <c r="GA26">
        <v>0</v>
      </c>
      <c r="GB26">
        <v>0</v>
      </c>
      <c r="GC26">
        <v>1</v>
      </c>
      <c r="GD26">
        <v>1</v>
      </c>
      <c r="GE26">
        <v>0</v>
      </c>
      <c r="GF26">
        <v>0</v>
      </c>
      <c r="GG26">
        <v>0</v>
      </c>
      <c r="GH26">
        <v>0</v>
      </c>
      <c r="GI26">
        <v>2</v>
      </c>
      <c r="GJ26" s="1">
        <v>45542.61041666667</v>
      </c>
      <c r="GK26">
        <v>1</v>
      </c>
      <c r="GL26">
        <v>4</v>
      </c>
      <c r="GM26">
        <v>2</v>
      </c>
      <c r="GN26">
        <v>3</v>
      </c>
      <c r="GO26">
        <v>2</v>
      </c>
      <c r="GP26">
        <v>4</v>
      </c>
      <c r="GQ26">
        <v>4</v>
      </c>
      <c r="GR26">
        <v>3</v>
      </c>
      <c r="GS26">
        <v>2</v>
      </c>
      <c r="GT26">
        <v>4</v>
      </c>
      <c r="GU26">
        <v>4</v>
      </c>
      <c r="GV26">
        <v>3</v>
      </c>
      <c r="GW26">
        <v>3</v>
      </c>
      <c r="GX26">
        <v>3</v>
      </c>
      <c r="GY26">
        <v>3</v>
      </c>
      <c r="GZ26">
        <v>3</v>
      </c>
      <c r="HA26">
        <v>2</v>
      </c>
      <c r="HB26">
        <v>3</v>
      </c>
      <c r="HC26">
        <v>22</v>
      </c>
      <c r="HD26">
        <v>17</v>
      </c>
      <c r="HE26">
        <v>54</v>
      </c>
      <c r="HF26">
        <v>2</v>
      </c>
      <c r="HG26" s="1">
        <v>45542.611111111109</v>
      </c>
      <c r="HH26">
        <v>6</v>
      </c>
      <c r="HI26">
        <v>9</v>
      </c>
      <c r="HJ26">
        <v>9</v>
      </c>
      <c r="HK26">
        <v>2</v>
      </c>
      <c r="HL26" s="1">
        <v>45542.613888888889</v>
      </c>
      <c r="HM26">
        <v>1</v>
      </c>
      <c r="HN26">
        <v>0</v>
      </c>
      <c r="HO26">
        <v>0</v>
      </c>
      <c r="HP26">
        <v>0</v>
      </c>
      <c r="HQ26">
        <v>0</v>
      </c>
      <c r="HR26">
        <v>0</v>
      </c>
      <c r="HS26">
        <v>0</v>
      </c>
      <c r="HT26">
        <v>0</v>
      </c>
      <c r="HU26">
        <v>0</v>
      </c>
      <c r="HV26">
        <v>1</v>
      </c>
      <c r="HW26">
        <v>0</v>
      </c>
      <c r="HX26">
        <v>0</v>
      </c>
      <c r="HY26">
        <v>0</v>
      </c>
      <c r="HZ26">
        <v>0</v>
      </c>
      <c r="IA26">
        <v>0</v>
      </c>
      <c r="IB26">
        <v>1</v>
      </c>
      <c r="IC26">
        <v>0</v>
      </c>
      <c r="ID26">
        <v>1</v>
      </c>
      <c r="IE26">
        <v>0</v>
      </c>
      <c r="IF26">
        <v>0</v>
      </c>
      <c r="IG26">
        <v>0</v>
      </c>
      <c r="IH26">
        <v>4</v>
      </c>
      <c r="II26">
        <v>2</v>
      </c>
      <c r="IJ26" s="1">
        <v>45542.615972222222</v>
      </c>
      <c r="IK26">
        <v>1</v>
      </c>
      <c r="IL26">
        <v>1</v>
      </c>
      <c r="IM26">
        <v>0</v>
      </c>
      <c r="IN26">
        <v>1</v>
      </c>
      <c r="IO26">
        <v>0</v>
      </c>
      <c r="IP26">
        <v>1</v>
      </c>
      <c r="IQ26">
        <v>0</v>
      </c>
      <c r="IR26">
        <v>1</v>
      </c>
      <c r="IS26">
        <v>0</v>
      </c>
      <c r="IT26">
        <v>1</v>
      </c>
      <c r="IU26">
        <v>0</v>
      </c>
      <c r="IV26">
        <v>1</v>
      </c>
      <c r="IW26">
        <v>0</v>
      </c>
      <c r="IX26">
        <v>0</v>
      </c>
      <c r="IY26">
        <v>1</v>
      </c>
      <c r="IZ26">
        <v>1</v>
      </c>
      <c r="JA26">
        <v>1</v>
      </c>
      <c r="JB26">
        <v>1</v>
      </c>
      <c r="JC26">
        <v>1</v>
      </c>
      <c r="JD26">
        <v>0</v>
      </c>
      <c r="JE26">
        <v>24</v>
      </c>
      <c r="JF26">
        <v>3</v>
      </c>
      <c r="JG26">
        <v>1</v>
      </c>
      <c r="JH26">
        <v>3</v>
      </c>
      <c r="JI26">
        <v>1</v>
      </c>
      <c r="JJ26">
        <v>1</v>
      </c>
      <c r="JK26">
        <v>1</v>
      </c>
      <c r="JL26" t="s">
        <v>395</v>
      </c>
      <c r="JM26" t="s">
        <v>396</v>
      </c>
      <c r="JN26">
        <v>12</v>
      </c>
      <c r="JO26">
        <v>10</v>
      </c>
      <c r="JP26">
        <v>3</v>
      </c>
      <c r="JQ26">
        <v>2</v>
      </c>
      <c r="JR26" s="1">
        <v>45542.616666666669</v>
      </c>
      <c r="JS26">
        <v>0</v>
      </c>
      <c r="JT26">
        <v>0</v>
      </c>
      <c r="JU26">
        <v>0</v>
      </c>
      <c r="JV26">
        <v>0</v>
      </c>
      <c r="JW26">
        <v>2</v>
      </c>
      <c r="JX26" s="1">
        <v>45542.617361111108</v>
      </c>
      <c r="JY26">
        <v>64.400000000000006</v>
      </c>
      <c r="JZ26">
        <v>2.5</v>
      </c>
      <c r="KI26">
        <v>5</v>
      </c>
      <c r="KJ26">
        <v>70.5</v>
      </c>
      <c r="KK26">
        <v>5.0999999999999996</v>
      </c>
      <c r="KL26">
        <v>1</v>
      </c>
      <c r="UQ26">
        <v>3</v>
      </c>
      <c r="UR26">
        <v>63.9</v>
      </c>
      <c r="US26">
        <v>3.9</v>
      </c>
      <c r="UT26">
        <v>2</v>
      </c>
      <c r="WQ26">
        <v>4</v>
      </c>
      <c r="WR26">
        <v>64.400000000000006</v>
      </c>
      <c r="WS26">
        <v>2.5</v>
      </c>
      <c r="WT26">
        <v>4</v>
      </c>
      <c r="XG26">
        <v>4</v>
      </c>
      <c r="XH26">
        <v>64.7</v>
      </c>
      <c r="XI26">
        <v>2.9</v>
      </c>
      <c r="XJ26">
        <v>3</v>
      </c>
      <c r="YQ26">
        <v>2</v>
      </c>
      <c r="YR26" s="1">
        <v>45542.618055555555</v>
      </c>
      <c r="YS26">
        <v>4</v>
      </c>
      <c r="YT26">
        <v>3</v>
      </c>
      <c r="YU26">
        <v>2</v>
      </c>
      <c r="YV26">
        <v>2</v>
      </c>
      <c r="YW26">
        <v>1</v>
      </c>
      <c r="YX26">
        <v>1</v>
      </c>
      <c r="YY26">
        <v>2</v>
      </c>
      <c r="YZ26">
        <v>1</v>
      </c>
      <c r="ZA26">
        <v>3</v>
      </c>
      <c r="ZB26">
        <v>3</v>
      </c>
      <c r="ZC26">
        <v>1</v>
      </c>
      <c r="ZD26">
        <v>3</v>
      </c>
      <c r="ZE26">
        <v>1</v>
      </c>
      <c r="ZF26">
        <v>3</v>
      </c>
      <c r="ZG26">
        <v>2</v>
      </c>
      <c r="ZH26">
        <v>4</v>
      </c>
      <c r="ZI26">
        <v>4</v>
      </c>
      <c r="ZJ26">
        <v>2</v>
      </c>
      <c r="ZK26">
        <v>2</v>
      </c>
      <c r="ZL26">
        <v>2</v>
      </c>
      <c r="ZM26">
        <v>29</v>
      </c>
      <c r="ZN26">
        <v>17</v>
      </c>
      <c r="ZO26">
        <v>2</v>
      </c>
      <c r="ZP26" s="1">
        <v>45542.618750000001</v>
      </c>
      <c r="ZQ26">
        <v>1</v>
      </c>
      <c r="ZR26">
        <v>1</v>
      </c>
      <c r="ZS26">
        <v>1</v>
      </c>
      <c r="ZT26">
        <v>0</v>
      </c>
      <c r="ZU26">
        <v>1</v>
      </c>
      <c r="ZV26">
        <v>3</v>
      </c>
      <c r="ZW26">
        <v>3</v>
      </c>
      <c r="ZX26">
        <v>1</v>
      </c>
      <c r="ZY26">
        <v>1</v>
      </c>
      <c r="ZZ26">
        <v>1</v>
      </c>
      <c r="AAA26">
        <v>0</v>
      </c>
      <c r="AAB26">
        <v>0</v>
      </c>
      <c r="AAC26">
        <v>3</v>
      </c>
      <c r="AAD26">
        <v>1</v>
      </c>
      <c r="AAE26">
        <v>0</v>
      </c>
      <c r="AAF26">
        <v>3</v>
      </c>
      <c r="AAG26">
        <v>0</v>
      </c>
      <c r="AAH26">
        <v>1</v>
      </c>
      <c r="AAI26">
        <v>11</v>
      </c>
      <c r="AAJ26">
        <v>4</v>
      </c>
      <c r="AAK26">
        <v>6</v>
      </c>
      <c r="AAL26">
        <v>21</v>
      </c>
      <c r="AAM26">
        <v>2</v>
      </c>
      <c r="AAN26" s="1">
        <v>45542.620833333334</v>
      </c>
      <c r="AAO26">
        <v>1</v>
      </c>
      <c r="AAP26">
        <v>8</v>
      </c>
      <c r="AAQ26">
        <v>6</v>
      </c>
      <c r="AAR26">
        <v>8</v>
      </c>
      <c r="AAS26">
        <v>6</v>
      </c>
      <c r="AAT26">
        <v>20</v>
      </c>
      <c r="AAU26">
        <v>7</v>
      </c>
      <c r="AAV26">
        <v>7</v>
      </c>
      <c r="AAW26">
        <v>7</v>
      </c>
      <c r="AAX26">
        <v>7</v>
      </c>
      <c r="AAY26">
        <v>4</v>
      </c>
      <c r="AAZ26">
        <v>8</v>
      </c>
      <c r="ABA26">
        <v>8</v>
      </c>
      <c r="ABB26">
        <v>4</v>
      </c>
      <c r="ABC26">
        <v>6</v>
      </c>
      <c r="ABD26">
        <v>7</v>
      </c>
      <c r="ABE26">
        <v>6.8571428570000004</v>
      </c>
      <c r="ABF26">
        <v>2</v>
      </c>
      <c r="ABG26" s="1">
        <v>45542.62222222222</v>
      </c>
      <c r="ABH26">
        <v>0</v>
      </c>
      <c r="ABI26">
        <v>0</v>
      </c>
      <c r="ABJ26">
        <v>0</v>
      </c>
      <c r="ABK26">
        <v>0</v>
      </c>
      <c r="ABL26">
        <v>0</v>
      </c>
      <c r="ABM26">
        <v>0</v>
      </c>
      <c r="ABN26">
        <v>1</v>
      </c>
      <c r="ABO26">
        <v>0</v>
      </c>
      <c r="ABP26">
        <v>0</v>
      </c>
      <c r="ABQ26">
        <v>0</v>
      </c>
      <c r="ABR26">
        <v>0</v>
      </c>
      <c r="ABS26">
        <v>0</v>
      </c>
      <c r="ABT26">
        <v>0</v>
      </c>
      <c r="ABU26">
        <v>0</v>
      </c>
      <c r="ABV26">
        <v>1</v>
      </c>
      <c r="ABW26">
        <v>1</v>
      </c>
      <c r="ABX26">
        <v>1</v>
      </c>
      <c r="ABY26">
        <v>0</v>
      </c>
      <c r="ABZ26">
        <v>1</v>
      </c>
      <c r="ACA26">
        <v>0</v>
      </c>
      <c r="ACB26">
        <v>0</v>
      </c>
      <c r="ACC26">
        <v>0</v>
      </c>
      <c r="ACD26">
        <v>0</v>
      </c>
      <c r="ACE26">
        <v>0</v>
      </c>
      <c r="ACF26">
        <v>1</v>
      </c>
      <c r="ACG26">
        <v>0</v>
      </c>
      <c r="ACH26">
        <v>0</v>
      </c>
      <c r="ACI26">
        <v>0</v>
      </c>
      <c r="ACJ26">
        <v>0</v>
      </c>
      <c r="ACK26">
        <v>0</v>
      </c>
      <c r="ACL26">
        <v>0</v>
      </c>
      <c r="ACM26">
        <v>0</v>
      </c>
      <c r="ACN26">
        <v>1</v>
      </c>
      <c r="ACO26">
        <v>0</v>
      </c>
      <c r="ACP26">
        <v>1</v>
      </c>
      <c r="ACQ26">
        <v>0</v>
      </c>
      <c r="ACR26">
        <v>0</v>
      </c>
      <c r="ACS26">
        <v>0</v>
      </c>
      <c r="ACT26">
        <v>0</v>
      </c>
      <c r="ACU26">
        <v>0</v>
      </c>
      <c r="ACV26">
        <v>1</v>
      </c>
      <c r="ACW26">
        <v>1</v>
      </c>
      <c r="ACX26">
        <v>0</v>
      </c>
      <c r="ACY26">
        <v>0</v>
      </c>
      <c r="ACZ26">
        <v>1</v>
      </c>
      <c r="ADA26">
        <v>1</v>
      </c>
      <c r="ADB26">
        <v>0</v>
      </c>
      <c r="ADC26">
        <v>1</v>
      </c>
      <c r="ADD26">
        <v>1</v>
      </c>
      <c r="ADE26">
        <v>1</v>
      </c>
      <c r="ADF26">
        <v>0</v>
      </c>
      <c r="ADG26">
        <v>0</v>
      </c>
      <c r="ADH26">
        <v>0</v>
      </c>
      <c r="ADI26">
        <v>0</v>
      </c>
      <c r="ADJ26">
        <v>1</v>
      </c>
      <c r="ADK26">
        <v>1</v>
      </c>
      <c r="ADL26">
        <v>0</v>
      </c>
      <c r="ADM26">
        <v>1</v>
      </c>
      <c r="ADN26">
        <v>0</v>
      </c>
      <c r="ADO26">
        <v>1</v>
      </c>
      <c r="ADP26">
        <v>1</v>
      </c>
      <c r="ADQ26">
        <v>1</v>
      </c>
      <c r="ADR26">
        <v>0</v>
      </c>
      <c r="ADS26">
        <v>0</v>
      </c>
      <c r="ADT26">
        <v>1</v>
      </c>
      <c r="ADU26">
        <v>1</v>
      </c>
      <c r="ADV26">
        <v>0</v>
      </c>
      <c r="ADW26">
        <v>1</v>
      </c>
      <c r="ADX26">
        <v>0</v>
      </c>
      <c r="ADY26">
        <v>1</v>
      </c>
      <c r="ADZ26">
        <v>0</v>
      </c>
      <c r="AEA26">
        <v>1</v>
      </c>
      <c r="AEB26">
        <v>0</v>
      </c>
      <c r="AEC26">
        <v>1</v>
      </c>
      <c r="AEE26">
        <v>2</v>
      </c>
      <c r="AEF26" s="1">
        <v>45542.622916666667</v>
      </c>
      <c r="AEG26">
        <v>1</v>
      </c>
      <c r="AEH26">
        <v>0</v>
      </c>
      <c r="AEI26">
        <v>1</v>
      </c>
      <c r="AEJ26">
        <v>1</v>
      </c>
      <c r="AEK26">
        <v>0</v>
      </c>
      <c r="AEL26">
        <v>0</v>
      </c>
      <c r="AEM26">
        <v>0</v>
      </c>
      <c r="AEN26">
        <v>1</v>
      </c>
      <c r="AEO26">
        <v>0</v>
      </c>
      <c r="AEP26">
        <v>1</v>
      </c>
      <c r="AEQ26">
        <v>0</v>
      </c>
      <c r="AER26">
        <v>0</v>
      </c>
      <c r="AES26">
        <v>2</v>
      </c>
      <c r="AET26">
        <v>0</v>
      </c>
      <c r="AEU26">
        <v>0</v>
      </c>
      <c r="AEV26">
        <v>0</v>
      </c>
      <c r="AEW26">
        <v>0</v>
      </c>
      <c r="AEX26">
        <v>0</v>
      </c>
      <c r="AEY26">
        <v>1</v>
      </c>
      <c r="AEZ26">
        <v>0</v>
      </c>
      <c r="AFA26">
        <v>0</v>
      </c>
      <c r="AFB26">
        <v>1</v>
      </c>
      <c r="AFC26">
        <v>0</v>
      </c>
      <c r="AFD26">
        <v>0</v>
      </c>
      <c r="AFE26">
        <v>0</v>
      </c>
      <c r="AFF26">
        <v>1</v>
      </c>
      <c r="AFG26">
        <v>0</v>
      </c>
      <c r="AFH26">
        <v>0</v>
      </c>
      <c r="AFI26">
        <v>0</v>
      </c>
      <c r="AFJ26">
        <v>0</v>
      </c>
      <c r="AFK26">
        <v>1</v>
      </c>
      <c r="AFL26">
        <v>0</v>
      </c>
      <c r="AFM26">
        <v>0</v>
      </c>
      <c r="AFN26">
        <v>5</v>
      </c>
      <c r="AFO26">
        <v>1</v>
      </c>
      <c r="AFP26">
        <v>3</v>
      </c>
      <c r="AFQ26">
        <v>4</v>
      </c>
      <c r="AFR26">
        <v>2</v>
      </c>
      <c r="AFS26" s="1">
        <v>45542.623611111114</v>
      </c>
      <c r="AFT26">
        <v>3</v>
      </c>
      <c r="AFU26">
        <v>3</v>
      </c>
      <c r="AFV26">
        <v>2</v>
      </c>
      <c r="AFW26">
        <v>3</v>
      </c>
      <c r="AFX26">
        <v>2</v>
      </c>
      <c r="AFY26">
        <v>1</v>
      </c>
      <c r="AFZ26">
        <v>1</v>
      </c>
      <c r="AGA26">
        <v>2</v>
      </c>
      <c r="AGB26">
        <v>1</v>
      </c>
      <c r="AGC26">
        <v>2</v>
      </c>
      <c r="AGD26">
        <v>2</v>
      </c>
      <c r="AGE26">
        <v>1</v>
      </c>
      <c r="AGF26">
        <v>2</v>
      </c>
      <c r="AGG26">
        <v>1</v>
      </c>
      <c r="AGH26">
        <v>2</v>
      </c>
      <c r="AGI26">
        <v>2</v>
      </c>
      <c r="AGJ26">
        <v>1</v>
      </c>
      <c r="AGK26">
        <v>1</v>
      </c>
      <c r="AGL26">
        <v>2</v>
      </c>
      <c r="AGM26">
        <v>3</v>
      </c>
      <c r="AGN26">
        <v>41</v>
      </c>
      <c r="AGO26">
        <v>2</v>
      </c>
      <c r="AGP26" s="1">
        <v>45542.625</v>
      </c>
      <c r="AGQ26">
        <v>1</v>
      </c>
      <c r="AGR26" t="s">
        <v>397</v>
      </c>
      <c r="AGT26" t="s">
        <v>398</v>
      </c>
      <c r="AGU26" t="s">
        <v>399</v>
      </c>
      <c r="AGV26">
        <v>0</v>
      </c>
      <c r="AGW26">
        <v>1</v>
      </c>
      <c r="AGX26">
        <v>0</v>
      </c>
      <c r="AGY26">
        <v>0</v>
      </c>
      <c r="AGZ26">
        <v>0</v>
      </c>
      <c r="AHB26">
        <v>2</v>
      </c>
      <c r="AHC26" s="1">
        <v>45542.62777777778</v>
      </c>
      <c r="AHD26" t="s">
        <v>212</v>
      </c>
      <c r="AHE26" t="s">
        <v>212</v>
      </c>
      <c r="AHF26" t="s">
        <v>345</v>
      </c>
      <c r="AHG26">
        <v>2</v>
      </c>
      <c r="AHH26">
        <v>8</v>
      </c>
      <c r="AHI26" t="s">
        <v>400</v>
      </c>
      <c r="AHJ26" t="s">
        <v>401</v>
      </c>
      <c r="AHK26" t="s">
        <v>402</v>
      </c>
      <c r="AHL26" t="s">
        <v>210</v>
      </c>
      <c r="AHN26">
        <v>2</v>
      </c>
      <c r="AHO26">
        <v>7</v>
      </c>
      <c r="AHP26">
        <v>8</v>
      </c>
      <c r="AHQ26" t="s">
        <v>403</v>
      </c>
      <c r="AHR26" t="s">
        <v>404</v>
      </c>
      <c r="AHS26" t="s">
        <v>210</v>
      </c>
      <c r="AHU26" t="s">
        <v>211</v>
      </c>
    </row>
    <row r="27" spans="1:905">
      <c r="A27">
        <v>159</v>
      </c>
      <c r="B27" t="s">
        <v>205</v>
      </c>
      <c r="C27" t="s">
        <v>405</v>
      </c>
      <c r="D27">
        <v>2</v>
      </c>
      <c r="E27">
        <v>2</v>
      </c>
      <c r="F27">
        <v>27</v>
      </c>
      <c r="G27">
        <v>65</v>
      </c>
      <c r="H27">
        <v>150</v>
      </c>
      <c r="I27">
        <v>0</v>
      </c>
      <c r="J27">
        <v>3</v>
      </c>
      <c r="L27" t="s">
        <v>406</v>
      </c>
      <c r="M27">
        <v>2</v>
      </c>
      <c r="N27" s="1">
        <v>45532.982638888891</v>
      </c>
      <c r="O27">
        <v>8</v>
      </c>
      <c r="P27">
        <v>0</v>
      </c>
      <c r="R27">
        <v>0</v>
      </c>
      <c r="S27">
        <v>1</v>
      </c>
      <c r="T27">
        <v>1</v>
      </c>
      <c r="U27">
        <v>0</v>
      </c>
      <c r="V27">
        <v>0</v>
      </c>
      <c r="W27">
        <v>0</v>
      </c>
      <c r="X27">
        <v>0</v>
      </c>
      <c r="Y27">
        <v>0</v>
      </c>
      <c r="Z27">
        <v>0</v>
      </c>
      <c r="AA27">
        <v>0</v>
      </c>
      <c r="AB27">
        <v>0</v>
      </c>
      <c r="AC27" t="s">
        <v>208</v>
      </c>
      <c r="AD27">
        <v>2</v>
      </c>
      <c r="AE27" s="1">
        <v>45532.982638888891</v>
      </c>
      <c r="AF27">
        <v>2</v>
      </c>
      <c r="AG27">
        <v>3</v>
      </c>
      <c r="AH27">
        <v>3</v>
      </c>
      <c r="AI27">
        <v>3</v>
      </c>
      <c r="AJ27">
        <v>2</v>
      </c>
      <c r="AK27">
        <v>2</v>
      </c>
      <c r="AL27">
        <v>2</v>
      </c>
      <c r="AM27">
        <v>2</v>
      </c>
      <c r="AN27">
        <v>3</v>
      </c>
      <c r="AO27">
        <v>3</v>
      </c>
      <c r="AP27">
        <v>3</v>
      </c>
      <c r="AQ27">
        <v>2</v>
      </c>
      <c r="AR27">
        <v>2</v>
      </c>
      <c r="AS27">
        <v>2</v>
      </c>
      <c r="AT27">
        <v>2</v>
      </c>
      <c r="AU27">
        <v>3</v>
      </c>
      <c r="AV27">
        <v>3</v>
      </c>
      <c r="AW27">
        <v>2</v>
      </c>
      <c r="AX27">
        <v>2</v>
      </c>
      <c r="AY27">
        <v>3</v>
      </c>
      <c r="AZ27">
        <v>52</v>
      </c>
      <c r="BA27">
        <v>2</v>
      </c>
      <c r="BB27" s="1">
        <v>45532.98333333333</v>
      </c>
      <c r="BC27">
        <v>13</v>
      </c>
      <c r="BD27">
        <v>6</v>
      </c>
      <c r="BE27">
        <v>1</v>
      </c>
      <c r="BI27" s="2">
        <v>45529</v>
      </c>
      <c r="BM27">
        <v>29</v>
      </c>
      <c r="BN27">
        <v>5</v>
      </c>
      <c r="BO27">
        <v>2</v>
      </c>
      <c r="BP27">
        <v>1</v>
      </c>
      <c r="BQ27">
        <v>0</v>
      </c>
      <c r="BR27">
        <v>0</v>
      </c>
      <c r="BS27">
        <v>0</v>
      </c>
      <c r="BT27">
        <v>0</v>
      </c>
      <c r="BU27">
        <v>0</v>
      </c>
      <c r="BV27">
        <v>0</v>
      </c>
      <c r="BW27">
        <v>0</v>
      </c>
      <c r="BY27">
        <v>2</v>
      </c>
      <c r="BZ27" s="1">
        <v>45532.984027777777</v>
      </c>
      <c r="CA27">
        <v>4</v>
      </c>
      <c r="CB27">
        <v>3</v>
      </c>
      <c r="CC27">
        <v>3</v>
      </c>
      <c r="CD27">
        <v>3</v>
      </c>
      <c r="CE27">
        <v>3</v>
      </c>
      <c r="CF27">
        <v>4</v>
      </c>
      <c r="CG27">
        <v>3</v>
      </c>
      <c r="CH27">
        <v>4</v>
      </c>
      <c r="CI27">
        <v>2</v>
      </c>
      <c r="CJ27">
        <v>4</v>
      </c>
      <c r="CK27">
        <v>3</v>
      </c>
      <c r="CL27">
        <v>4</v>
      </c>
      <c r="CM27">
        <v>1</v>
      </c>
      <c r="CN27">
        <v>3</v>
      </c>
      <c r="CO27">
        <v>4</v>
      </c>
      <c r="CP27">
        <v>3</v>
      </c>
      <c r="CQ27">
        <v>2</v>
      </c>
      <c r="CR27">
        <v>1</v>
      </c>
      <c r="CS27">
        <v>4</v>
      </c>
      <c r="CT27">
        <v>3</v>
      </c>
      <c r="CU27">
        <v>12</v>
      </c>
      <c r="CV27">
        <v>11</v>
      </c>
      <c r="CW27">
        <v>19</v>
      </c>
      <c r="CX27">
        <v>42</v>
      </c>
      <c r="CY27">
        <v>25</v>
      </c>
      <c r="CZ27">
        <v>2</v>
      </c>
      <c r="DA27" s="1">
        <v>45532.98541666667</v>
      </c>
      <c r="DB27">
        <v>1</v>
      </c>
      <c r="DC27">
        <v>0</v>
      </c>
      <c r="DD27">
        <v>0</v>
      </c>
      <c r="DE27">
        <v>0</v>
      </c>
      <c r="DF27">
        <v>0</v>
      </c>
      <c r="DG27">
        <v>0</v>
      </c>
      <c r="DH27">
        <v>0</v>
      </c>
      <c r="DI27">
        <v>1</v>
      </c>
      <c r="DJ27">
        <v>0</v>
      </c>
      <c r="DK27">
        <v>0</v>
      </c>
      <c r="DL27">
        <v>0</v>
      </c>
      <c r="DM27">
        <v>0</v>
      </c>
      <c r="DN27">
        <v>1</v>
      </c>
      <c r="DO27">
        <v>0</v>
      </c>
      <c r="DP27">
        <v>0</v>
      </c>
      <c r="DQ27">
        <v>0</v>
      </c>
      <c r="DR27">
        <v>0</v>
      </c>
      <c r="DS27">
        <v>1</v>
      </c>
      <c r="DT27">
        <v>0</v>
      </c>
      <c r="DU27">
        <v>0</v>
      </c>
      <c r="DV27">
        <v>0</v>
      </c>
      <c r="DW27">
        <v>0</v>
      </c>
      <c r="DX27">
        <v>0</v>
      </c>
      <c r="DY27">
        <v>0</v>
      </c>
      <c r="DZ27">
        <v>1</v>
      </c>
      <c r="EA27">
        <v>0</v>
      </c>
      <c r="EB27">
        <v>1</v>
      </c>
      <c r="EC27">
        <v>0</v>
      </c>
      <c r="ED27">
        <v>0</v>
      </c>
      <c r="EE27">
        <v>0</v>
      </c>
      <c r="EF27">
        <v>0</v>
      </c>
      <c r="EG27">
        <v>0</v>
      </c>
      <c r="EH27">
        <v>1</v>
      </c>
      <c r="EI27">
        <v>0</v>
      </c>
      <c r="EJ27">
        <v>1</v>
      </c>
      <c r="EK27">
        <v>0</v>
      </c>
      <c r="EL27">
        <v>0</v>
      </c>
      <c r="EM27">
        <v>1</v>
      </c>
      <c r="EN27">
        <v>0</v>
      </c>
      <c r="EO27">
        <v>0</v>
      </c>
      <c r="EP27">
        <v>1</v>
      </c>
      <c r="EQ27">
        <v>0</v>
      </c>
      <c r="ER27">
        <v>0</v>
      </c>
      <c r="ES27">
        <v>0</v>
      </c>
      <c r="ET27">
        <v>0</v>
      </c>
      <c r="EU27">
        <v>0</v>
      </c>
      <c r="EV27">
        <v>0</v>
      </c>
      <c r="EW27">
        <v>0</v>
      </c>
      <c r="EX27">
        <v>0</v>
      </c>
      <c r="EY27">
        <v>1</v>
      </c>
      <c r="EZ27">
        <v>0</v>
      </c>
      <c r="FA27">
        <v>0</v>
      </c>
      <c r="FB27">
        <v>0</v>
      </c>
      <c r="FC27">
        <v>0</v>
      </c>
      <c r="FD27">
        <v>1</v>
      </c>
      <c r="FE27">
        <v>0</v>
      </c>
      <c r="FF27">
        <v>0</v>
      </c>
      <c r="FG27">
        <v>1</v>
      </c>
      <c r="FH27">
        <v>0</v>
      </c>
      <c r="FI27">
        <v>0</v>
      </c>
      <c r="FJ27">
        <v>0</v>
      </c>
      <c r="FK27">
        <v>0</v>
      </c>
      <c r="FL27">
        <v>0</v>
      </c>
      <c r="FM27">
        <v>1</v>
      </c>
      <c r="FN27">
        <v>0</v>
      </c>
      <c r="FO27">
        <v>0</v>
      </c>
      <c r="FP27">
        <v>0</v>
      </c>
      <c r="FQ27">
        <v>1</v>
      </c>
      <c r="FR27">
        <v>0</v>
      </c>
      <c r="FS27">
        <v>0</v>
      </c>
      <c r="FT27">
        <v>1</v>
      </c>
      <c r="FU27">
        <v>0</v>
      </c>
      <c r="FV27">
        <v>0</v>
      </c>
      <c r="FW27">
        <v>0</v>
      </c>
      <c r="FX27">
        <v>0</v>
      </c>
      <c r="FY27">
        <v>0</v>
      </c>
      <c r="FZ27">
        <v>0</v>
      </c>
      <c r="GA27">
        <v>0</v>
      </c>
      <c r="GB27">
        <v>0</v>
      </c>
      <c r="GC27">
        <v>1</v>
      </c>
      <c r="GD27">
        <v>1</v>
      </c>
      <c r="GE27">
        <v>0</v>
      </c>
      <c r="GF27">
        <v>0</v>
      </c>
      <c r="GG27">
        <v>0</v>
      </c>
      <c r="GH27">
        <v>0</v>
      </c>
      <c r="GI27">
        <v>2</v>
      </c>
      <c r="GJ27" s="1">
        <v>45532.986111111109</v>
      </c>
      <c r="GK27">
        <v>1</v>
      </c>
      <c r="GL27">
        <v>3</v>
      </c>
      <c r="GM27">
        <v>3</v>
      </c>
      <c r="GN27">
        <v>3</v>
      </c>
      <c r="GO27">
        <v>2</v>
      </c>
      <c r="GP27">
        <v>3</v>
      </c>
      <c r="GQ27">
        <v>3</v>
      </c>
      <c r="GR27">
        <v>2</v>
      </c>
      <c r="GS27">
        <v>3</v>
      </c>
      <c r="GT27">
        <v>3</v>
      </c>
      <c r="GU27">
        <v>2</v>
      </c>
      <c r="GV27">
        <v>2</v>
      </c>
      <c r="GW27">
        <v>3</v>
      </c>
      <c r="GX27">
        <v>3</v>
      </c>
      <c r="GY27">
        <v>2</v>
      </c>
      <c r="GZ27">
        <v>2</v>
      </c>
      <c r="HA27">
        <v>2</v>
      </c>
      <c r="HB27">
        <v>3</v>
      </c>
      <c r="HC27">
        <v>17</v>
      </c>
      <c r="HD27">
        <v>14</v>
      </c>
      <c r="HE27">
        <v>44</v>
      </c>
      <c r="HF27">
        <v>2</v>
      </c>
      <c r="HG27" s="1">
        <v>45532.986805555556</v>
      </c>
      <c r="HH27">
        <v>7</v>
      </c>
      <c r="HI27">
        <v>13</v>
      </c>
      <c r="HJ27">
        <v>7</v>
      </c>
      <c r="HK27">
        <v>2</v>
      </c>
      <c r="HL27" s="1">
        <v>45542.517361111109</v>
      </c>
      <c r="HM27">
        <v>1</v>
      </c>
      <c r="HN27">
        <v>1</v>
      </c>
      <c r="HO27">
        <v>0</v>
      </c>
      <c r="HP27">
        <v>1</v>
      </c>
      <c r="HQ27">
        <v>2</v>
      </c>
      <c r="HR27">
        <v>1</v>
      </c>
      <c r="HS27">
        <v>1</v>
      </c>
      <c r="HT27">
        <v>1</v>
      </c>
      <c r="HU27">
        <v>0</v>
      </c>
      <c r="HV27">
        <v>0</v>
      </c>
      <c r="HW27">
        <v>1</v>
      </c>
      <c r="HX27">
        <v>1</v>
      </c>
      <c r="HY27">
        <v>0</v>
      </c>
      <c r="HZ27">
        <v>0</v>
      </c>
      <c r="IA27">
        <v>1</v>
      </c>
      <c r="IB27">
        <v>2</v>
      </c>
      <c r="IC27">
        <v>1</v>
      </c>
      <c r="ID27">
        <v>1</v>
      </c>
      <c r="IE27">
        <v>1</v>
      </c>
      <c r="IF27">
        <v>1</v>
      </c>
      <c r="IG27">
        <v>2</v>
      </c>
      <c r="IH27">
        <v>18</v>
      </c>
      <c r="II27">
        <v>2</v>
      </c>
      <c r="IJ27" s="1">
        <v>45542.520138888889</v>
      </c>
      <c r="IK27">
        <v>1</v>
      </c>
      <c r="IL27">
        <v>1</v>
      </c>
      <c r="IM27">
        <v>1</v>
      </c>
      <c r="IN27">
        <v>1</v>
      </c>
      <c r="IO27">
        <v>1</v>
      </c>
      <c r="IP27">
        <v>1</v>
      </c>
      <c r="IQ27">
        <v>0</v>
      </c>
      <c r="IR27">
        <v>0</v>
      </c>
      <c r="IS27">
        <v>0</v>
      </c>
      <c r="IT27">
        <v>0</v>
      </c>
      <c r="IU27">
        <v>1</v>
      </c>
      <c r="IV27">
        <v>1</v>
      </c>
      <c r="IW27">
        <v>1</v>
      </c>
      <c r="IX27">
        <v>1</v>
      </c>
      <c r="IY27">
        <v>1</v>
      </c>
      <c r="IZ27">
        <v>1</v>
      </c>
      <c r="JA27">
        <v>1</v>
      </c>
      <c r="JB27">
        <v>1</v>
      </c>
      <c r="JC27">
        <v>1</v>
      </c>
      <c r="JD27">
        <v>0</v>
      </c>
      <c r="JE27" t="s">
        <v>407</v>
      </c>
      <c r="JF27">
        <v>2</v>
      </c>
      <c r="JG27">
        <v>1</v>
      </c>
      <c r="JH27">
        <v>2</v>
      </c>
      <c r="JI27">
        <v>1</v>
      </c>
      <c r="JJ27">
        <v>1</v>
      </c>
      <c r="JK27">
        <v>1</v>
      </c>
      <c r="JL27" t="s">
        <v>408</v>
      </c>
      <c r="JM27" t="s">
        <v>409</v>
      </c>
      <c r="JN27">
        <v>15</v>
      </c>
      <c r="JO27">
        <v>8</v>
      </c>
      <c r="JP27">
        <v>3</v>
      </c>
      <c r="JQ27">
        <v>2</v>
      </c>
      <c r="JR27" s="1">
        <v>45542.520138888889</v>
      </c>
      <c r="JS27">
        <v>0</v>
      </c>
      <c r="JT27">
        <v>0</v>
      </c>
      <c r="JU27">
        <v>0</v>
      </c>
      <c r="JV27">
        <v>0</v>
      </c>
      <c r="JW27">
        <v>2</v>
      </c>
      <c r="JX27" s="1">
        <v>45542.520138888889</v>
      </c>
      <c r="JY27">
        <v>73.900000000000006</v>
      </c>
      <c r="JZ27">
        <v>2.9</v>
      </c>
      <c r="KI27">
        <v>5</v>
      </c>
      <c r="KJ27">
        <v>70.5</v>
      </c>
      <c r="KK27">
        <v>5.0999999999999996</v>
      </c>
      <c r="KL27">
        <v>1</v>
      </c>
      <c r="UM27">
        <v>5</v>
      </c>
      <c r="UN27">
        <v>75.400000000000006</v>
      </c>
      <c r="UO27">
        <v>3.9</v>
      </c>
      <c r="UP27">
        <v>3</v>
      </c>
      <c r="UQ27">
        <v>5</v>
      </c>
      <c r="UR27">
        <v>73.599999999999994</v>
      </c>
      <c r="US27">
        <v>4.2</v>
      </c>
      <c r="UT27">
        <v>2</v>
      </c>
      <c r="WM27" t="s">
        <v>307</v>
      </c>
      <c r="WN27">
        <v>73.900000000000006</v>
      </c>
      <c r="WO27">
        <v>2.9</v>
      </c>
      <c r="WP27">
        <v>4</v>
      </c>
      <c r="YQ27">
        <v>2</v>
      </c>
      <c r="YR27" s="1">
        <v>45542.520833333336</v>
      </c>
      <c r="YS27">
        <v>3</v>
      </c>
      <c r="YT27">
        <v>2</v>
      </c>
      <c r="YU27">
        <v>3</v>
      </c>
      <c r="YV27">
        <v>3</v>
      </c>
      <c r="YW27">
        <v>2</v>
      </c>
      <c r="YX27">
        <v>3</v>
      </c>
      <c r="YY27">
        <v>2</v>
      </c>
      <c r="YZ27">
        <v>1</v>
      </c>
      <c r="ZA27">
        <v>3</v>
      </c>
      <c r="ZB27">
        <v>3</v>
      </c>
      <c r="ZC27">
        <v>3</v>
      </c>
      <c r="ZD27">
        <v>2</v>
      </c>
      <c r="ZE27">
        <v>1</v>
      </c>
      <c r="ZF27">
        <v>3</v>
      </c>
      <c r="ZG27">
        <v>2</v>
      </c>
      <c r="ZH27">
        <v>3</v>
      </c>
      <c r="ZI27">
        <v>3</v>
      </c>
      <c r="ZJ27">
        <v>3</v>
      </c>
      <c r="ZK27">
        <v>2</v>
      </c>
      <c r="ZL27">
        <v>2</v>
      </c>
      <c r="ZM27">
        <v>27</v>
      </c>
      <c r="ZN27">
        <v>22</v>
      </c>
      <c r="ZO27">
        <v>2</v>
      </c>
      <c r="ZP27" s="1">
        <v>45542.521527777775</v>
      </c>
      <c r="ZQ27">
        <v>3</v>
      </c>
      <c r="ZR27">
        <v>1</v>
      </c>
      <c r="ZS27">
        <v>3</v>
      </c>
      <c r="ZT27">
        <v>2</v>
      </c>
      <c r="ZU27">
        <v>0</v>
      </c>
      <c r="ZV27">
        <v>2</v>
      </c>
      <c r="ZW27">
        <v>2</v>
      </c>
      <c r="ZX27">
        <v>1</v>
      </c>
      <c r="ZY27">
        <v>1</v>
      </c>
      <c r="ZZ27">
        <v>1</v>
      </c>
      <c r="AAA27">
        <v>0</v>
      </c>
      <c r="AAB27">
        <v>1</v>
      </c>
      <c r="AAC27">
        <v>2</v>
      </c>
      <c r="AAD27">
        <v>1</v>
      </c>
      <c r="AAE27">
        <v>1</v>
      </c>
      <c r="AAF27">
        <v>2</v>
      </c>
      <c r="AAG27">
        <v>0</v>
      </c>
      <c r="AAH27">
        <v>1</v>
      </c>
      <c r="AAI27">
        <v>12</v>
      </c>
      <c r="AAJ27">
        <v>3</v>
      </c>
      <c r="AAK27">
        <v>9</v>
      </c>
      <c r="AAL27">
        <v>24</v>
      </c>
      <c r="AAM27">
        <v>2</v>
      </c>
      <c r="AAN27" s="1">
        <v>45542.522916666669</v>
      </c>
      <c r="AAO27">
        <v>1</v>
      </c>
      <c r="AAP27">
        <v>4</v>
      </c>
      <c r="AAQ27">
        <v>2</v>
      </c>
      <c r="AAR27">
        <v>4</v>
      </c>
      <c r="AAS27">
        <v>4</v>
      </c>
      <c r="AAT27">
        <v>12</v>
      </c>
      <c r="AAU27">
        <v>3</v>
      </c>
      <c r="AAV27">
        <v>3</v>
      </c>
      <c r="AAW27">
        <v>1</v>
      </c>
      <c r="AAX27">
        <v>1</v>
      </c>
      <c r="AAY27">
        <v>0</v>
      </c>
      <c r="AAZ27">
        <v>3</v>
      </c>
      <c r="ABA27">
        <v>2</v>
      </c>
      <c r="ABB27">
        <v>2</v>
      </c>
      <c r="ABC27">
        <v>4</v>
      </c>
      <c r="ABD27">
        <v>3.5</v>
      </c>
      <c r="ABE27">
        <v>3.5714285710000002</v>
      </c>
      <c r="ABF27">
        <v>2</v>
      </c>
      <c r="ABG27" s="1">
        <v>45542.523611111108</v>
      </c>
      <c r="ABH27">
        <v>0</v>
      </c>
      <c r="ABI27">
        <v>0</v>
      </c>
      <c r="ABJ27">
        <v>0</v>
      </c>
      <c r="ABK27">
        <v>0</v>
      </c>
      <c r="ABL27">
        <v>1</v>
      </c>
      <c r="ABM27">
        <v>1</v>
      </c>
      <c r="ABN27">
        <v>1</v>
      </c>
      <c r="ABO27">
        <v>0</v>
      </c>
      <c r="ABP27">
        <v>0</v>
      </c>
      <c r="ABQ27">
        <v>1</v>
      </c>
      <c r="ABR27">
        <v>1</v>
      </c>
      <c r="ABS27">
        <v>1</v>
      </c>
      <c r="ABT27">
        <v>1</v>
      </c>
      <c r="ABU27">
        <v>1</v>
      </c>
      <c r="ABV27">
        <v>1</v>
      </c>
      <c r="ABW27">
        <v>0</v>
      </c>
      <c r="ABX27">
        <v>0</v>
      </c>
      <c r="ABY27">
        <v>1</v>
      </c>
      <c r="ABZ27">
        <v>1</v>
      </c>
      <c r="ACA27">
        <v>0</v>
      </c>
      <c r="ACB27">
        <v>0</v>
      </c>
      <c r="ACC27">
        <v>0</v>
      </c>
      <c r="ACD27">
        <v>0</v>
      </c>
      <c r="ACE27">
        <v>1</v>
      </c>
      <c r="ACF27">
        <v>0</v>
      </c>
      <c r="ACG27">
        <v>0</v>
      </c>
      <c r="ACH27">
        <v>0</v>
      </c>
      <c r="ACI27">
        <v>0</v>
      </c>
      <c r="ACJ27">
        <v>1</v>
      </c>
      <c r="ACK27">
        <v>1</v>
      </c>
      <c r="ACL27">
        <v>0</v>
      </c>
      <c r="ACM27">
        <v>0</v>
      </c>
      <c r="ACN27">
        <v>0</v>
      </c>
      <c r="ACO27">
        <v>0</v>
      </c>
      <c r="ACP27">
        <v>0</v>
      </c>
      <c r="ACQ27">
        <v>0</v>
      </c>
      <c r="ACR27">
        <v>0</v>
      </c>
      <c r="ACS27">
        <v>0</v>
      </c>
      <c r="ACT27">
        <v>0</v>
      </c>
      <c r="ACU27">
        <v>0</v>
      </c>
      <c r="ACV27">
        <v>0</v>
      </c>
      <c r="ACW27">
        <v>0</v>
      </c>
      <c r="ACX27">
        <v>1</v>
      </c>
      <c r="ACY27">
        <v>0</v>
      </c>
      <c r="ACZ27">
        <v>0</v>
      </c>
      <c r="ADA27">
        <v>1</v>
      </c>
      <c r="ADB27">
        <v>1</v>
      </c>
      <c r="ADC27">
        <v>0</v>
      </c>
      <c r="ADD27">
        <v>0</v>
      </c>
      <c r="ADE27">
        <v>1</v>
      </c>
      <c r="ADF27">
        <v>1</v>
      </c>
      <c r="ADG27">
        <v>1</v>
      </c>
      <c r="ADH27">
        <v>1</v>
      </c>
      <c r="ADI27">
        <v>0</v>
      </c>
      <c r="ADJ27">
        <v>0</v>
      </c>
      <c r="ADK27">
        <v>1</v>
      </c>
      <c r="ADL27">
        <v>1</v>
      </c>
      <c r="ADM27">
        <v>0</v>
      </c>
      <c r="ADN27">
        <v>0</v>
      </c>
      <c r="ADO27">
        <v>0</v>
      </c>
      <c r="ADP27">
        <v>0</v>
      </c>
      <c r="ADQ27">
        <v>1</v>
      </c>
      <c r="ADR27">
        <v>0</v>
      </c>
      <c r="ADS27">
        <v>0</v>
      </c>
      <c r="ADT27">
        <v>0</v>
      </c>
      <c r="ADU27">
        <v>0</v>
      </c>
      <c r="ADV27">
        <v>0</v>
      </c>
      <c r="ADW27">
        <v>0</v>
      </c>
      <c r="ADX27">
        <v>0</v>
      </c>
      <c r="ADY27">
        <v>0</v>
      </c>
      <c r="ADZ27">
        <v>0</v>
      </c>
      <c r="AEA27">
        <v>0</v>
      </c>
      <c r="AEB27">
        <v>0</v>
      </c>
      <c r="AEC27">
        <v>0</v>
      </c>
      <c r="AEE27">
        <v>2</v>
      </c>
      <c r="AEF27" s="1">
        <v>45542.524305555555</v>
      </c>
      <c r="AEG27">
        <v>0</v>
      </c>
      <c r="AEH27">
        <v>0</v>
      </c>
      <c r="AEI27">
        <v>2</v>
      </c>
      <c r="AEJ27">
        <v>1</v>
      </c>
      <c r="AEK27">
        <v>0</v>
      </c>
      <c r="AEL27">
        <v>1</v>
      </c>
      <c r="AEM27">
        <v>0</v>
      </c>
      <c r="AEN27">
        <v>1</v>
      </c>
      <c r="AEO27">
        <v>0</v>
      </c>
      <c r="AEP27">
        <v>1</v>
      </c>
      <c r="AEQ27">
        <v>0</v>
      </c>
      <c r="AER27">
        <v>1</v>
      </c>
      <c r="AES27">
        <v>2</v>
      </c>
      <c r="AET27">
        <v>0</v>
      </c>
      <c r="AEU27">
        <v>1</v>
      </c>
      <c r="AEV27">
        <v>1</v>
      </c>
      <c r="AEW27">
        <v>0</v>
      </c>
      <c r="AEX27">
        <v>1</v>
      </c>
      <c r="AEY27">
        <v>2</v>
      </c>
      <c r="AEZ27">
        <v>1</v>
      </c>
      <c r="AFA27">
        <v>0</v>
      </c>
      <c r="AFB27">
        <v>2</v>
      </c>
      <c r="AFC27">
        <v>1</v>
      </c>
      <c r="AFD27">
        <v>0</v>
      </c>
      <c r="AFE27">
        <v>0</v>
      </c>
      <c r="AFF27">
        <v>1</v>
      </c>
      <c r="AFG27">
        <v>1</v>
      </c>
      <c r="AFH27">
        <v>0</v>
      </c>
      <c r="AFI27">
        <v>0</v>
      </c>
      <c r="AFJ27">
        <v>0</v>
      </c>
      <c r="AFK27">
        <v>4</v>
      </c>
      <c r="AFL27">
        <v>1</v>
      </c>
      <c r="AFM27">
        <v>0</v>
      </c>
      <c r="AFN27">
        <v>9</v>
      </c>
      <c r="AFO27">
        <v>2</v>
      </c>
      <c r="AFP27">
        <v>4</v>
      </c>
      <c r="AFQ27">
        <v>12</v>
      </c>
      <c r="AFR27">
        <v>2</v>
      </c>
      <c r="AFS27" s="1">
        <v>45542.525000000001</v>
      </c>
      <c r="AFT27">
        <v>2</v>
      </c>
      <c r="AFU27">
        <v>2</v>
      </c>
      <c r="AFV27">
        <v>1</v>
      </c>
      <c r="AFW27">
        <v>1</v>
      </c>
      <c r="AFX27">
        <v>2</v>
      </c>
      <c r="AFY27">
        <v>1</v>
      </c>
      <c r="AFZ27">
        <v>1</v>
      </c>
      <c r="AGA27">
        <v>2</v>
      </c>
      <c r="AGB27">
        <v>1</v>
      </c>
      <c r="AGC27">
        <v>2</v>
      </c>
      <c r="AGD27">
        <v>2</v>
      </c>
      <c r="AGE27">
        <v>2</v>
      </c>
      <c r="AGF27">
        <v>2</v>
      </c>
      <c r="AGG27">
        <v>2</v>
      </c>
      <c r="AGH27">
        <v>2</v>
      </c>
      <c r="AGI27">
        <v>3</v>
      </c>
      <c r="AGJ27">
        <v>2</v>
      </c>
      <c r="AGK27">
        <v>1</v>
      </c>
      <c r="AGL27">
        <v>2</v>
      </c>
      <c r="AGM27">
        <v>2</v>
      </c>
      <c r="AGN27">
        <v>43</v>
      </c>
      <c r="AGO27">
        <v>2</v>
      </c>
      <c r="AGP27" s="1">
        <v>45542.525000000001</v>
      </c>
      <c r="AGQ27">
        <v>0</v>
      </c>
      <c r="AGV27">
        <v>0</v>
      </c>
      <c r="AGW27">
        <v>0</v>
      </c>
      <c r="AGX27">
        <v>0</v>
      </c>
      <c r="AGY27">
        <v>0</v>
      </c>
      <c r="AGZ27">
        <v>0</v>
      </c>
      <c r="AHB27">
        <v>2</v>
      </c>
      <c r="AHC27" s="1">
        <v>45542.527083333334</v>
      </c>
      <c r="AHD27" t="s">
        <v>212</v>
      </c>
      <c r="AHE27" t="s">
        <v>212</v>
      </c>
      <c r="AHF27">
        <v>5</v>
      </c>
      <c r="AHG27">
        <v>2</v>
      </c>
      <c r="AHH27">
        <v>4</v>
      </c>
      <c r="AHI27" t="s">
        <v>408</v>
      </c>
      <c r="AHJ27">
        <v>2017</v>
      </c>
      <c r="AHK27" t="s">
        <v>410</v>
      </c>
      <c r="AHL27" t="s">
        <v>212</v>
      </c>
      <c r="AHM27" t="s">
        <v>411</v>
      </c>
      <c r="AHN27">
        <v>2</v>
      </c>
      <c r="AHO27">
        <v>4</v>
      </c>
      <c r="AHP27">
        <v>4</v>
      </c>
      <c r="AHQ27" t="s">
        <v>412</v>
      </c>
      <c r="AHR27" t="s">
        <v>412</v>
      </c>
      <c r="AHS27" t="s">
        <v>210</v>
      </c>
      <c r="AHU27" t="s">
        <v>211</v>
      </c>
    </row>
    <row r="28" spans="1:905">
      <c r="A28">
        <v>177</v>
      </c>
      <c r="B28" t="s">
        <v>205</v>
      </c>
      <c r="C28" t="s">
        <v>413</v>
      </c>
      <c r="D28">
        <v>2</v>
      </c>
      <c r="E28">
        <v>2</v>
      </c>
      <c r="F28">
        <v>40</v>
      </c>
      <c r="G28">
        <v>63</v>
      </c>
      <c r="H28">
        <v>158</v>
      </c>
      <c r="I28">
        <v>0</v>
      </c>
      <c r="J28">
        <v>3</v>
      </c>
      <c r="L28" t="s">
        <v>414</v>
      </c>
      <c r="M28">
        <v>2</v>
      </c>
      <c r="N28" s="1">
        <v>45002.665277777778</v>
      </c>
      <c r="O28">
        <v>7</v>
      </c>
      <c r="P28">
        <v>0</v>
      </c>
      <c r="R28">
        <v>0</v>
      </c>
      <c r="S28">
        <v>0</v>
      </c>
      <c r="T28">
        <v>0</v>
      </c>
      <c r="U28">
        <v>0</v>
      </c>
      <c r="V28">
        <v>0</v>
      </c>
      <c r="W28">
        <v>0</v>
      </c>
      <c r="X28">
        <v>0</v>
      </c>
      <c r="Y28">
        <v>0</v>
      </c>
      <c r="Z28">
        <v>0</v>
      </c>
      <c r="AA28">
        <v>0</v>
      </c>
      <c r="AB28">
        <v>1</v>
      </c>
      <c r="AC28">
        <v>2</v>
      </c>
      <c r="AD28">
        <v>2</v>
      </c>
      <c r="AE28" s="1">
        <v>45002.665972222225</v>
      </c>
      <c r="AF28">
        <v>3</v>
      </c>
      <c r="AG28">
        <v>2</v>
      </c>
      <c r="AH28">
        <v>4</v>
      </c>
      <c r="AI28">
        <v>1</v>
      </c>
      <c r="AJ28">
        <v>1</v>
      </c>
      <c r="AK28">
        <v>3</v>
      </c>
      <c r="AL28">
        <v>3</v>
      </c>
      <c r="AM28">
        <v>1</v>
      </c>
      <c r="AN28">
        <v>1</v>
      </c>
      <c r="AO28">
        <v>4</v>
      </c>
      <c r="AP28">
        <v>1</v>
      </c>
      <c r="AQ28">
        <v>1</v>
      </c>
      <c r="AR28">
        <v>3</v>
      </c>
      <c r="AS28">
        <v>3</v>
      </c>
      <c r="AT28">
        <v>1</v>
      </c>
      <c r="AU28">
        <v>4</v>
      </c>
      <c r="AV28">
        <v>1</v>
      </c>
      <c r="AW28">
        <v>1</v>
      </c>
      <c r="AX28">
        <v>4</v>
      </c>
      <c r="AY28">
        <v>1</v>
      </c>
      <c r="AZ28">
        <v>26</v>
      </c>
      <c r="BA28">
        <v>2</v>
      </c>
      <c r="BB28" s="1">
        <v>45002.667361111111</v>
      </c>
      <c r="BC28">
        <v>11</v>
      </c>
      <c r="BD28">
        <v>6</v>
      </c>
      <c r="BE28">
        <v>1</v>
      </c>
      <c r="BI28" s="2">
        <v>44992</v>
      </c>
      <c r="BM28">
        <v>38</v>
      </c>
      <c r="BN28">
        <v>3</v>
      </c>
      <c r="BO28">
        <v>1</v>
      </c>
      <c r="BY28">
        <v>2</v>
      </c>
      <c r="BZ28" s="1">
        <v>45002.668749999997</v>
      </c>
      <c r="CA28">
        <v>3</v>
      </c>
      <c r="CB28">
        <v>2</v>
      </c>
      <c r="CC28">
        <v>2</v>
      </c>
      <c r="CD28">
        <v>2</v>
      </c>
      <c r="CE28">
        <v>3</v>
      </c>
      <c r="CF28">
        <v>1</v>
      </c>
      <c r="CG28">
        <v>3</v>
      </c>
      <c r="CH28">
        <v>3</v>
      </c>
      <c r="CI28">
        <v>1</v>
      </c>
      <c r="CJ28">
        <v>3</v>
      </c>
      <c r="CK28">
        <v>1</v>
      </c>
      <c r="CL28">
        <v>3</v>
      </c>
      <c r="CM28">
        <v>2</v>
      </c>
      <c r="CN28">
        <v>1</v>
      </c>
      <c r="CO28">
        <v>2</v>
      </c>
      <c r="CP28">
        <v>2</v>
      </c>
      <c r="CQ28">
        <v>1</v>
      </c>
      <c r="CR28">
        <v>2</v>
      </c>
      <c r="CS28">
        <v>1</v>
      </c>
      <c r="CT28">
        <v>2</v>
      </c>
      <c r="CU28">
        <v>5</v>
      </c>
      <c r="CV28">
        <v>7</v>
      </c>
      <c r="CW28">
        <v>12</v>
      </c>
      <c r="CX28">
        <v>24</v>
      </c>
      <c r="CY28">
        <v>18</v>
      </c>
      <c r="CZ28">
        <v>2</v>
      </c>
      <c r="DA28" s="1">
        <v>45002.67083333333</v>
      </c>
      <c r="DB28">
        <v>1</v>
      </c>
      <c r="DC28">
        <v>1</v>
      </c>
      <c r="DD28">
        <v>1</v>
      </c>
      <c r="DE28">
        <v>0</v>
      </c>
      <c r="DF28">
        <v>0</v>
      </c>
      <c r="DG28">
        <v>0</v>
      </c>
      <c r="DH28">
        <v>0</v>
      </c>
      <c r="DI28">
        <v>0</v>
      </c>
      <c r="DJ28">
        <v>0</v>
      </c>
      <c r="DK28">
        <v>1</v>
      </c>
      <c r="DL28">
        <v>1</v>
      </c>
      <c r="DM28">
        <v>1</v>
      </c>
      <c r="DN28">
        <v>1</v>
      </c>
      <c r="DO28">
        <v>0</v>
      </c>
      <c r="DP28">
        <v>0</v>
      </c>
      <c r="DQ28">
        <v>0</v>
      </c>
      <c r="DR28">
        <v>0</v>
      </c>
      <c r="DS28">
        <v>0</v>
      </c>
      <c r="DT28">
        <v>0</v>
      </c>
      <c r="DU28">
        <v>1</v>
      </c>
      <c r="DV28">
        <v>0</v>
      </c>
      <c r="DW28">
        <v>0</v>
      </c>
      <c r="DX28">
        <v>0</v>
      </c>
      <c r="DY28">
        <v>0</v>
      </c>
      <c r="DZ28">
        <v>1</v>
      </c>
      <c r="EA28">
        <v>0</v>
      </c>
      <c r="EB28">
        <v>0</v>
      </c>
      <c r="EC28">
        <v>0</v>
      </c>
      <c r="ED28">
        <v>0</v>
      </c>
      <c r="EE28">
        <v>1</v>
      </c>
      <c r="EF28">
        <v>0</v>
      </c>
      <c r="EG28">
        <v>0</v>
      </c>
      <c r="EH28">
        <v>1</v>
      </c>
      <c r="EI28">
        <v>0</v>
      </c>
      <c r="EJ28">
        <v>0</v>
      </c>
      <c r="EK28">
        <v>0</v>
      </c>
      <c r="EL28">
        <v>0</v>
      </c>
      <c r="EM28">
        <v>0</v>
      </c>
      <c r="EN28">
        <v>0</v>
      </c>
      <c r="EO28">
        <v>1</v>
      </c>
      <c r="EP28">
        <v>0</v>
      </c>
      <c r="EQ28">
        <v>0</v>
      </c>
      <c r="ER28">
        <v>1</v>
      </c>
      <c r="ES28">
        <v>0</v>
      </c>
      <c r="ET28">
        <v>0</v>
      </c>
      <c r="EU28">
        <v>0</v>
      </c>
      <c r="EV28">
        <v>0</v>
      </c>
      <c r="EW28">
        <v>1</v>
      </c>
      <c r="EX28">
        <v>0</v>
      </c>
      <c r="EY28">
        <v>0</v>
      </c>
      <c r="EZ28">
        <v>0</v>
      </c>
      <c r="FA28">
        <v>0</v>
      </c>
      <c r="FB28">
        <v>0</v>
      </c>
      <c r="FC28">
        <v>0</v>
      </c>
      <c r="FD28">
        <v>1</v>
      </c>
      <c r="FE28">
        <v>0</v>
      </c>
      <c r="FF28">
        <v>0</v>
      </c>
      <c r="FG28">
        <v>0</v>
      </c>
      <c r="FH28">
        <v>0</v>
      </c>
      <c r="FI28">
        <v>1</v>
      </c>
      <c r="FJ28">
        <v>0</v>
      </c>
      <c r="FK28">
        <v>0</v>
      </c>
      <c r="FL28">
        <v>1</v>
      </c>
      <c r="FM28">
        <v>0</v>
      </c>
      <c r="FN28">
        <v>0</v>
      </c>
      <c r="FO28">
        <v>0</v>
      </c>
      <c r="FP28">
        <v>0</v>
      </c>
      <c r="FQ28">
        <v>1</v>
      </c>
      <c r="FR28">
        <v>0</v>
      </c>
      <c r="FS28">
        <v>0</v>
      </c>
      <c r="FT28">
        <v>0</v>
      </c>
      <c r="FU28">
        <v>1</v>
      </c>
      <c r="FV28">
        <v>1</v>
      </c>
      <c r="FW28">
        <v>0</v>
      </c>
      <c r="FX28">
        <v>0</v>
      </c>
      <c r="FY28">
        <v>0</v>
      </c>
      <c r="FZ28">
        <v>0</v>
      </c>
      <c r="GA28">
        <v>0</v>
      </c>
      <c r="GB28">
        <v>0</v>
      </c>
      <c r="GC28">
        <v>1</v>
      </c>
      <c r="GD28">
        <v>0</v>
      </c>
      <c r="GE28">
        <v>0</v>
      </c>
      <c r="GF28">
        <v>0</v>
      </c>
      <c r="GG28">
        <v>1</v>
      </c>
      <c r="GH28">
        <v>0</v>
      </c>
      <c r="GI28">
        <v>2</v>
      </c>
      <c r="GJ28" s="1">
        <v>45002.67083333333</v>
      </c>
      <c r="GK28">
        <v>0</v>
      </c>
      <c r="HF28">
        <v>2</v>
      </c>
      <c r="HG28" s="1">
        <v>45002.671527777777</v>
      </c>
      <c r="HH28">
        <v>7</v>
      </c>
      <c r="HI28">
        <v>13</v>
      </c>
      <c r="HJ28">
        <v>10</v>
      </c>
      <c r="HK28">
        <v>2</v>
      </c>
      <c r="HL28" s="1">
        <v>45014.553472222222</v>
      </c>
      <c r="HM28">
        <v>0</v>
      </c>
      <c r="HN28">
        <v>0</v>
      </c>
      <c r="HO28">
        <v>0</v>
      </c>
      <c r="HP28">
        <v>1</v>
      </c>
      <c r="HQ28">
        <v>0</v>
      </c>
      <c r="HR28">
        <v>0</v>
      </c>
      <c r="HS28">
        <v>0</v>
      </c>
      <c r="HT28">
        <v>0</v>
      </c>
      <c r="HU28">
        <v>0</v>
      </c>
      <c r="HV28">
        <v>0</v>
      </c>
      <c r="HW28">
        <v>1</v>
      </c>
      <c r="HX28">
        <v>1</v>
      </c>
      <c r="HY28">
        <v>0</v>
      </c>
      <c r="HZ28">
        <v>0</v>
      </c>
      <c r="IA28">
        <v>1</v>
      </c>
      <c r="IB28">
        <v>0</v>
      </c>
      <c r="IC28">
        <v>0</v>
      </c>
      <c r="ID28">
        <v>0</v>
      </c>
      <c r="IE28">
        <v>1</v>
      </c>
      <c r="IF28">
        <v>0</v>
      </c>
      <c r="IG28">
        <v>0</v>
      </c>
      <c r="IH28">
        <v>5</v>
      </c>
      <c r="II28">
        <v>2</v>
      </c>
      <c r="IJ28" s="1">
        <v>45014.554861111108</v>
      </c>
      <c r="IK28">
        <v>0</v>
      </c>
      <c r="IL28">
        <v>0</v>
      </c>
      <c r="IM28">
        <v>0</v>
      </c>
      <c r="IN28">
        <v>0</v>
      </c>
      <c r="IO28">
        <v>0</v>
      </c>
      <c r="IP28">
        <v>0</v>
      </c>
      <c r="IQ28">
        <v>1</v>
      </c>
      <c r="IR28">
        <v>1</v>
      </c>
      <c r="IS28">
        <v>0</v>
      </c>
      <c r="IT28">
        <v>0</v>
      </c>
      <c r="IU28">
        <v>0</v>
      </c>
      <c r="IV28">
        <v>0</v>
      </c>
      <c r="IW28">
        <v>0</v>
      </c>
      <c r="IX28">
        <v>0</v>
      </c>
      <c r="IY28">
        <v>0</v>
      </c>
      <c r="IZ28">
        <v>0</v>
      </c>
      <c r="JA28">
        <v>0</v>
      </c>
      <c r="JB28">
        <v>0</v>
      </c>
      <c r="JC28">
        <v>0</v>
      </c>
      <c r="JD28">
        <v>0</v>
      </c>
      <c r="JE28" t="s">
        <v>415</v>
      </c>
      <c r="JF28">
        <v>0</v>
      </c>
      <c r="JG28">
        <v>0</v>
      </c>
      <c r="JH28">
        <v>0</v>
      </c>
      <c r="JI28">
        <v>0</v>
      </c>
      <c r="JJ28">
        <v>0</v>
      </c>
      <c r="JK28">
        <v>0</v>
      </c>
      <c r="JL28" t="s">
        <v>227</v>
      </c>
      <c r="JM28" t="s">
        <v>227</v>
      </c>
      <c r="JN28">
        <v>2</v>
      </c>
      <c r="JO28">
        <v>3</v>
      </c>
      <c r="JP28">
        <v>0</v>
      </c>
      <c r="JQ28">
        <v>2</v>
      </c>
      <c r="JR28" s="1">
        <v>45014.554861111108</v>
      </c>
      <c r="JS28">
        <v>0</v>
      </c>
      <c r="JT28">
        <v>0</v>
      </c>
      <c r="JU28">
        <v>0</v>
      </c>
      <c r="JV28">
        <v>0</v>
      </c>
      <c r="JW28">
        <v>2</v>
      </c>
      <c r="JX28" s="1">
        <v>45014.555555555555</v>
      </c>
      <c r="JY28">
        <v>36.200000000000003</v>
      </c>
      <c r="JZ28">
        <v>2.6</v>
      </c>
      <c r="KI28">
        <v>1</v>
      </c>
      <c r="SQ28">
        <v>1</v>
      </c>
      <c r="TW28">
        <v>2</v>
      </c>
      <c r="UI28">
        <v>2</v>
      </c>
      <c r="WQ28">
        <v>1</v>
      </c>
      <c r="XC28">
        <v>1</v>
      </c>
      <c r="YQ28">
        <v>2</v>
      </c>
      <c r="YR28" s="1">
        <v>45014.556250000001</v>
      </c>
      <c r="YS28">
        <v>3</v>
      </c>
      <c r="YT28">
        <v>1</v>
      </c>
      <c r="YU28">
        <v>4</v>
      </c>
      <c r="YV28">
        <v>1</v>
      </c>
      <c r="YW28">
        <v>3</v>
      </c>
      <c r="YX28">
        <v>1</v>
      </c>
      <c r="YY28">
        <v>1</v>
      </c>
      <c r="YZ28">
        <v>1</v>
      </c>
      <c r="ZA28">
        <v>3</v>
      </c>
      <c r="ZB28">
        <v>5</v>
      </c>
      <c r="ZC28">
        <v>1</v>
      </c>
      <c r="ZD28">
        <v>3</v>
      </c>
      <c r="ZE28">
        <v>1</v>
      </c>
      <c r="ZF28">
        <v>3</v>
      </c>
      <c r="ZG28">
        <v>1</v>
      </c>
      <c r="ZH28">
        <v>3</v>
      </c>
      <c r="ZI28">
        <v>2</v>
      </c>
      <c r="ZJ28">
        <v>1</v>
      </c>
      <c r="ZK28">
        <v>2</v>
      </c>
      <c r="ZL28">
        <v>1</v>
      </c>
      <c r="ZM28">
        <v>31</v>
      </c>
      <c r="ZN28">
        <v>10</v>
      </c>
      <c r="ZO28">
        <v>2</v>
      </c>
      <c r="ZP28" s="1">
        <v>45014.556944444441</v>
      </c>
      <c r="ZQ28">
        <v>0</v>
      </c>
      <c r="ZR28">
        <v>0</v>
      </c>
      <c r="ZS28">
        <v>0</v>
      </c>
      <c r="ZT28">
        <v>0</v>
      </c>
      <c r="ZU28">
        <v>0</v>
      </c>
      <c r="ZV28">
        <v>1</v>
      </c>
      <c r="ZW28">
        <v>0</v>
      </c>
      <c r="ZX28">
        <v>0</v>
      </c>
      <c r="ZY28">
        <v>0</v>
      </c>
      <c r="ZZ28">
        <v>0</v>
      </c>
      <c r="AAA28">
        <v>0</v>
      </c>
      <c r="AAB28">
        <v>0</v>
      </c>
      <c r="AAC28">
        <v>0</v>
      </c>
      <c r="AAD28">
        <v>0</v>
      </c>
      <c r="AAE28">
        <v>0</v>
      </c>
      <c r="AAF28">
        <v>0</v>
      </c>
      <c r="AAG28">
        <v>0</v>
      </c>
      <c r="AAH28">
        <v>0</v>
      </c>
      <c r="AAI28">
        <v>0</v>
      </c>
      <c r="AAJ28">
        <v>0</v>
      </c>
      <c r="AAK28">
        <v>1</v>
      </c>
      <c r="AAL28">
        <v>1</v>
      </c>
      <c r="AAM28">
        <v>2</v>
      </c>
      <c r="AAN28" s="1">
        <v>45014.557638888888</v>
      </c>
      <c r="AAO28">
        <v>0</v>
      </c>
      <c r="ABF28">
        <v>2</v>
      </c>
      <c r="ABG28" s="1">
        <v>45014.558333333334</v>
      </c>
      <c r="AEG28">
        <v>0</v>
      </c>
      <c r="AEH28">
        <v>0</v>
      </c>
      <c r="AEI28">
        <v>1</v>
      </c>
      <c r="AEJ28">
        <v>2</v>
      </c>
      <c r="AEK28">
        <v>0</v>
      </c>
      <c r="AEL28">
        <v>0</v>
      </c>
      <c r="AEM28">
        <v>0</v>
      </c>
      <c r="AEN28">
        <v>1</v>
      </c>
      <c r="AEO28">
        <v>0</v>
      </c>
      <c r="AEP28">
        <v>2</v>
      </c>
      <c r="AEQ28">
        <v>0</v>
      </c>
      <c r="AER28">
        <v>1</v>
      </c>
      <c r="AES28">
        <v>0</v>
      </c>
      <c r="AET28">
        <v>0</v>
      </c>
      <c r="AEU28">
        <v>0</v>
      </c>
      <c r="AEV28">
        <v>0</v>
      </c>
      <c r="AEW28">
        <v>0</v>
      </c>
      <c r="AEX28">
        <v>0</v>
      </c>
      <c r="AEY28">
        <v>0</v>
      </c>
      <c r="AEZ28">
        <v>1</v>
      </c>
      <c r="AFA28">
        <v>0</v>
      </c>
      <c r="AFB28">
        <v>0</v>
      </c>
      <c r="AFC28">
        <v>1</v>
      </c>
      <c r="AFD28">
        <v>0</v>
      </c>
      <c r="AFE28">
        <v>0</v>
      </c>
      <c r="AFF28">
        <v>2</v>
      </c>
      <c r="AFG28">
        <v>1</v>
      </c>
      <c r="AFH28">
        <v>0</v>
      </c>
      <c r="AFI28">
        <v>0</v>
      </c>
      <c r="AFJ28">
        <v>1</v>
      </c>
      <c r="AFK28">
        <v>2</v>
      </c>
      <c r="AFL28">
        <v>0</v>
      </c>
      <c r="AFM28">
        <v>0</v>
      </c>
      <c r="AFN28">
        <v>2</v>
      </c>
      <c r="AFO28">
        <v>2</v>
      </c>
      <c r="AFP28">
        <v>7</v>
      </c>
      <c r="AFQ28">
        <v>-1</v>
      </c>
      <c r="AFR28">
        <v>2</v>
      </c>
      <c r="AFS28" s="1">
        <v>45014.559027777781</v>
      </c>
      <c r="AFT28">
        <v>4</v>
      </c>
      <c r="AFU28">
        <v>4</v>
      </c>
      <c r="AFV28">
        <v>1</v>
      </c>
      <c r="AFW28">
        <v>2</v>
      </c>
      <c r="AFX28">
        <v>3</v>
      </c>
      <c r="AFY28">
        <v>1</v>
      </c>
      <c r="AFZ28">
        <v>1</v>
      </c>
      <c r="AGA28">
        <v>4</v>
      </c>
      <c r="AGB28">
        <v>1</v>
      </c>
      <c r="AGC28">
        <v>4</v>
      </c>
      <c r="AGD28">
        <v>3</v>
      </c>
      <c r="AGE28">
        <v>1</v>
      </c>
      <c r="AGF28">
        <v>1</v>
      </c>
      <c r="AGG28">
        <v>1</v>
      </c>
      <c r="AGH28">
        <v>4</v>
      </c>
      <c r="AGI28">
        <v>4</v>
      </c>
      <c r="AGJ28">
        <v>2</v>
      </c>
      <c r="AGK28">
        <v>1</v>
      </c>
      <c r="AGL28">
        <v>4</v>
      </c>
      <c r="AGM28">
        <v>3</v>
      </c>
      <c r="AGN28">
        <v>25</v>
      </c>
      <c r="AGO28">
        <v>2</v>
      </c>
      <c r="AGP28" s="1">
        <v>45014.559027777781</v>
      </c>
      <c r="AGQ28">
        <v>0</v>
      </c>
      <c r="AGV28">
        <v>0</v>
      </c>
      <c r="AGW28">
        <v>0</v>
      </c>
      <c r="AGX28">
        <v>0</v>
      </c>
      <c r="AGY28">
        <v>0</v>
      </c>
      <c r="AGZ28">
        <v>0</v>
      </c>
      <c r="AHB28">
        <v>2</v>
      </c>
      <c r="AHU28" t="s">
        <v>416</v>
      </c>
    </row>
    <row r="29" spans="1:905">
      <c r="A29">
        <v>179</v>
      </c>
      <c r="B29" t="s">
        <v>205</v>
      </c>
      <c r="C29" t="s">
        <v>417</v>
      </c>
      <c r="D29">
        <v>2</v>
      </c>
      <c r="E29">
        <v>2</v>
      </c>
      <c r="F29">
        <v>23</v>
      </c>
      <c r="G29">
        <v>62</v>
      </c>
      <c r="H29">
        <v>95</v>
      </c>
      <c r="I29">
        <v>0</v>
      </c>
      <c r="J29">
        <v>2</v>
      </c>
      <c r="L29" t="s">
        <v>383</v>
      </c>
      <c r="M29">
        <v>2</v>
      </c>
      <c r="N29" s="1">
        <v>45045.897222222222</v>
      </c>
      <c r="O29">
        <v>7</v>
      </c>
      <c r="P29">
        <v>0</v>
      </c>
      <c r="R29">
        <v>0</v>
      </c>
      <c r="S29">
        <v>0</v>
      </c>
      <c r="T29">
        <v>0</v>
      </c>
      <c r="U29">
        <v>1</v>
      </c>
      <c r="V29">
        <v>0</v>
      </c>
      <c r="W29">
        <v>0</v>
      </c>
      <c r="X29">
        <v>0</v>
      </c>
      <c r="Y29">
        <v>0</v>
      </c>
      <c r="Z29">
        <v>0</v>
      </c>
      <c r="AA29">
        <v>0</v>
      </c>
      <c r="AB29">
        <v>0</v>
      </c>
      <c r="AC29">
        <v>1</v>
      </c>
      <c r="AD29">
        <v>2</v>
      </c>
      <c r="AE29" s="1">
        <v>45045.897916666669</v>
      </c>
      <c r="AF29">
        <v>4</v>
      </c>
      <c r="AG29">
        <v>2</v>
      </c>
      <c r="AH29">
        <v>4</v>
      </c>
      <c r="AI29">
        <v>1</v>
      </c>
      <c r="AJ29">
        <v>1</v>
      </c>
      <c r="AK29">
        <v>3</v>
      </c>
      <c r="AL29">
        <v>4</v>
      </c>
      <c r="AM29">
        <v>2</v>
      </c>
      <c r="AN29">
        <v>2</v>
      </c>
      <c r="AO29">
        <v>4</v>
      </c>
      <c r="AP29">
        <v>1</v>
      </c>
      <c r="AQ29">
        <v>2</v>
      </c>
      <c r="AR29">
        <v>4</v>
      </c>
      <c r="AS29">
        <v>4</v>
      </c>
      <c r="AT29">
        <v>1</v>
      </c>
      <c r="AU29">
        <v>4</v>
      </c>
      <c r="AV29">
        <v>2</v>
      </c>
      <c r="AW29">
        <v>2</v>
      </c>
      <c r="AX29">
        <v>4</v>
      </c>
      <c r="AY29">
        <v>2</v>
      </c>
      <c r="AZ29">
        <v>28</v>
      </c>
      <c r="BA29">
        <v>2</v>
      </c>
      <c r="BB29" s="1">
        <v>45045.898611111108</v>
      </c>
      <c r="BC29">
        <v>13</v>
      </c>
      <c r="BD29">
        <v>3</v>
      </c>
      <c r="BE29">
        <v>1</v>
      </c>
      <c r="BI29" s="2">
        <v>45037</v>
      </c>
      <c r="BM29">
        <v>30</v>
      </c>
      <c r="BN29">
        <v>6</v>
      </c>
      <c r="BO29">
        <v>1</v>
      </c>
      <c r="BY29">
        <v>2</v>
      </c>
      <c r="BZ29" s="1">
        <v>45045.9</v>
      </c>
      <c r="CA29">
        <v>4</v>
      </c>
      <c r="CB29">
        <v>1</v>
      </c>
      <c r="CC29">
        <v>4</v>
      </c>
      <c r="CD29">
        <v>3</v>
      </c>
      <c r="CE29">
        <v>4</v>
      </c>
      <c r="CF29">
        <v>4</v>
      </c>
      <c r="CG29">
        <v>3</v>
      </c>
      <c r="CH29">
        <v>4</v>
      </c>
      <c r="CI29">
        <v>3</v>
      </c>
      <c r="CJ29">
        <v>4</v>
      </c>
      <c r="CK29">
        <v>2</v>
      </c>
      <c r="CL29">
        <v>4</v>
      </c>
      <c r="CM29">
        <v>1</v>
      </c>
      <c r="CN29">
        <v>3</v>
      </c>
      <c r="CO29">
        <v>3</v>
      </c>
      <c r="CP29">
        <v>3</v>
      </c>
      <c r="CQ29">
        <v>1</v>
      </c>
      <c r="CR29">
        <v>2</v>
      </c>
      <c r="CS29">
        <v>3</v>
      </c>
      <c r="CT29">
        <v>3</v>
      </c>
      <c r="CU29">
        <v>12</v>
      </c>
      <c r="CV29">
        <v>12</v>
      </c>
      <c r="CW29">
        <v>18</v>
      </c>
      <c r="CX29">
        <v>42</v>
      </c>
      <c r="CY29">
        <v>21</v>
      </c>
      <c r="CZ29">
        <v>2</v>
      </c>
      <c r="DA29" s="1">
        <v>45045.901388888888</v>
      </c>
      <c r="DB29">
        <v>0</v>
      </c>
      <c r="DC29">
        <v>0</v>
      </c>
      <c r="DD29">
        <v>0</v>
      </c>
      <c r="DE29">
        <v>0</v>
      </c>
      <c r="DF29">
        <v>1</v>
      </c>
      <c r="DG29">
        <v>0</v>
      </c>
      <c r="DH29">
        <v>0</v>
      </c>
      <c r="DI29">
        <v>0</v>
      </c>
      <c r="DJ29">
        <v>0</v>
      </c>
      <c r="DK29">
        <v>1</v>
      </c>
      <c r="DL29">
        <v>0</v>
      </c>
      <c r="DM29">
        <v>0</v>
      </c>
      <c r="DN29">
        <v>1</v>
      </c>
      <c r="DO29">
        <v>0</v>
      </c>
      <c r="DP29">
        <v>0</v>
      </c>
      <c r="DQ29">
        <v>0</v>
      </c>
      <c r="DR29">
        <v>0</v>
      </c>
      <c r="DS29">
        <v>0</v>
      </c>
      <c r="DT29">
        <v>0</v>
      </c>
      <c r="DU29">
        <v>1</v>
      </c>
      <c r="DV29">
        <v>0</v>
      </c>
      <c r="DW29">
        <v>0</v>
      </c>
      <c r="DX29">
        <v>0</v>
      </c>
      <c r="DY29">
        <v>0</v>
      </c>
      <c r="DZ29">
        <v>1</v>
      </c>
      <c r="EA29">
        <v>0</v>
      </c>
      <c r="EB29">
        <v>0</v>
      </c>
      <c r="EC29">
        <v>0</v>
      </c>
      <c r="ED29">
        <v>0</v>
      </c>
      <c r="EE29">
        <v>1</v>
      </c>
      <c r="EF29">
        <v>0</v>
      </c>
      <c r="EG29">
        <v>0</v>
      </c>
      <c r="EH29">
        <v>0</v>
      </c>
      <c r="EI29">
        <v>0</v>
      </c>
      <c r="EJ29">
        <v>1</v>
      </c>
      <c r="EK29">
        <v>0</v>
      </c>
      <c r="EL29">
        <v>0</v>
      </c>
      <c r="EM29">
        <v>0</v>
      </c>
      <c r="EN29">
        <v>0</v>
      </c>
      <c r="EO29">
        <v>1</v>
      </c>
      <c r="EP29">
        <v>0</v>
      </c>
      <c r="EQ29">
        <v>0</v>
      </c>
      <c r="ER29">
        <v>0</v>
      </c>
      <c r="ES29">
        <v>0</v>
      </c>
      <c r="ET29">
        <v>1</v>
      </c>
      <c r="EU29">
        <v>0</v>
      </c>
      <c r="EV29">
        <v>0</v>
      </c>
      <c r="EW29">
        <v>0</v>
      </c>
      <c r="EX29">
        <v>0</v>
      </c>
      <c r="EY29">
        <v>1</v>
      </c>
      <c r="EZ29">
        <v>0</v>
      </c>
      <c r="FA29">
        <v>0</v>
      </c>
      <c r="FB29">
        <v>0</v>
      </c>
      <c r="FC29">
        <v>0</v>
      </c>
      <c r="FD29">
        <v>1</v>
      </c>
      <c r="FE29">
        <v>0</v>
      </c>
      <c r="FF29">
        <v>1</v>
      </c>
      <c r="FG29">
        <v>0</v>
      </c>
      <c r="FH29">
        <v>0</v>
      </c>
      <c r="FI29">
        <v>0</v>
      </c>
      <c r="FJ29">
        <v>0</v>
      </c>
      <c r="FK29">
        <v>0</v>
      </c>
      <c r="FL29">
        <v>0</v>
      </c>
      <c r="FM29">
        <v>0</v>
      </c>
      <c r="FN29">
        <v>1</v>
      </c>
      <c r="FO29">
        <v>0</v>
      </c>
      <c r="FP29">
        <v>0</v>
      </c>
      <c r="FQ29">
        <v>0</v>
      </c>
      <c r="FR29">
        <v>0</v>
      </c>
      <c r="FS29">
        <v>1</v>
      </c>
      <c r="FT29">
        <v>0</v>
      </c>
      <c r="FU29">
        <v>0</v>
      </c>
      <c r="FV29">
        <v>1</v>
      </c>
      <c r="FW29">
        <v>0</v>
      </c>
      <c r="FX29">
        <v>0</v>
      </c>
      <c r="FY29">
        <v>0</v>
      </c>
      <c r="FZ29">
        <v>0</v>
      </c>
      <c r="GA29">
        <v>0</v>
      </c>
      <c r="GB29">
        <v>0</v>
      </c>
      <c r="GC29">
        <v>1</v>
      </c>
      <c r="GD29">
        <v>0</v>
      </c>
      <c r="GE29">
        <v>0</v>
      </c>
      <c r="GF29">
        <v>0</v>
      </c>
      <c r="GG29">
        <v>0</v>
      </c>
      <c r="GH29">
        <v>1</v>
      </c>
      <c r="GI29">
        <v>2</v>
      </c>
      <c r="GJ29" s="1">
        <v>45045.901388888888</v>
      </c>
      <c r="GK29">
        <v>0</v>
      </c>
      <c r="HF29">
        <v>2</v>
      </c>
      <c r="HG29" s="1">
        <v>45045.902083333334</v>
      </c>
      <c r="HH29">
        <v>7</v>
      </c>
      <c r="HI29">
        <v>2</v>
      </c>
      <c r="HJ29">
        <v>1</v>
      </c>
      <c r="HK29">
        <v>2</v>
      </c>
      <c r="HL29" s="1">
        <v>45059.444444444445</v>
      </c>
      <c r="HM29">
        <v>0</v>
      </c>
      <c r="HN29">
        <v>0</v>
      </c>
      <c r="HO29">
        <v>0</v>
      </c>
      <c r="HP29">
        <v>0</v>
      </c>
      <c r="HQ29">
        <v>0</v>
      </c>
      <c r="HR29">
        <v>0</v>
      </c>
      <c r="HS29">
        <v>0</v>
      </c>
      <c r="HT29">
        <v>0</v>
      </c>
      <c r="HU29">
        <v>0</v>
      </c>
      <c r="HV29">
        <v>0</v>
      </c>
      <c r="HW29">
        <v>0</v>
      </c>
      <c r="HX29">
        <v>0</v>
      </c>
      <c r="HY29">
        <v>0</v>
      </c>
      <c r="HZ29">
        <v>0</v>
      </c>
      <c r="IA29">
        <v>0</v>
      </c>
      <c r="IB29">
        <v>0</v>
      </c>
      <c r="IC29">
        <v>0</v>
      </c>
      <c r="ID29">
        <v>0</v>
      </c>
      <c r="IE29">
        <v>0</v>
      </c>
      <c r="IF29">
        <v>0</v>
      </c>
      <c r="IG29">
        <v>0</v>
      </c>
      <c r="IH29">
        <v>0</v>
      </c>
      <c r="II29">
        <v>2</v>
      </c>
      <c r="IJ29" s="1">
        <v>45059.445138888892</v>
      </c>
      <c r="IK29">
        <v>0</v>
      </c>
      <c r="IL29">
        <v>0</v>
      </c>
      <c r="IM29">
        <v>0</v>
      </c>
      <c r="IN29">
        <v>0</v>
      </c>
      <c r="IO29">
        <v>0</v>
      </c>
      <c r="IP29">
        <v>0</v>
      </c>
      <c r="IQ29">
        <v>0</v>
      </c>
      <c r="IR29">
        <v>0</v>
      </c>
      <c r="IS29">
        <v>0</v>
      </c>
      <c r="IT29">
        <v>0</v>
      </c>
      <c r="IU29">
        <v>0</v>
      </c>
      <c r="IV29">
        <v>0</v>
      </c>
      <c r="IW29">
        <v>0</v>
      </c>
      <c r="IX29">
        <v>0</v>
      </c>
      <c r="IY29">
        <v>0</v>
      </c>
      <c r="IZ29">
        <v>0</v>
      </c>
      <c r="JA29">
        <v>0</v>
      </c>
      <c r="JB29">
        <v>0</v>
      </c>
      <c r="JC29">
        <v>0</v>
      </c>
      <c r="JD29">
        <v>1</v>
      </c>
      <c r="JN29">
        <v>0</v>
      </c>
      <c r="JQ29">
        <v>2</v>
      </c>
      <c r="JR29" s="1">
        <v>45059.445138888892</v>
      </c>
      <c r="JS29">
        <v>0</v>
      </c>
      <c r="JT29">
        <v>0</v>
      </c>
      <c r="JU29">
        <v>0</v>
      </c>
      <c r="JV29">
        <v>0</v>
      </c>
      <c r="JW29">
        <v>2</v>
      </c>
      <c r="JX29" s="1">
        <v>45059.445138888892</v>
      </c>
      <c r="JY29">
        <v>50.7</v>
      </c>
      <c r="JZ29">
        <v>2.2999999999999998</v>
      </c>
      <c r="KI29">
        <v>3</v>
      </c>
      <c r="UA29">
        <v>2</v>
      </c>
      <c r="WQ29">
        <v>2</v>
      </c>
      <c r="XG29">
        <v>2</v>
      </c>
      <c r="YQ29">
        <v>2</v>
      </c>
      <c r="YR29" s="1">
        <v>45059.446527777778</v>
      </c>
      <c r="YS29">
        <v>3</v>
      </c>
      <c r="YT29">
        <v>1</v>
      </c>
      <c r="YU29">
        <v>3</v>
      </c>
      <c r="YV29">
        <v>1</v>
      </c>
      <c r="YW29">
        <v>3</v>
      </c>
      <c r="YX29">
        <v>1</v>
      </c>
      <c r="YY29">
        <v>1</v>
      </c>
      <c r="YZ29">
        <v>1</v>
      </c>
      <c r="ZA29">
        <v>3</v>
      </c>
      <c r="ZB29">
        <v>3</v>
      </c>
      <c r="ZC29">
        <v>1</v>
      </c>
      <c r="ZD29">
        <v>2</v>
      </c>
      <c r="ZE29">
        <v>1</v>
      </c>
      <c r="ZF29">
        <v>3</v>
      </c>
      <c r="ZG29">
        <v>2</v>
      </c>
      <c r="ZH29">
        <v>3</v>
      </c>
      <c r="ZI29">
        <v>4</v>
      </c>
      <c r="ZJ29">
        <v>1</v>
      </c>
      <c r="ZK29">
        <v>3</v>
      </c>
      <c r="ZL29">
        <v>1</v>
      </c>
      <c r="ZM29">
        <v>30</v>
      </c>
      <c r="ZN29">
        <v>11</v>
      </c>
      <c r="ZO29">
        <v>2</v>
      </c>
      <c r="ZP29" s="1">
        <v>45059.446527777778</v>
      </c>
      <c r="ZQ29">
        <v>0</v>
      </c>
      <c r="ZR29">
        <v>0</v>
      </c>
      <c r="ZS29">
        <v>0</v>
      </c>
      <c r="ZT29">
        <v>0</v>
      </c>
      <c r="ZU29">
        <v>1</v>
      </c>
      <c r="ZV29">
        <v>0</v>
      </c>
      <c r="ZW29">
        <v>1</v>
      </c>
      <c r="ZX29">
        <v>0</v>
      </c>
      <c r="ZY29">
        <v>0</v>
      </c>
      <c r="ZZ29">
        <v>0</v>
      </c>
      <c r="AAA29">
        <v>0</v>
      </c>
      <c r="AAB29">
        <v>0</v>
      </c>
      <c r="AAC29">
        <v>0</v>
      </c>
      <c r="AAD29">
        <v>0</v>
      </c>
      <c r="AAE29">
        <v>0</v>
      </c>
      <c r="AAF29">
        <v>0</v>
      </c>
      <c r="AAG29">
        <v>0</v>
      </c>
      <c r="AAH29">
        <v>0</v>
      </c>
      <c r="AAI29">
        <v>1</v>
      </c>
      <c r="AAJ29">
        <v>1</v>
      </c>
      <c r="AAK29">
        <v>0</v>
      </c>
      <c r="AAL29">
        <v>2</v>
      </c>
      <c r="AAM29">
        <v>2</v>
      </c>
      <c r="AAN29" s="1">
        <v>45059.447222222225</v>
      </c>
      <c r="AAO29">
        <v>0</v>
      </c>
      <c r="ABF29">
        <v>2</v>
      </c>
      <c r="ABG29" s="1">
        <v>45059.447222222225</v>
      </c>
      <c r="AEG29">
        <v>0</v>
      </c>
      <c r="AEH29">
        <v>0</v>
      </c>
      <c r="AEI29">
        <v>0</v>
      </c>
      <c r="AEJ29">
        <v>3</v>
      </c>
      <c r="AEK29">
        <v>0</v>
      </c>
      <c r="AEL29">
        <v>0</v>
      </c>
      <c r="AEM29">
        <v>0</v>
      </c>
      <c r="AEN29">
        <v>2</v>
      </c>
      <c r="AEO29">
        <v>0</v>
      </c>
      <c r="AEP29">
        <v>2</v>
      </c>
      <c r="AEQ29">
        <v>0</v>
      </c>
      <c r="AER29">
        <v>0</v>
      </c>
      <c r="AES29">
        <v>0</v>
      </c>
      <c r="AET29">
        <v>0</v>
      </c>
      <c r="AEU29">
        <v>0</v>
      </c>
      <c r="AEV29">
        <v>0</v>
      </c>
      <c r="AEW29">
        <v>0</v>
      </c>
      <c r="AEX29">
        <v>0</v>
      </c>
      <c r="AEY29">
        <v>0</v>
      </c>
      <c r="AEZ29">
        <v>0</v>
      </c>
      <c r="AFA29">
        <v>0</v>
      </c>
      <c r="AFB29">
        <v>0</v>
      </c>
      <c r="AFC29">
        <v>0</v>
      </c>
      <c r="AFD29">
        <v>0</v>
      </c>
      <c r="AFE29">
        <v>0</v>
      </c>
      <c r="AFF29">
        <v>3</v>
      </c>
      <c r="AFG29">
        <v>2</v>
      </c>
      <c r="AFH29">
        <v>0</v>
      </c>
      <c r="AFI29">
        <v>0</v>
      </c>
      <c r="AFJ29">
        <v>2</v>
      </c>
      <c r="AFK29">
        <v>0</v>
      </c>
      <c r="AFL29">
        <v>0</v>
      </c>
      <c r="AFM29">
        <v>0</v>
      </c>
      <c r="AFN29">
        <v>0</v>
      </c>
      <c r="AFO29">
        <v>3</v>
      </c>
      <c r="AFP29">
        <v>11</v>
      </c>
      <c r="AFQ29">
        <v>-8</v>
      </c>
      <c r="AFR29">
        <v>2</v>
      </c>
      <c r="AFS29" s="1">
        <v>45059.447916666664</v>
      </c>
      <c r="AFT29">
        <v>4</v>
      </c>
      <c r="AFU29">
        <v>4</v>
      </c>
      <c r="AFV29">
        <v>1</v>
      </c>
      <c r="AFW29">
        <v>1</v>
      </c>
      <c r="AFX29">
        <v>4</v>
      </c>
      <c r="AFY29">
        <v>1</v>
      </c>
      <c r="AFZ29">
        <v>1</v>
      </c>
      <c r="AGA29">
        <v>4</v>
      </c>
      <c r="AGB29">
        <v>1</v>
      </c>
      <c r="AGC29">
        <v>4</v>
      </c>
      <c r="AGD29">
        <v>4</v>
      </c>
      <c r="AGE29">
        <v>1</v>
      </c>
      <c r="AGF29">
        <v>1</v>
      </c>
      <c r="AGG29">
        <v>1</v>
      </c>
      <c r="AGH29">
        <v>4</v>
      </c>
      <c r="AGI29">
        <v>4</v>
      </c>
      <c r="AGJ29">
        <v>1</v>
      </c>
      <c r="AGK29">
        <v>1</v>
      </c>
      <c r="AGL29">
        <v>4</v>
      </c>
      <c r="AGM29">
        <v>4</v>
      </c>
      <c r="AGN29">
        <v>20</v>
      </c>
      <c r="AGO29">
        <v>2</v>
      </c>
      <c r="AGP29" s="1">
        <v>45059.447916666664</v>
      </c>
      <c r="AGQ29">
        <v>0</v>
      </c>
      <c r="AGV29">
        <v>0</v>
      </c>
      <c r="AGW29">
        <v>0</v>
      </c>
      <c r="AGX29">
        <v>0</v>
      </c>
      <c r="AGY29">
        <v>0</v>
      </c>
      <c r="AGZ29">
        <v>0</v>
      </c>
      <c r="AHB29">
        <v>2</v>
      </c>
      <c r="AHU29" t="s">
        <v>416</v>
      </c>
    </row>
    <row r="30" spans="1:905">
      <c r="A30">
        <v>182</v>
      </c>
      <c r="B30" t="s">
        <v>205</v>
      </c>
      <c r="C30" t="s">
        <v>418</v>
      </c>
      <c r="D30">
        <v>2</v>
      </c>
      <c r="E30">
        <v>2</v>
      </c>
      <c r="F30">
        <v>24</v>
      </c>
      <c r="G30">
        <v>65</v>
      </c>
      <c r="H30">
        <v>185</v>
      </c>
      <c r="I30">
        <v>0</v>
      </c>
      <c r="J30">
        <v>3</v>
      </c>
      <c r="L30" t="s">
        <v>419</v>
      </c>
      <c r="M30">
        <v>2</v>
      </c>
      <c r="N30" s="1">
        <v>45026.526388888888</v>
      </c>
      <c r="O30">
        <v>6</v>
      </c>
      <c r="P30">
        <v>0</v>
      </c>
      <c r="R30">
        <v>0</v>
      </c>
      <c r="S30">
        <v>1</v>
      </c>
      <c r="T30">
        <v>1</v>
      </c>
      <c r="U30">
        <v>0</v>
      </c>
      <c r="V30">
        <v>0</v>
      </c>
      <c r="W30">
        <v>0</v>
      </c>
      <c r="X30">
        <v>0</v>
      </c>
      <c r="Y30">
        <v>0</v>
      </c>
      <c r="Z30">
        <v>0</v>
      </c>
      <c r="AA30">
        <v>0</v>
      </c>
      <c r="AB30">
        <v>0</v>
      </c>
      <c r="AC30">
        <v>2</v>
      </c>
      <c r="AD30">
        <v>2</v>
      </c>
      <c r="AE30" s="1">
        <v>45026.527083333334</v>
      </c>
      <c r="AF30">
        <v>4</v>
      </c>
      <c r="AG30">
        <v>1</v>
      </c>
      <c r="AH30">
        <v>4</v>
      </c>
      <c r="AI30">
        <v>1</v>
      </c>
      <c r="AJ30">
        <v>1</v>
      </c>
      <c r="AK30">
        <v>4</v>
      </c>
      <c r="AL30">
        <v>4</v>
      </c>
      <c r="AM30">
        <v>1</v>
      </c>
      <c r="AN30">
        <v>2</v>
      </c>
      <c r="AO30">
        <v>4</v>
      </c>
      <c r="AP30">
        <v>1</v>
      </c>
      <c r="AQ30">
        <v>1</v>
      </c>
      <c r="AR30">
        <v>4</v>
      </c>
      <c r="AS30">
        <v>4</v>
      </c>
      <c r="AT30">
        <v>1</v>
      </c>
      <c r="AU30">
        <v>4</v>
      </c>
      <c r="AV30">
        <v>2</v>
      </c>
      <c r="AW30">
        <v>1</v>
      </c>
      <c r="AX30">
        <v>4</v>
      </c>
      <c r="AY30">
        <v>1</v>
      </c>
      <c r="AZ30">
        <v>22</v>
      </c>
      <c r="BA30">
        <v>2</v>
      </c>
      <c r="BB30" s="1">
        <v>45026.527777777781</v>
      </c>
      <c r="BC30">
        <v>11</v>
      </c>
      <c r="BD30">
        <v>2</v>
      </c>
      <c r="BE30">
        <v>1</v>
      </c>
      <c r="BI30" s="2">
        <v>44997</v>
      </c>
      <c r="BM30">
        <v>30</v>
      </c>
      <c r="BN30">
        <v>3</v>
      </c>
      <c r="BO30">
        <v>2</v>
      </c>
      <c r="BY30">
        <v>2</v>
      </c>
      <c r="BZ30" s="1">
        <v>45026.52847222222</v>
      </c>
      <c r="CA30">
        <v>4</v>
      </c>
      <c r="CB30">
        <v>2</v>
      </c>
      <c r="CC30">
        <v>4</v>
      </c>
      <c r="CD30">
        <v>2</v>
      </c>
      <c r="CE30">
        <v>4</v>
      </c>
      <c r="CF30">
        <v>3</v>
      </c>
      <c r="CG30">
        <v>3</v>
      </c>
      <c r="CH30">
        <v>4</v>
      </c>
      <c r="CI30">
        <v>4</v>
      </c>
      <c r="CJ30">
        <v>4</v>
      </c>
      <c r="CK30">
        <v>3</v>
      </c>
      <c r="CL30">
        <v>4</v>
      </c>
      <c r="CM30">
        <v>1</v>
      </c>
      <c r="CN30">
        <v>3</v>
      </c>
      <c r="CO30">
        <v>3</v>
      </c>
      <c r="CP30">
        <v>3</v>
      </c>
      <c r="CQ30">
        <v>2</v>
      </c>
      <c r="CR30">
        <v>1</v>
      </c>
      <c r="CS30">
        <v>4</v>
      </c>
      <c r="CT30">
        <v>4</v>
      </c>
      <c r="CU30">
        <v>12</v>
      </c>
      <c r="CV30">
        <v>14</v>
      </c>
      <c r="CW30">
        <v>20</v>
      </c>
      <c r="CX30">
        <v>46</v>
      </c>
      <c r="CY30">
        <v>22</v>
      </c>
      <c r="CZ30">
        <v>2</v>
      </c>
      <c r="DA30" s="1">
        <v>45026.530555555553</v>
      </c>
      <c r="DB30">
        <v>0</v>
      </c>
      <c r="DC30">
        <v>0</v>
      </c>
      <c r="DD30">
        <v>1</v>
      </c>
      <c r="DE30">
        <v>0</v>
      </c>
      <c r="DF30">
        <v>0</v>
      </c>
      <c r="DG30">
        <v>0</v>
      </c>
      <c r="DH30">
        <v>0</v>
      </c>
      <c r="DI30">
        <v>1</v>
      </c>
      <c r="DJ30">
        <v>0</v>
      </c>
      <c r="DK30">
        <v>0</v>
      </c>
      <c r="DL30">
        <v>1</v>
      </c>
      <c r="DM30">
        <v>0</v>
      </c>
      <c r="DN30">
        <v>0</v>
      </c>
      <c r="DO30">
        <v>0</v>
      </c>
      <c r="DP30">
        <v>0</v>
      </c>
      <c r="DQ30">
        <v>0</v>
      </c>
      <c r="DR30">
        <v>0</v>
      </c>
      <c r="DS30">
        <v>1</v>
      </c>
      <c r="DT30">
        <v>0</v>
      </c>
      <c r="DU30">
        <v>0</v>
      </c>
      <c r="DV30">
        <v>0</v>
      </c>
      <c r="DW30">
        <v>0</v>
      </c>
      <c r="DX30">
        <v>0</v>
      </c>
      <c r="DY30">
        <v>0</v>
      </c>
      <c r="DZ30">
        <v>1</v>
      </c>
      <c r="EA30">
        <v>0</v>
      </c>
      <c r="EB30">
        <v>0</v>
      </c>
      <c r="EC30">
        <v>1</v>
      </c>
      <c r="ED30">
        <v>0</v>
      </c>
      <c r="EE30">
        <v>0</v>
      </c>
      <c r="EF30">
        <v>0</v>
      </c>
      <c r="EG30">
        <v>0</v>
      </c>
      <c r="EH30">
        <v>1</v>
      </c>
      <c r="EI30">
        <v>0</v>
      </c>
      <c r="EJ30">
        <v>0</v>
      </c>
      <c r="EK30">
        <v>0</v>
      </c>
      <c r="EL30">
        <v>0</v>
      </c>
      <c r="EM30">
        <v>1</v>
      </c>
      <c r="EN30">
        <v>0</v>
      </c>
      <c r="EO30">
        <v>0</v>
      </c>
      <c r="EP30">
        <v>1</v>
      </c>
      <c r="EQ30">
        <v>0</v>
      </c>
      <c r="ER30">
        <v>0</v>
      </c>
      <c r="ES30">
        <v>0</v>
      </c>
      <c r="ET30">
        <v>0</v>
      </c>
      <c r="EU30">
        <v>0</v>
      </c>
      <c r="EV30">
        <v>0</v>
      </c>
      <c r="EW30">
        <v>0</v>
      </c>
      <c r="EX30">
        <v>0</v>
      </c>
      <c r="EY30">
        <v>1</v>
      </c>
      <c r="EZ30">
        <v>0</v>
      </c>
      <c r="FA30">
        <v>0</v>
      </c>
      <c r="FB30">
        <v>0</v>
      </c>
      <c r="FC30">
        <v>0</v>
      </c>
      <c r="FD30">
        <v>1</v>
      </c>
      <c r="FE30">
        <v>0</v>
      </c>
      <c r="FF30">
        <v>1</v>
      </c>
      <c r="FG30">
        <v>0</v>
      </c>
      <c r="FH30">
        <v>0</v>
      </c>
      <c r="FI30">
        <v>0</v>
      </c>
      <c r="FJ30">
        <v>0</v>
      </c>
      <c r="FK30">
        <v>1</v>
      </c>
      <c r="FL30">
        <v>0</v>
      </c>
      <c r="FM30">
        <v>0</v>
      </c>
      <c r="FN30">
        <v>0</v>
      </c>
      <c r="FO30">
        <v>0</v>
      </c>
      <c r="FP30">
        <v>0</v>
      </c>
      <c r="FQ30">
        <v>1</v>
      </c>
      <c r="FR30">
        <v>0</v>
      </c>
      <c r="FS30">
        <v>0</v>
      </c>
      <c r="FT30">
        <v>0</v>
      </c>
      <c r="FU30">
        <v>0</v>
      </c>
      <c r="FV30">
        <v>0</v>
      </c>
      <c r="FW30">
        <v>0</v>
      </c>
      <c r="FX30">
        <v>1</v>
      </c>
      <c r="FY30">
        <v>0</v>
      </c>
      <c r="FZ30">
        <v>0</v>
      </c>
      <c r="GA30">
        <v>0</v>
      </c>
      <c r="GB30">
        <v>0</v>
      </c>
      <c r="GC30">
        <v>1</v>
      </c>
      <c r="GD30">
        <v>0</v>
      </c>
      <c r="GE30">
        <v>0</v>
      </c>
      <c r="GF30">
        <v>0</v>
      </c>
      <c r="GG30">
        <v>1</v>
      </c>
      <c r="GH30">
        <v>0</v>
      </c>
      <c r="GI30">
        <v>2</v>
      </c>
      <c r="GJ30" s="1">
        <v>45026.530555555553</v>
      </c>
      <c r="GK30">
        <v>0</v>
      </c>
      <c r="HF30">
        <v>2</v>
      </c>
      <c r="HG30" s="1">
        <v>45026.53125</v>
      </c>
      <c r="HH30">
        <v>8</v>
      </c>
      <c r="HI30">
        <v>13</v>
      </c>
      <c r="HJ30">
        <v>12</v>
      </c>
      <c r="HK30">
        <v>2</v>
      </c>
      <c r="HL30" s="1">
        <v>45035.760416666664</v>
      </c>
      <c r="HM30">
        <v>0</v>
      </c>
      <c r="HN30">
        <v>0</v>
      </c>
      <c r="HO30">
        <v>0</v>
      </c>
      <c r="HP30">
        <v>0</v>
      </c>
      <c r="HQ30">
        <v>2</v>
      </c>
      <c r="HR30">
        <v>0</v>
      </c>
      <c r="HS30">
        <v>0</v>
      </c>
      <c r="HT30">
        <v>0</v>
      </c>
      <c r="HU30">
        <v>0</v>
      </c>
      <c r="HV30">
        <v>0</v>
      </c>
      <c r="HW30">
        <v>0</v>
      </c>
      <c r="HX30">
        <v>0</v>
      </c>
      <c r="HY30">
        <v>0</v>
      </c>
      <c r="HZ30">
        <v>0</v>
      </c>
      <c r="IA30">
        <v>0</v>
      </c>
      <c r="IB30">
        <v>0</v>
      </c>
      <c r="IC30">
        <v>0</v>
      </c>
      <c r="ID30">
        <v>1</v>
      </c>
      <c r="IE30">
        <v>0</v>
      </c>
      <c r="IF30">
        <v>0</v>
      </c>
      <c r="IG30">
        <v>0</v>
      </c>
      <c r="IH30">
        <v>2</v>
      </c>
      <c r="II30">
        <v>2</v>
      </c>
      <c r="IJ30" s="1">
        <v>45035.761111111111</v>
      </c>
      <c r="IK30">
        <v>0</v>
      </c>
      <c r="IL30">
        <v>0</v>
      </c>
      <c r="IM30">
        <v>0</v>
      </c>
      <c r="IN30">
        <v>0</v>
      </c>
      <c r="IO30">
        <v>0</v>
      </c>
      <c r="IP30">
        <v>0</v>
      </c>
      <c r="IQ30">
        <v>0</v>
      </c>
      <c r="IR30">
        <v>0</v>
      </c>
      <c r="IS30">
        <v>0</v>
      </c>
      <c r="IT30">
        <v>0</v>
      </c>
      <c r="IU30">
        <v>0</v>
      </c>
      <c r="IV30">
        <v>0</v>
      </c>
      <c r="IW30">
        <v>0</v>
      </c>
      <c r="IX30">
        <v>0</v>
      </c>
      <c r="IY30">
        <v>0</v>
      </c>
      <c r="IZ30">
        <v>0</v>
      </c>
      <c r="JA30">
        <v>0</v>
      </c>
      <c r="JB30">
        <v>0</v>
      </c>
      <c r="JC30">
        <v>0</v>
      </c>
      <c r="JD30">
        <v>1</v>
      </c>
      <c r="JN30">
        <v>0</v>
      </c>
      <c r="JQ30">
        <v>2</v>
      </c>
      <c r="JR30" s="1">
        <v>45035.761111111111</v>
      </c>
      <c r="JS30">
        <v>0</v>
      </c>
      <c r="JT30">
        <v>0</v>
      </c>
      <c r="JU30">
        <v>0</v>
      </c>
      <c r="JV30">
        <v>0</v>
      </c>
      <c r="JW30">
        <v>2</v>
      </c>
      <c r="JX30" s="1">
        <v>45035.761111111111</v>
      </c>
      <c r="JY30">
        <v>39.1</v>
      </c>
      <c r="JZ30">
        <v>2.8</v>
      </c>
      <c r="KI30">
        <v>1</v>
      </c>
      <c r="SQ30">
        <v>2</v>
      </c>
      <c r="TW30">
        <v>2</v>
      </c>
      <c r="WQ30">
        <v>1</v>
      </c>
      <c r="YQ30">
        <v>2</v>
      </c>
      <c r="YR30" s="1">
        <v>45035.762499999997</v>
      </c>
      <c r="YS30">
        <v>4</v>
      </c>
      <c r="YT30">
        <v>1</v>
      </c>
      <c r="YU30">
        <v>4</v>
      </c>
      <c r="YV30">
        <v>1</v>
      </c>
      <c r="YW30">
        <v>3</v>
      </c>
      <c r="YX30">
        <v>2</v>
      </c>
      <c r="YY30">
        <v>1</v>
      </c>
      <c r="YZ30">
        <v>1</v>
      </c>
      <c r="ZA30">
        <v>4</v>
      </c>
      <c r="ZB30">
        <v>4</v>
      </c>
      <c r="ZC30">
        <v>1</v>
      </c>
      <c r="ZD30">
        <v>4</v>
      </c>
      <c r="ZE30">
        <v>1</v>
      </c>
      <c r="ZF30">
        <v>4</v>
      </c>
      <c r="ZG30">
        <v>2</v>
      </c>
      <c r="ZH30">
        <v>3</v>
      </c>
      <c r="ZI30">
        <v>3</v>
      </c>
      <c r="ZJ30">
        <v>1</v>
      </c>
      <c r="ZK30">
        <v>3</v>
      </c>
      <c r="ZL30">
        <v>1</v>
      </c>
      <c r="ZM30">
        <v>36</v>
      </c>
      <c r="ZN30">
        <v>12</v>
      </c>
      <c r="ZO30">
        <v>2</v>
      </c>
      <c r="ZP30" s="1">
        <v>45035.763194444444</v>
      </c>
      <c r="ZQ30">
        <v>0</v>
      </c>
      <c r="ZR30">
        <v>0</v>
      </c>
      <c r="ZS30">
        <v>1</v>
      </c>
      <c r="ZT30">
        <v>0</v>
      </c>
      <c r="ZU30">
        <v>0</v>
      </c>
      <c r="ZV30">
        <v>1</v>
      </c>
      <c r="ZW30">
        <v>1</v>
      </c>
      <c r="ZX30">
        <v>0</v>
      </c>
      <c r="ZY30">
        <v>0</v>
      </c>
      <c r="ZZ30">
        <v>0</v>
      </c>
      <c r="AAA30">
        <v>0</v>
      </c>
      <c r="AAB30">
        <v>0</v>
      </c>
      <c r="AAC30">
        <v>0</v>
      </c>
      <c r="AAD30">
        <v>0</v>
      </c>
      <c r="AAE30">
        <v>1</v>
      </c>
      <c r="AAF30">
        <v>0</v>
      </c>
      <c r="AAG30">
        <v>0</v>
      </c>
      <c r="AAH30">
        <v>0</v>
      </c>
      <c r="AAI30">
        <v>1</v>
      </c>
      <c r="AAJ30">
        <v>0</v>
      </c>
      <c r="AAK30">
        <v>3</v>
      </c>
      <c r="AAL30">
        <v>4</v>
      </c>
      <c r="AAM30">
        <v>2</v>
      </c>
      <c r="AAN30" s="1">
        <v>45035.763194444444</v>
      </c>
      <c r="AAO30">
        <v>0</v>
      </c>
      <c r="ABF30">
        <v>2</v>
      </c>
      <c r="ABG30" s="1">
        <v>45035.763888888891</v>
      </c>
      <c r="AEG30">
        <v>0</v>
      </c>
      <c r="AEH30">
        <v>0</v>
      </c>
      <c r="AEI30">
        <v>0</v>
      </c>
      <c r="AEJ30">
        <v>3</v>
      </c>
      <c r="AEK30">
        <v>0</v>
      </c>
      <c r="AEL30">
        <v>0</v>
      </c>
      <c r="AEM30">
        <v>0</v>
      </c>
      <c r="AEN30">
        <v>2</v>
      </c>
      <c r="AEO30">
        <v>0</v>
      </c>
      <c r="AEP30">
        <v>2</v>
      </c>
      <c r="AEQ30">
        <v>0</v>
      </c>
      <c r="AER30">
        <v>0</v>
      </c>
      <c r="AES30">
        <v>0</v>
      </c>
      <c r="AET30">
        <v>0</v>
      </c>
      <c r="AEU30">
        <v>0</v>
      </c>
      <c r="AEV30">
        <v>0</v>
      </c>
      <c r="AEW30">
        <v>0</v>
      </c>
      <c r="AEX30">
        <v>0</v>
      </c>
      <c r="AEY30">
        <v>0</v>
      </c>
      <c r="AEZ30">
        <v>0</v>
      </c>
      <c r="AFA30">
        <v>0</v>
      </c>
      <c r="AFB30">
        <v>0</v>
      </c>
      <c r="AFC30">
        <v>0</v>
      </c>
      <c r="AFD30">
        <v>0</v>
      </c>
      <c r="AFE30">
        <v>0</v>
      </c>
      <c r="AFF30">
        <v>0</v>
      </c>
      <c r="AFG30">
        <v>2</v>
      </c>
      <c r="AFH30">
        <v>0</v>
      </c>
      <c r="AFI30">
        <v>0</v>
      </c>
      <c r="AFJ30">
        <v>1</v>
      </c>
      <c r="AFK30">
        <v>0</v>
      </c>
      <c r="AFL30">
        <v>0</v>
      </c>
      <c r="AFM30">
        <v>0</v>
      </c>
      <c r="AFN30">
        <v>0</v>
      </c>
      <c r="AFO30">
        <v>0</v>
      </c>
      <c r="AFP30">
        <v>10</v>
      </c>
      <c r="AFQ30">
        <v>-10</v>
      </c>
      <c r="AFR30">
        <v>2</v>
      </c>
      <c r="AFS30" s="1">
        <v>45035.76458333333</v>
      </c>
      <c r="AFT30">
        <v>4</v>
      </c>
      <c r="AFU30">
        <v>4</v>
      </c>
      <c r="AFV30">
        <v>1</v>
      </c>
      <c r="AFW30">
        <v>1</v>
      </c>
      <c r="AFX30">
        <v>4</v>
      </c>
      <c r="AFY30">
        <v>1</v>
      </c>
      <c r="AFZ30">
        <v>1</v>
      </c>
      <c r="AGA30">
        <v>4</v>
      </c>
      <c r="AGB30">
        <v>1</v>
      </c>
      <c r="AGC30">
        <v>4</v>
      </c>
      <c r="AGD30">
        <v>4</v>
      </c>
      <c r="AGE30">
        <v>1</v>
      </c>
      <c r="AGF30">
        <v>1</v>
      </c>
      <c r="AGG30">
        <v>1</v>
      </c>
      <c r="AGH30">
        <v>4</v>
      </c>
      <c r="AGI30">
        <v>4</v>
      </c>
      <c r="AGJ30">
        <v>1</v>
      </c>
      <c r="AGK30">
        <v>1</v>
      </c>
      <c r="AGL30">
        <v>4</v>
      </c>
      <c r="AGM30">
        <v>4</v>
      </c>
      <c r="AGN30">
        <v>20</v>
      </c>
      <c r="AGO30">
        <v>2</v>
      </c>
      <c r="AGP30" s="1">
        <v>45035.76458333333</v>
      </c>
      <c r="AGQ30">
        <v>0</v>
      </c>
      <c r="AGV30">
        <v>0</v>
      </c>
      <c r="AGW30">
        <v>0</v>
      </c>
      <c r="AGX30">
        <v>0</v>
      </c>
      <c r="AGY30">
        <v>0</v>
      </c>
      <c r="AGZ30">
        <v>0</v>
      </c>
      <c r="AHB30">
        <v>2</v>
      </c>
      <c r="AHU30" t="s">
        <v>416</v>
      </c>
    </row>
    <row r="31" spans="1:905">
      <c r="A31">
        <v>183</v>
      </c>
      <c r="B31" t="s">
        <v>205</v>
      </c>
      <c r="C31" t="s">
        <v>420</v>
      </c>
      <c r="D31">
        <v>2</v>
      </c>
      <c r="E31">
        <v>2</v>
      </c>
      <c r="F31">
        <v>51</v>
      </c>
      <c r="G31">
        <v>68</v>
      </c>
      <c r="H31">
        <v>196</v>
      </c>
      <c r="I31">
        <v>0</v>
      </c>
      <c r="J31">
        <v>3</v>
      </c>
      <c r="L31" t="s">
        <v>421</v>
      </c>
      <c r="M31">
        <v>2</v>
      </c>
      <c r="N31" s="1">
        <v>45034.513888888891</v>
      </c>
      <c r="O31">
        <v>7</v>
      </c>
      <c r="P31">
        <v>0</v>
      </c>
      <c r="R31">
        <v>0</v>
      </c>
      <c r="S31">
        <v>0</v>
      </c>
      <c r="T31">
        <v>0</v>
      </c>
      <c r="U31">
        <v>0</v>
      </c>
      <c r="V31">
        <v>0</v>
      </c>
      <c r="W31">
        <v>0</v>
      </c>
      <c r="X31">
        <v>0</v>
      </c>
      <c r="Y31">
        <v>0</v>
      </c>
      <c r="Z31">
        <v>1</v>
      </c>
      <c r="AA31">
        <v>0</v>
      </c>
      <c r="AB31">
        <v>0</v>
      </c>
      <c r="AC31">
        <v>3</v>
      </c>
      <c r="AD31">
        <v>2</v>
      </c>
      <c r="AE31" s="1">
        <v>45034.51458333333</v>
      </c>
      <c r="AF31">
        <v>4</v>
      </c>
      <c r="AG31">
        <v>2</v>
      </c>
      <c r="AH31">
        <v>4</v>
      </c>
      <c r="AI31">
        <v>1</v>
      </c>
      <c r="AJ31">
        <v>1</v>
      </c>
      <c r="AK31">
        <v>4</v>
      </c>
      <c r="AL31">
        <v>4</v>
      </c>
      <c r="AM31">
        <v>1</v>
      </c>
      <c r="AN31">
        <v>1</v>
      </c>
      <c r="AO31">
        <v>4</v>
      </c>
      <c r="AP31">
        <v>1</v>
      </c>
      <c r="AQ31">
        <v>2</v>
      </c>
      <c r="AR31">
        <v>4</v>
      </c>
      <c r="AS31">
        <v>1</v>
      </c>
      <c r="AT31">
        <v>1</v>
      </c>
      <c r="AU31">
        <v>4</v>
      </c>
      <c r="AV31">
        <v>1</v>
      </c>
      <c r="AW31">
        <v>1</v>
      </c>
      <c r="AX31">
        <v>4</v>
      </c>
      <c r="AY31">
        <v>1</v>
      </c>
      <c r="AZ31">
        <v>25</v>
      </c>
      <c r="BA31">
        <v>2</v>
      </c>
      <c r="BB31" s="1">
        <v>45034.515972222223</v>
      </c>
      <c r="BC31">
        <v>12</v>
      </c>
      <c r="BD31">
        <v>2</v>
      </c>
      <c r="BE31">
        <v>4</v>
      </c>
      <c r="BI31" s="2">
        <v>43831</v>
      </c>
      <c r="BJ31">
        <v>5</v>
      </c>
      <c r="BK31">
        <v>1</v>
      </c>
      <c r="BL31">
        <v>4</v>
      </c>
      <c r="BM31">
        <v>25</v>
      </c>
      <c r="BN31">
        <v>5</v>
      </c>
      <c r="BO31">
        <v>1</v>
      </c>
      <c r="BY31">
        <v>2</v>
      </c>
      <c r="BZ31" s="1">
        <v>45034.517361111109</v>
      </c>
      <c r="CA31">
        <v>3</v>
      </c>
      <c r="CB31">
        <v>2</v>
      </c>
      <c r="CC31">
        <v>2</v>
      </c>
      <c r="CD31">
        <v>3</v>
      </c>
      <c r="CE31">
        <v>3</v>
      </c>
      <c r="CF31">
        <v>2</v>
      </c>
      <c r="CG31">
        <v>2</v>
      </c>
      <c r="CH31">
        <v>3</v>
      </c>
      <c r="CI31">
        <v>1</v>
      </c>
      <c r="CJ31">
        <v>2</v>
      </c>
      <c r="CK31">
        <v>1</v>
      </c>
      <c r="CL31">
        <v>2</v>
      </c>
      <c r="CM31">
        <v>2</v>
      </c>
      <c r="CN31">
        <v>1</v>
      </c>
      <c r="CO31">
        <v>3</v>
      </c>
      <c r="CP31">
        <v>2</v>
      </c>
      <c r="CQ31">
        <v>1</v>
      </c>
      <c r="CR31">
        <v>1</v>
      </c>
      <c r="CS31">
        <v>3</v>
      </c>
      <c r="CT31">
        <v>2</v>
      </c>
      <c r="CU31">
        <v>6</v>
      </c>
      <c r="CV31">
        <v>7</v>
      </c>
      <c r="CW31">
        <v>13</v>
      </c>
      <c r="CX31">
        <v>26</v>
      </c>
      <c r="CY31">
        <v>19</v>
      </c>
      <c r="CZ31">
        <v>2</v>
      </c>
      <c r="DA31" s="1">
        <v>45034.518055555556</v>
      </c>
      <c r="DB31">
        <v>1</v>
      </c>
      <c r="DC31">
        <v>0</v>
      </c>
      <c r="DD31">
        <v>0</v>
      </c>
      <c r="DE31">
        <v>0</v>
      </c>
      <c r="DF31">
        <v>0</v>
      </c>
      <c r="DG31">
        <v>0</v>
      </c>
      <c r="DH31">
        <v>0</v>
      </c>
      <c r="DI31">
        <v>1</v>
      </c>
      <c r="DJ31">
        <v>0</v>
      </c>
      <c r="DK31">
        <v>0</v>
      </c>
      <c r="DL31">
        <v>1</v>
      </c>
      <c r="DM31">
        <v>0</v>
      </c>
      <c r="DN31">
        <v>0</v>
      </c>
      <c r="DO31">
        <v>0</v>
      </c>
      <c r="DP31">
        <v>0</v>
      </c>
      <c r="DQ31">
        <v>0</v>
      </c>
      <c r="DR31">
        <v>0</v>
      </c>
      <c r="DS31">
        <v>0</v>
      </c>
      <c r="DT31">
        <v>0</v>
      </c>
      <c r="DU31">
        <v>1</v>
      </c>
      <c r="DV31">
        <v>0</v>
      </c>
      <c r="DW31">
        <v>0</v>
      </c>
      <c r="DX31">
        <v>0</v>
      </c>
      <c r="DY31">
        <v>0</v>
      </c>
      <c r="DZ31">
        <v>1</v>
      </c>
      <c r="EA31">
        <v>1</v>
      </c>
      <c r="EB31">
        <v>0</v>
      </c>
      <c r="EC31">
        <v>0</v>
      </c>
      <c r="ED31">
        <v>0</v>
      </c>
      <c r="EE31">
        <v>0</v>
      </c>
      <c r="EF31">
        <v>0</v>
      </c>
      <c r="EG31">
        <v>0</v>
      </c>
      <c r="EH31">
        <v>0</v>
      </c>
      <c r="EI31">
        <v>0</v>
      </c>
      <c r="EJ31">
        <v>1</v>
      </c>
      <c r="EK31">
        <v>1</v>
      </c>
      <c r="EL31">
        <v>0</v>
      </c>
      <c r="EM31">
        <v>0</v>
      </c>
      <c r="EN31">
        <v>0</v>
      </c>
      <c r="EO31">
        <v>0</v>
      </c>
      <c r="EP31">
        <v>1</v>
      </c>
      <c r="EQ31">
        <v>0</v>
      </c>
      <c r="ER31">
        <v>0</v>
      </c>
      <c r="ES31">
        <v>0</v>
      </c>
      <c r="ET31">
        <v>0</v>
      </c>
      <c r="EU31">
        <v>0</v>
      </c>
      <c r="EV31">
        <v>0</v>
      </c>
      <c r="EW31">
        <v>0</v>
      </c>
      <c r="EX31">
        <v>0</v>
      </c>
      <c r="EY31">
        <v>1</v>
      </c>
      <c r="EZ31">
        <v>0</v>
      </c>
      <c r="FA31">
        <v>0</v>
      </c>
      <c r="FB31">
        <v>0</v>
      </c>
      <c r="FC31">
        <v>0</v>
      </c>
      <c r="FD31">
        <v>1</v>
      </c>
      <c r="FE31">
        <v>1</v>
      </c>
      <c r="FF31">
        <v>0</v>
      </c>
      <c r="FG31">
        <v>0</v>
      </c>
      <c r="FH31">
        <v>0</v>
      </c>
      <c r="FI31">
        <v>0</v>
      </c>
      <c r="FJ31">
        <v>0</v>
      </c>
      <c r="FK31">
        <v>0</v>
      </c>
      <c r="FL31">
        <v>0</v>
      </c>
      <c r="FM31">
        <v>0</v>
      </c>
      <c r="FN31">
        <v>1</v>
      </c>
      <c r="FO31">
        <v>1</v>
      </c>
      <c r="FP31">
        <v>0</v>
      </c>
      <c r="FQ31">
        <v>0</v>
      </c>
      <c r="FR31">
        <v>0</v>
      </c>
      <c r="FS31">
        <v>0</v>
      </c>
      <c r="FT31">
        <v>1</v>
      </c>
      <c r="FU31">
        <v>0</v>
      </c>
      <c r="FV31">
        <v>0</v>
      </c>
      <c r="FW31">
        <v>0</v>
      </c>
      <c r="FX31">
        <v>0</v>
      </c>
      <c r="FY31">
        <v>0</v>
      </c>
      <c r="FZ31">
        <v>0</v>
      </c>
      <c r="GA31">
        <v>0</v>
      </c>
      <c r="GB31">
        <v>0</v>
      </c>
      <c r="GC31">
        <v>1</v>
      </c>
      <c r="GD31">
        <v>1</v>
      </c>
      <c r="GE31">
        <v>0</v>
      </c>
      <c r="GF31">
        <v>0</v>
      </c>
      <c r="GG31">
        <v>0</v>
      </c>
      <c r="GH31">
        <v>0</v>
      </c>
      <c r="GI31">
        <v>2</v>
      </c>
      <c r="GJ31" s="1">
        <v>45034.519444444442</v>
      </c>
      <c r="GK31">
        <v>1</v>
      </c>
      <c r="GL31">
        <v>3</v>
      </c>
      <c r="GM31">
        <v>3</v>
      </c>
      <c r="GN31">
        <v>2</v>
      </c>
      <c r="GO31">
        <v>2</v>
      </c>
      <c r="GP31">
        <v>2</v>
      </c>
      <c r="GQ31">
        <v>3</v>
      </c>
      <c r="GR31">
        <v>2</v>
      </c>
      <c r="GS31">
        <v>3</v>
      </c>
      <c r="GT31">
        <v>2</v>
      </c>
      <c r="GU31">
        <v>2</v>
      </c>
      <c r="GV31">
        <v>2</v>
      </c>
      <c r="GW31">
        <v>3</v>
      </c>
      <c r="GX31">
        <v>3</v>
      </c>
      <c r="GY31">
        <v>2</v>
      </c>
      <c r="GZ31">
        <v>3</v>
      </c>
      <c r="HA31">
        <v>2</v>
      </c>
      <c r="HB31">
        <v>3</v>
      </c>
      <c r="HC31">
        <v>16</v>
      </c>
      <c r="HD31">
        <v>12</v>
      </c>
      <c r="HE31">
        <v>42</v>
      </c>
      <c r="HF31">
        <v>2</v>
      </c>
      <c r="HG31" s="1">
        <v>45034.520138888889</v>
      </c>
      <c r="HH31">
        <v>3</v>
      </c>
      <c r="HI31">
        <v>4</v>
      </c>
      <c r="HJ31">
        <v>1</v>
      </c>
      <c r="HK31">
        <v>2</v>
      </c>
      <c r="HL31" s="1">
        <v>45040.709027777775</v>
      </c>
      <c r="HM31">
        <v>0</v>
      </c>
      <c r="HN31">
        <v>0</v>
      </c>
      <c r="HO31">
        <v>0</v>
      </c>
      <c r="HP31">
        <v>1</v>
      </c>
      <c r="HQ31">
        <v>0</v>
      </c>
      <c r="HR31">
        <v>0</v>
      </c>
      <c r="HS31">
        <v>1</v>
      </c>
      <c r="HT31">
        <v>1</v>
      </c>
      <c r="HU31">
        <v>0</v>
      </c>
      <c r="HV31">
        <v>0</v>
      </c>
      <c r="HW31">
        <v>1</v>
      </c>
      <c r="HX31">
        <v>0</v>
      </c>
      <c r="HY31">
        <v>1</v>
      </c>
      <c r="HZ31">
        <v>0</v>
      </c>
      <c r="IA31">
        <v>1</v>
      </c>
      <c r="IB31">
        <v>2</v>
      </c>
      <c r="IC31">
        <v>0</v>
      </c>
      <c r="ID31">
        <v>2</v>
      </c>
      <c r="IE31">
        <v>1</v>
      </c>
      <c r="IF31">
        <v>2</v>
      </c>
      <c r="IG31">
        <v>3</v>
      </c>
      <c r="IH31">
        <v>16</v>
      </c>
      <c r="II31">
        <v>2</v>
      </c>
      <c r="IJ31" s="1">
        <v>45040.710416666669</v>
      </c>
      <c r="IK31">
        <v>1</v>
      </c>
      <c r="IL31">
        <v>1</v>
      </c>
      <c r="IM31">
        <v>1</v>
      </c>
      <c r="IN31">
        <v>1</v>
      </c>
      <c r="IO31">
        <v>1</v>
      </c>
      <c r="IP31">
        <v>1</v>
      </c>
      <c r="IQ31">
        <v>1</v>
      </c>
      <c r="IR31">
        <v>1</v>
      </c>
      <c r="IS31">
        <v>1</v>
      </c>
      <c r="IT31">
        <v>1</v>
      </c>
      <c r="IU31">
        <v>1</v>
      </c>
      <c r="IV31">
        <v>1</v>
      </c>
      <c r="IW31">
        <v>0</v>
      </c>
      <c r="IX31">
        <v>1</v>
      </c>
      <c r="IY31">
        <v>0</v>
      </c>
      <c r="IZ31">
        <v>0</v>
      </c>
      <c r="JA31">
        <v>1</v>
      </c>
      <c r="JB31">
        <v>1</v>
      </c>
      <c r="JC31">
        <v>1</v>
      </c>
      <c r="JD31">
        <v>0</v>
      </c>
      <c r="JE31" t="s">
        <v>422</v>
      </c>
      <c r="JF31">
        <v>2</v>
      </c>
      <c r="JG31">
        <v>3</v>
      </c>
      <c r="JH31">
        <v>2</v>
      </c>
      <c r="JI31">
        <v>0</v>
      </c>
      <c r="JJ31">
        <v>1</v>
      </c>
      <c r="JK31">
        <v>1</v>
      </c>
      <c r="JL31" t="s">
        <v>227</v>
      </c>
      <c r="JM31" t="s">
        <v>210</v>
      </c>
      <c r="JN31">
        <v>16</v>
      </c>
      <c r="JO31">
        <v>10</v>
      </c>
      <c r="JP31">
        <v>2</v>
      </c>
      <c r="JQ31">
        <v>2</v>
      </c>
      <c r="JR31" s="1">
        <v>45040.710416666669</v>
      </c>
      <c r="JS31">
        <v>0</v>
      </c>
      <c r="JT31">
        <v>0</v>
      </c>
      <c r="JU31">
        <v>0</v>
      </c>
      <c r="JV31">
        <v>0</v>
      </c>
      <c r="JW31">
        <v>2</v>
      </c>
      <c r="JX31" s="1">
        <v>45040.710416666669</v>
      </c>
      <c r="JY31">
        <v>66.7</v>
      </c>
      <c r="JZ31">
        <v>2.2999999999999998</v>
      </c>
      <c r="KI31">
        <v>5</v>
      </c>
      <c r="UA31">
        <v>4</v>
      </c>
      <c r="UQ31">
        <v>4</v>
      </c>
      <c r="XG31">
        <v>4</v>
      </c>
      <c r="YQ31">
        <v>2</v>
      </c>
      <c r="YR31" s="1">
        <v>45040.711805555555</v>
      </c>
      <c r="YS31">
        <v>2</v>
      </c>
      <c r="YT31">
        <v>1</v>
      </c>
      <c r="YU31">
        <v>1</v>
      </c>
      <c r="YV31">
        <v>1</v>
      </c>
      <c r="YW31">
        <v>2</v>
      </c>
      <c r="YX31">
        <v>1</v>
      </c>
      <c r="YY31">
        <v>1</v>
      </c>
      <c r="YZ31">
        <v>3</v>
      </c>
      <c r="ZA31">
        <v>1</v>
      </c>
      <c r="ZB31">
        <v>1</v>
      </c>
      <c r="ZC31">
        <v>3</v>
      </c>
      <c r="ZD31">
        <v>1</v>
      </c>
      <c r="ZE31">
        <v>1</v>
      </c>
      <c r="ZF31">
        <v>1</v>
      </c>
      <c r="ZG31">
        <v>1</v>
      </c>
      <c r="ZH31">
        <v>1</v>
      </c>
      <c r="ZI31">
        <v>3</v>
      </c>
      <c r="ZJ31">
        <v>1</v>
      </c>
      <c r="ZK31">
        <v>1</v>
      </c>
      <c r="ZL31">
        <v>1</v>
      </c>
      <c r="ZM31">
        <v>14</v>
      </c>
      <c r="ZN31">
        <v>14</v>
      </c>
      <c r="ZO31">
        <v>2</v>
      </c>
      <c r="ZP31" s="1">
        <v>45040.711805555555</v>
      </c>
      <c r="ZQ31">
        <v>1</v>
      </c>
      <c r="ZR31">
        <v>2</v>
      </c>
      <c r="ZS31">
        <v>0</v>
      </c>
      <c r="ZT31">
        <v>1</v>
      </c>
      <c r="ZU31">
        <v>1</v>
      </c>
      <c r="ZV31">
        <v>0</v>
      </c>
      <c r="ZW31">
        <v>1</v>
      </c>
      <c r="ZX31">
        <v>1</v>
      </c>
      <c r="ZY31">
        <v>0</v>
      </c>
      <c r="ZZ31">
        <v>1</v>
      </c>
      <c r="AAA31">
        <v>0</v>
      </c>
      <c r="AAB31">
        <v>1</v>
      </c>
      <c r="AAC31">
        <v>2</v>
      </c>
      <c r="AAD31">
        <v>0</v>
      </c>
      <c r="AAE31">
        <v>0</v>
      </c>
      <c r="AAF31">
        <v>2</v>
      </c>
      <c r="AAG31">
        <v>0</v>
      </c>
      <c r="AAH31">
        <v>0</v>
      </c>
      <c r="AAI31">
        <v>8</v>
      </c>
      <c r="AAJ31">
        <v>4</v>
      </c>
      <c r="AAK31">
        <v>1</v>
      </c>
      <c r="AAL31">
        <v>13</v>
      </c>
      <c r="AAM31">
        <v>2</v>
      </c>
      <c r="AAN31" s="1">
        <v>45040.713194444441</v>
      </c>
      <c r="AAO31">
        <v>1</v>
      </c>
      <c r="AAP31">
        <v>7</v>
      </c>
      <c r="AAQ31">
        <v>3</v>
      </c>
      <c r="AAR31">
        <v>5</v>
      </c>
      <c r="AAS31">
        <v>5</v>
      </c>
      <c r="AAT31">
        <v>14</v>
      </c>
      <c r="AAU31">
        <v>7</v>
      </c>
      <c r="AAV31">
        <v>7</v>
      </c>
      <c r="AAW31">
        <v>5</v>
      </c>
      <c r="AAX31">
        <v>6</v>
      </c>
      <c r="AAY31">
        <v>4</v>
      </c>
      <c r="AAZ31">
        <v>7</v>
      </c>
      <c r="ABA31">
        <v>5</v>
      </c>
      <c r="ABB31">
        <v>5</v>
      </c>
      <c r="ABC31">
        <v>0</v>
      </c>
      <c r="ABD31">
        <v>5</v>
      </c>
      <c r="ABE31">
        <v>5.8571428570000004</v>
      </c>
      <c r="ABF31">
        <v>2</v>
      </c>
      <c r="ABG31" s="1">
        <v>45040.713888888888</v>
      </c>
      <c r="AEG31">
        <v>0</v>
      </c>
      <c r="AEH31">
        <v>0</v>
      </c>
      <c r="AEI31">
        <v>3</v>
      </c>
      <c r="AEJ31">
        <v>0</v>
      </c>
      <c r="AEK31">
        <v>3</v>
      </c>
      <c r="AEL31">
        <v>1</v>
      </c>
      <c r="AEM31">
        <v>1</v>
      </c>
      <c r="AEN31">
        <v>0</v>
      </c>
      <c r="AEO31">
        <v>1</v>
      </c>
      <c r="AEP31">
        <v>0</v>
      </c>
      <c r="AEQ31">
        <v>0</v>
      </c>
      <c r="AER31">
        <v>0</v>
      </c>
      <c r="AES31">
        <v>3</v>
      </c>
      <c r="AET31">
        <v>1</v>
      </c>
      <c r="AEU31">
        <v>1</v>
      </c>
      <c r="AEV31">
        <v>0</v>
      </c>
      <c r="AEW31">
        <v>0</v>
      </c>
      <c r="AEX31">
        <v>2</v>
      </c>
      <c r="AEY31">
        <v>3</v>
      </c>
      <c r="AEZ31">
        <v>0</v>
      </c>
      <c r="AFA31">
        <v>0</v>
      </c>
      <c r="AFB31">
        <v>3</v>
      </c>
      <c r="AFC31">
        <v>3</v>
      </c>
      <c r="AFD31">
        <v>0</v>
      </c>
      <c r="AFE31">
        <v>0</v>
      </c>
      <c r="AFF31">
        <v>2</v>
      </c>
      <c r="AFG31">
        <v>0</v>
      </c>
      <c r="AFH31">
        <v>0</v>
      </c>
      <c r="AFI31">
        <v>3</v>
      </c>
      <c r="AFJ31">
        <v>0</v>
      </c>
      <c r="AFK31">
        <v>1</v>
      </c>
      <c r="AFL31">
        <v>2</v>
      </c>
      <c r="AFM31">
        <v>2</v>
      </c>
      <c r="AFN31">
        <v>15</v>
      </c>
      <c r="AFO31">
        <v>10</v>
      </c>
      <c r="AFP31">
        <v>0</v>
      </c>
      <c r="AFQ31">
        <v>30</v>
      </c>
      <c r="AFR31">
        <v>2</v>
      </c>
      <c r="AFS31" s="1">
        <v>45040.714583333334</v>
      </c>
      <c r="AFT31">
        <v>3</v>
      </c>
      <c r="AFU31">
        <v>2</v>
      </c>
      <c r="AFV31">
        <v>1</v>
      </c>
      <c r="AFW31">
        <v>1</v>
      </c>
      <c r="AFX31">
        <v>2</v>
      </c>
      <c r="AFY31">
        <v>1</v>
      </c>
      <c r="AFZ31">
        <v>1</v>
      </c>
      <c r="AGA31">
        <v>2</v>
      </c>
      <c r="AGB31">
        <v>1</v>
      </c>
      <c r="AGC31">
        <v>2</v>
      </c>
      <c r="AGD31">
        <v>2</v>
      </c>
      <c r="AGE31">
        <v>1</v>
      </c>
      <c r="AGF31">
        <v>1</v>
      </c>
      <c r="AGG31">
        <v>2</v>
      </c>
      <c r="AGH31">
        <v>2</v>
      </c>
      <c r="AGI31">
        <v>2</v>
      </c>
      <c r="AGJ31">
        <v>2</v>
      </c>
      <c r="AGK31">
        <v>3</v>
      </c>
      <c r="AGL31">
        <v>2</v>
      </c>
      <c r="AGM31">
        <v>2</v>
      </c>
      <c r="AGN31">
        <v>43</v>
      </c>
      <c r="AGO31">
        <v>2</v>
      </c>
      <c r="AGP31" s="1">
        <v>45040.714583333334</v>
      </c>
      <c r="AGQ31">
        <v>0</v>
      </c>
      <c r="AGV31">
        <v>0</v>
      </c>
      <c r="AGW31">
        <v>0</v>
      </c>
      <c r="AGX31">
        <v>0</v>
      </c>
      <c r="AGY31">
        <v>0</v>
      </c>
      <c r="AGZ31">
        <v>0</v>
      </c>
      <c r="AHB31">
        <v>2</v>
      </c>
      <c r="AHU31" t="s">
        <v>416</v>
      </c>
    </row>
    <row r="32" spans="1:905">
      <c r="A32">
        <v>189</v>
      </c>
      <c r="B32" t="s">
        <v>205</v>
      </c>
      <c r="C32" t="s">
        <v>423</v>
      </c>
      <c r="D32">
        <v>2</v>
      </c>
      <c r="E32">
        <v>2</v>
      </c>
      <c r="F32">
        <v>19</v>
      </c>
      <c r="G32">
        <v>65</v>
      </c>
      <c r="H32">
        <v>145</v>
      </c>
      <c r="I32">
        <v>0</v>
      </c>
      <c r="J32">
        <v>2</v>
      </c>
      <c r="L32" t="s">
        <v>424</v>
      </c>
      <c r="M32">
        <v>2</v>
      </c>
      <c r="N32" s="1">
        <v>45041.675694444442</v>
      </c>
      <c r="O32">
        <v>4</v>
      </c>
      <c r="P32">
        <v>0</v>
      </c>
      <c r="R32">
        <v>0</v>
      </c>
      <c r="S32">
        <v>0</v>
      </c>
      <c r="T32">
        <v>0</v>
      </c>
      <c r="U32">
        <v>1</v>
      </c>
      <c r="V32">
        <v>0</v>
      </c>
      <c r="W32">
        <v>0</v>
      </c>
      <c r="X32">
        <v>0</v>
      </c>
      <c r="Y32">
        <v>0</v>
      </c>
      <c r="Z32">
        <v>0</v>
      </c>
      <c r="AA32">
        <v>0</v>
      </c>
      <c r="AB32">
        <v>0</v>
      </c>
      <c r="AC32">
        <v>1</v>
      </c>
      <c r="AD32">
        <v>2</v>
      </c>
      <c r="AE32" s="1">
        <v>45041.677777777775</v>
      </c>
      <c r="AF32">
        <v>3</v>
      </c>
      <c r="AG32">
        <v>2</v>
      </c>
      <c r="AH32">
        <v>3</v>
      </c>
      <c r="AI32">
        <v>2</v>
      </c>
      <c r="AJ32">
        <v>2</v>
      </c>
      <c r="AK32">
        <v>1</v>
      </c>
      <c r="AL32">
        <v>4</v>
      </c>
      <c r="AM32">
        <v>2</v>
      </c>
      <c r="AN32">
        <v>2</v>
      </c>
      <c r="AO32">
        <v>3</v>
      </c>
      <c r="AP32">
        <v>1</v>
      </c>
      <c r="AQ32">
        <v>3</v>
      </c>
      <c r="AR32">
        <v>2</v>
      </c>
      <c r="AS32">
        <v>3</v>
      </c>
      <c r="AT32">
        <v>2</v>
      </c>
      <c r="AU32">
        <v>2</v>
      </c>
      <c r="AV32">
        <v>2</v>
      </c>
      <c r="AW32">
        <v>3</v>
      </c>
      <c r="AX32">
        <v>2</v>
      </c>
      <c r="AY32">
        <v>2</v>
      </c>
      <c r="AZ32">
        <v>45</v>
      </c>
      <c r="BA32">
        <v>2</v>
      </c>
      <c r="BB32" s="1">
        <v>45041.677777777775</v>
      </c>
      <c r="BC32" t="s">
        <v>208</v>
      </c>
      <c r="BD32">
        <v>2</v>
      </c>
      <c r="BE32">
        <v>1</v>
      </c>
      <c r="BI32" s="2">
        <v>45041</v>
      </c>
      <c r="BM32">
        <v>28</v>
      </c>
      <c r="BN32" t="s">
        <v>275</v>
      </c>
      <c r="BO32">
        <v>1</v>
      </c>
      <c r="BY32">
        <v>2</v>
      </c>
      <c r="BZ32" s="1">
        <v>45041.679861111108</v>
      </c>
      <c r="CA32">
        <v>3</v>
      </c>
      <c r="CB32">
        <v>1</v>
      </c>
      <c r="CC32">
        <v>3</v>
      </c>
      <c r="CD32">
        <v>4</v>
      </c>
      <c r="CE32">
        <v>4</v>
      </c>
      <c r="CF32">
        <v>3</v>
      </c>
      <c r="CG32">
        <v>4</v>
      </c>
      <c r="CH32">
        <v>4</v>
      </c>
      <c r="CI32">
        <v>3</v>
      </c>
      <c r="CJ32">
        <v>4</v>
      </c>
      <c r="CK32">
        <v>2</v>
      </c>
      <c r="CL32">
        <v>3</v>
      </c>
      <c r="CM32">
        <v>2</v>
      </c>
      <c r="CN32">
        <v>2</v>
      </c>
      <c r="CO32">
        <v>3</v>
      </c>
      <c r="CP32">
        <v>3</v>
      </c>
      <c r="CQ32">
        <v>2</v>
      </c>
      <c r="CR32">
        <v>3</v>
      </c>
      <c r="CS32">
        <v>3</v>
      </c>
      <c r="CT32">
        <v>3</v>
      </c>
      <c r="CU32">
        <v>10</v>
      </c>
      <c r="CV32">
        <v>12</v>
      </c>
      <c r="CW32">
        <v>16</v>
      </c>
      <c r="CX32">
        <v>38</v>
      </c>
      <c r="CY32">
        <v>21</v>
      </c>
      <c r="CZ32">
        <v>2</v>
      </c>
      <c r="DA32" s="1">
        <v>45041.683333333334</v>
      </c>
      <c r="DB32">
        <v>0</v>
      </c>
      <c r="DC32">
        <v>0</v>
      </c>
      <c r="DD32">
        <v>1</v>
      </c>
      <c r="DE32">
        <v>0</v>
      </c>
      <c r="DF32">
        <v>0</v>
      </c>
      <c r="DG32">
        <v>0</v>
      </c>
      <c r="DH32">
        <v>0</v>
      </c>
      <c r="DI32">
        <v>1</v>
      </c>
      <c r="DJ32">
        <v>0</v>
      </c>
      <c r="DK32">
        <v>0</v>
      </c>
      <c r="DL32">
        <v>1</v>
      </c>
      <c r="DM32">
        <v>0</v>
      </c>
      <c r="DN32">
        <v>0</v>
      </c>
      <c r="DO32">
        <v>0</v>
      </c>
      <c r="DP32">
        <v>0</v>
      </c>
      <c r="DQ32">
        <v>0</v>
      </c>
      <c r="DR32">
        <v>0</v>
      </c>
      <c r="DS32">
        <v>1</v>
      </c>
      <c r="DT32">
        <v>0</v>
      </c>
      <c r="DU32">
        <v>0</v>
      </c>
      <c r="DV32">
        <v>0</v>
      </c>
      <c r="DW32">
        <v>0</v>
      </c>
      <c r="DX32">
        <v>1</v>
      </c>
      <c r="DY32">
        <v>0</v>
      </c>
      <c r="DZ32">
        <v>0</v>
      </c>
      <c r="EA32">
        <v>0</v>
      </c>
      <c r="EB32">
        <v>1</v>
      </c>
      <c r="EC32">
        <v>0</v>
      </c>
      <c r="ED32">
        <v>0</v>
      </c>
      <c r="EE32">
        <v>0</v>
      </c>
      <c r="EF32">
        <v>0</v>
      </c>
      <c r="EG32">
        <v>0</v>
      </c>
      <c r="EH32">
        <v>1</v>
      </c>
      <c r="EI32">
        <v>0</v>
      </c>
      <c r="EJ32">
        <v>0</v>
      </c>
      <c r="EK32">
        <v>1</v>
      </c>
      <c r="EL32">
        <v>0</v>
      </c>
      <c r="EM32">
        <v>0</v>
      </c>
      <c r="EN32">
        <v>0</v>
      </c>
      <c r="EO32">
        <v>0</v>
      </c>
      <c r="EP32">
        <v>1</v>
      </c>
      <c r="EQ32">
        <v>0</v>
      </c>
      <c r="ER32">
        <v>0</v>
      </c>
      <c r="ES32">
        <v>0</v>
      </c>
      <c r="ET32">
        <v>0</v>
      </c>
      <c r="EU32">
        <v>0</v>
      </c>
      <c r="EV32">
        <v>0</v>
      </c>
      <c r="EW32">
        <v>1</v>
      </c>
      <c r="EX32">
        <v>0</v>
      </c>
      <c r="EY32">
        <v>0</v>
      </c>
      <c r="EZ32">
        <v>0</v>
      </c>
      <c r="FA32">
        <v>0</v>
      </c>
      <c r="FB32">
        <v>1</v>
      </c>
      <c r="FC32">
        <v>0</v>
      </c>
      <c r="FD32">
        <v>0</v>
      </c>
      <c r="FE32">
        <v>0</v>
      </c>
      <c r="FF32">
        <v>0</v>
      </c>
      <c r="FG32">
        <v>1</v>
      </c>
      <c r="FH32">
        <v>0</v>
      </c>
      <c r="FI32">
        <v>0</v>
      </c>
      <c r="FJ32">
        <v>0</v>
      </c>
      <c r="FK32">
        <v>0</v>
      </c>
      <c r="FL32">
        <v>1</v>
      </c>
      <c r="FM32">
        <v>0</v>
      </c>
      <c r="FN32">
        <v>0</v>
      </c>
      <c r="FO32">
        <v>0</v>
      </c>
      <c r="FP32">
        <v>0</v>
      </c>
      <c r="FQ32">
        <v>1</v>
      </c>
      <c r="FR32">
        <v>0</v>
      </c>
      <c r="FS32">
        <v>0</v>
      </c>
      <c r="FT32">
        <v>0</v>
      </c>
      <c r="FU32">
        <v>0</v>
      </c>
      <c r="FV32">
        <v>1</v>
      </c>
      <c r="FW32">
        <v>0</v>
      </c>
      <c r="FX32">
        <v>0</v>
      </c>
      <c r="FY32">
        <v>0</v>
      </c>
      <c r="FZ32">
        <v>0</v>
      </c>
      <c r="GA32">
        <v>0</v>
      </c>
      <c r="GB32">
        <v>0</v>
      </c>
      <c r="GC32">
        <v>1</v>
      </c>
      <c r="GD32">
        <v>1</v>
      </c>
      <c r="GE32">
        <v>0</v>
      </c>
      <c r="GF32">
        <v>0</v>
      </c>
      <c r="GG32">
        <v>0</v>
      </c>
      <c r="GH32">
        <v>0</v>
      </c>
      <c r="GI32">
        <v>2</v>
      </c>
      <c r="GJ32" s="1">
        <v>45041.685416666667</v>
      </c>
      <c r="GK32">
        <v>1</v>
      </c>
      <c r="GL32">
        <v>3</v>
      </c>
      <c r="GM32">
        <v>2</v>
      </c>
      <c r="GN32">
        <v>2</v>
      </c>
      <c r="GO32">
        <v>2</v>
      </c>
      <c r="GP32">
        <v>2</v>
      </c>
      <c r="GQ32">
        <v>3</v>
      </c>
      <c r="GR32">
        <v>1</v>
      </c>
      <c r="GS32">
        <v>3</v>
      </c>
      <c r="GT32">
        <v>3</v>
      </c>
      <c r="GU32">
        <v>3</v>
      </c>
      <c r="GV32">
        <v>2</v>
      </c>
      <c r="GW32">
        <v>3</v>
      </c>
      <c r="GX32">
        <v>2</v>
      </c>
      <c r="GY32">
        <v>2</v>
      </c>
      <c r="GZ32">
        <v>2</v>
      </c>
      <c r="HA32">
        <v>3</v>
      </c>
      <c r="HB32">
        <v>2</v>
      </c>
      <c r="HC32">
        <v>16</v>
      </c>
      <c r="HD32">
        <v>12</v>
      </c>
      <c r="HE32">
        <v>38</v>
      </c>
      <c r="HF32">
        <v>2</v>
      </c>
      <c r="HG32" s="1">
        <v>45041.686111111114</v>
      </c>
      <c r="HH32">
        <v>10</v>
      </c>
      <c r="HI32">
        <v>4</v>
      </c>
      <c r="HJ32">
        <v>1</v>
      </c>
      <c r="HK32">
        <v>2</v>
      </c>
      <c r="HL32" s="1">
        <v>45043.730555555558</v>
      </c>
      <c r="HM32">
        <v>0</v>
      </c>
      <c r="HN32">
        <v>1</v>
      </c>
      <c r="HO32">
        <v>1</v>
      </c>
      <c r="HP32">
        <v>1</v>
      </c>
      <c r="HQ32">
        <v>2</v>
      </c>
      <c r="HR32">
        <v>1</v>
      </c>
      <c r="HS32">
        <v>1</v>
      </c>
      <c r="HT32">
        <v>2</v>
      </c>
      <c r="HU32">
        <v>0</v>
      </c>
      <c r="HV32">
        <v>1</v>
      </c>
      <c r="HW32">
        <v>1</v>
      </c>
      <c r="HX32">
        <v>1</v>
      </c>
      <c r="HY32">
        <v>2</v>
      </c>
      <c r="HZ32">
        <v>1</v>
      </c>
      <c r="IA32">
        <v>1</v>
      </c>
      <c r="IB32">
        <v>2</v>
      </c>
      <c r="IC32">
        <v>1</v>
      </c>
      <c r="ID32">
        <v>0</v>
      </c>
      <c r="IE32">
        <v>1</v>
      </c>
      <c r="IF32">
        <v>1</v>
      </c>
      <c r="IG32">
        <v>0</v>
      </c>
      <c r="IH32">
        <v>20</v>
      </c>
      <c r="II32">
        <v>2</v>
      </c>
      <c r="IJ32" s="1">
        <v>45043.731944444444</v>
      </c>
      <c r="IK32">
        <v>0</v>
      </c>
      <c r="IL32">
        <v>0</v>
      </c>
      <c r="IM32">
        <v>0</v>
      </c>
      <c r="IN32">
        <v>0</v>
      </c>
      <c r="IO32">
        <v>0</v>
      </c>
      <c r="IP32">
        <v>0</v>
      </c>
      <c r="IQ32">
        <v>0</v>
      </c>
      <c r="IR32">
        <v>0</v>
      </c>
      <c r="IS32">
        <v>0</v>
      </c>
      <c r="IT32">
        <v>0</v>
      </c>
      <c r="IU32">
        <v>1</v>
      </c>
      <c r="IV32">
        <v>0</v>
      </c>
      <c r="IW32">
        <v>0</v>
      </c>
      <c r="IX32">
        <v>0</v>
      </c>
      <c r="IY32">
        <v>0</v>
      </c>
      <c r="IZ32">
        <v>0</v>
      </c>
      <c r="JA32">
        <v>0</v>
      </c>
      <c r="JB32">
        <v>0</v>
      </c>
      <c r="JC32">
        <v>0</v>
      </c>
      <c r="JD32">
        <v>0</v>
      </c>
      <c r="JE32">
        <v>0.5</v>
      </c>
      <c r="JF32">
        <v>0</v>
      </c>
      <c r="JG32">
        <v>1</v>
      </c>
      <c r="JH32">
        <v>1</v>
      </c>
      <c r="JI32">
        <v>0</v>
      </c>
      <c r="JJ32">
        <v>0</v>
      </c>
      <c r="JK32">
        <v>0</v>
      </c>
      <c r="JL32" t="s">
        <v>425</v>
      </c>
      <c r="JM32" t="s">
        <v>210</v>
      </c>
      <c r="JN32">
        <v>1</v>
      </c>
      <c r="JO32">
        <v>5</v>
      </c>
      <c r="JP32">
        <v>0</v>
      </c>
      <c r="JQ32">
        <v>2</v>
      </c>
      <c r="JR32" s="1">
        <v>45043.731944444444</v>
      </c>
      <c r="JS32">
        <v>0</v>
      </c>
      <c r="JT32">
        <v>0</v>
      </c>
      <c r="JU32">
        <v>3</v>
      </c>
      <c r="JV32">
        <v>3</v>
      </c>
      <c r="JW32">
        <v>2</v>
      </c>
      <c r="JX32" s="1">
        <v>45043.732638888891</v>
      </c>
      <c r="JY32">
        <v>60.9</v>
      </c>
      <c r="JZ32">
        <v>2.2000000000000002</v>
      </c>
      <c r="KI32">
        <v>4</v>
      </c>
      <c r="UA32">
        <v>3</v>
      </c>
      <c r="UQ32">
        <v>4</v>
      </c>
      <c r="XG32">
        <v>3</v>
      </c>
      <c r="YQ32">
        <v>2</v>
      </c>
      <c r="YR32" s="1">
        <v>45043.73333333333</v>
      </c>
      <c r="YS32">
        <v>3</v>
      </c>
      <c r="YT32">
        <v>3</v>
      </c>
      <c r="YU32">
        <v>4</v>
      </c>
      <c r="YV32">
        <v>3</v>
      </c>
      <c r="YW32">
        <v>3</v>
      </c>
      <c r="YX32">
        <v>3</v>
      </c>
      <c r="YY32">
        <v>2</v>
      </c>
      <c r="YZ32">
        <v>3</v>
      </c>
      <c r="ZA32">
        <v>3</v>
      </c>
      <c r="ZB32">
        <v>2</v>
      </c>
      <c r="ZC32">
        <v>4</v>
      </c>
      <c r="ZD32">
        <v>4</v>
      </c>
      <c r="ZE32">
        <v>4</v>
      </c>
      <c r="ZF32">
        <v>3</v>
      </c>
      <c r="ZG32">
        <v>3</v>
      </c>
      <c r="ZH32">
        <v>3</v>
      </c>
      <c r="ZI32">
        <v>2</v>
      </c>
      <c r="ZJ32">
        <v>3</v>
      </c>
      <c r="ZK32">
        <v>3</v>
      </c>
      <c r="ZL32">
        <v>3</v>
      </c>
      <c r="ZM32">
        <v>30</v>
      </c>
      <c r="ZN32">
        <v>31</v>
      </c>
      <c r="ZO32">
        <v>2</v>
      </c>
      <c r="ZP32" s="1">
        <v>45043.734027777777</v>
      </c>
      <c r="ZQ32">
        <v>0</v>
      </c>
      <c r="ZR32">
        <v>1</v>
      </c>
      <c r="ZS32">
        <v>2</v>
      </c>
      <c r="ZT32">
        <v>0</v>
      </c>
      <c r="ZU32">
        <v>0</v>
      </c>
      <c r="ZV32">
        <v>3</v>
      </c>
      <c r="ZW32">
        <v>0</v>
      </c>
      <c r="ZX32">
        <v>1</v>
      </c>
      <c r="ZY32">
        <v>1</v>
      </c>
      <c r="ZZ32">
        <v>1</v>
      </c>
      <c r="AAA32">
        <v>1</v>
      </c>
      <c r="AAB32">
        <v>1</v>
      </c>
      <c r="AAC32">
        <v>0</v>
      </c>
      <c r="AAD32">
        <v>2</v>
      </c>
      <c r="AAE32">
        <v>1</v>
      </c>
      <c r="AAF32">
        <v>1</v>
      </c>
      <c r="AAG32">
        <v>0</v>
      </c>
      <c r="AAH32">
        <v>1</v>
      </c>
      <c r="AAI32">
        <v>2</v>
      </c>
      <c r="AAJ32">
        <v>5</v>
      </c>
      <c r="AAK32">
        <v>9</v>
      </c>
      <c r="AAL32">
        <v>16</v>
      </c>
      <c r="AAM32">
        <v>2</v>
      </c>
      <c r="AAN32" s="1">
        <v>45043.734722222223</v>
      </c>
      <c r="AAO32">
        <v>1</v>
      </c>
      <c r="AAP32">
        <v>8</v>
      </c>
      <c r="AAQ32">
        <v>0</v>
      </c>
      <c r="AAR32">
        <v>5</v>
      </c>
      <c r="AAS32">
        <v>3</v>
      </c>
      <c r="AAT32">
        <v>12</v>
      </c>
      <c r="AAU32">
        <v>0</v>
      </c>
      <c r="AAV32">
        <v>3</v>
      </c>
      <c r="AAW32">
        <v>0</v>
      </c>
      <c r="AAX32">
        <v>0</v>
      </c>
      <c r="AAY32">
        <v>0</v>
      </c>
      <c r="AAZ32">
        <v>0</v>
      </c>
      <c r="ABA32">
        <v>1</v>
      </c>
      <c r="ABB32">
        <v>3</v>
      </c>
      <c r="ABC32">
        <v>0</v>
      </c>
      <c r="ABD32">
        <v>6.5</v>
      </c>
      <c r="ABE32">
        <v>9.1428571430000005</v>
      </c>
      <c r="ABF32">
        <v>2</v>
      </c>
      <c r="ABG32" s="1">
        <v>45043.73541666667</v>
      </c>
      <c r="AEG32">
        <v>3</v>
      </c>
      <c r="AEH32">
        <v>1</v>
      </c>
      <c r="AEI32">
        <v>2</v>
      </c>
      <c r="AEJ32">
        <v>1</v>
      </c>
      <c r="AEK32">
        <v>0</v>
      </c>
      <c r="AEL32">
        <v>1</v>
      </c>
      <c r="AEM32">
        <v>0</v>
      </c>
      <c r="AEN32">
        <v>1</v>
      </c>
      <c r="AEO32">
        <v>1</v>
      </c>
      <c r="AEP32">
        <v>0</v>
      </c>
      <c r="AEQ32">
        <v>0</v>
      </c>
      <c r="AER32">
        <v>1</v>
      </c>
      <c r="AES32">
        <v>1</v>
      </c>
      <c r="AET32">
        <v>2</v>
      </c>
      <c r="AEU32">
        <v>0</v>
      </c>
      <c r="AEV32">
        <v>1</v>
      </c>
      <c r="AEW32">
        <v>0</v>
      </c>
      <c r="AEX32">
        <v>0</v>
      </c>
      <c r="AEY32">
        <v>2</v>
      </c>
      <c r="AEZ32">
        <v>2</v>
      </c>
      <c r="AFA32">
        <v>1</v>
      </c>
      <c r="AFB32">
        <v>1</v>
      </c>
      <c r="AFC32">
        <v>1</v>
      </c>
      <c r="AFD32">
        <v>0</v>
      </c>
      <c r="AFE32">
        <v>0</v>
      </c>
      <c r="AFF32">
        <v>2</v>
      </c>
      <c r="AFG32">
        <v>0</v>
      </c>
      <c r="AFH32">
        <v>1</v>
      </c>
      <c r="AFI32">
        <v>0</v>
      </c>
      <c r="AFJ32">
        <v>0</v>
      </c>
      <c r="AFK32">
        <v>8</v>
      </c>
      <c r="AFL32">
        <v>1</v>
      </c>
      <c r="AFM32">
        <v>5</v>
      </c>
      <c r="AFN32">
        <v>7</v>
      </c>
      <c r="AFO32">
        <v>2</v>
      </c>
      <c r="AFP32">
        <v>2</v>
      </c>
      <c r="AFQ32">
        <v>21</v>
      </c>
      <c r="AFR32">
        <v>2</v>
      </c>
      <c r="AFS32" s="1">
        <v>45043.736111111109</v>
      </c>
      <c r="AFT32">
        <v>4</v>
      </c>
      <c r="AFU32">
        <v>3</v>
      </c>
      <c r="AFV32">
        <v>2</v>
      </c>
      <c r="AFW32">
        <v>2</v>
      </c>
      <c r="AFX32">
        <v>3</v>
      </c>
      <c r="AFY32">
        <v>2</v>
      </c>
      <c r="AFZ32">
        <v>3</v>
      </c>
      <c r="AGA32">
        <v>3</v>
      </c>
      <c r="AGB32">
        <v>1</v>
      </c>
      <c r="AGC32">
        <v>2</v>
      </c>
      <c r="AGD32">
        <v>3</v>
      </c>
      <c r="AGE32">
        <v>2</v>
      </c>
      <c r="AGF32">
        <v>2</v>
      </c>
      <c r="AGG32">
        <v>3</v>
      </c>
      <c r="AGH32">
        <v>2</v>
      </c>
      <c r="AGI32">
        <v>2</v>
      </c>
      <c r="AGJ32">
        <v>1</v>
      </c>
      <c r="AGK32">
        <v>1</v>
      </c>
      <c r="AGL32">
        <v>3</v>
      </c>
      <c r="AGM32">
        <v>3</v>
      </c>
      <c r="AGN32">
        <v>41</v>
      </c>
      <c r="AGO32">
        <v>2</v>
      </c>
      <c r="AGP32" s="1">
        <v>45043.736111111109</v>
      </c>
      <c r="AGQ32">
        <v>0</v>
      </c>
      <c r="AGV32">
        <v>0</v>
      </c>
      <c r="AGW32">
        <v>0</v>
      </c>
      <c r="AGX32">
        <v>0</v>
      </c>
      <c r="AGY32">
        <v>0</v>
      </c>
      <c r="AGZ32">
        <v>0</v>
      </c>
      <c r="AHB32">
        <v>2</v>
      </c>
      <c r="AHU32" t="s">
        <v>416</v>
      </c>
    </row>
    <row r="33" spans="1:905">
      <c r="A33">
        <v>190</v>
      </c>
      <c r="B33" t="s">
        <v>205</v>
      </c>
      <c r="C33" t="s">
        <v>426</v>
      </c>
      <c r="D33">
        <v>2</v>
      </c>
      <c r="E33">
        <v>2</v>
      </c>
      <c r="F33">
        <v>22</v>
      </c>
      <c r="G33">
        <v>65</v>
      </c>
      <c r="H33">
        <v>135</v>
      </c>
      <c r="I33">
        <v>1</v>
      </c>
      <c r="J33">
        <v>3</v>
      </c>
      <c r="L33" t="s">
        <v>383</v>
      </c>
      <c r="M33">
        <v>2</v>
      </c>
      <c r="N33" s="1">
        <v>45044.584722222222</v>
      </c>
      <c r="O33">
        <v>5</v>
      </c>
      <c r="P33" t="s">
        <v>208</v>
      </c>
      <c r="R33">
        <v>0</v>
      </c>
      <c r="S33">
        <v>0</v>
      </c>
      <c r="T33">
        <v>0</v>
      </c>
      <c r="U33">
        <v>1</v>
      </c>
      <c r="V33">
        <v>0</v>
      </c>
      <c r="W33">
        <v>0</v>
      </c>
      <c r="X33">
        <v>0</v>
      </c>
      <c r="Y33">
        <v>0</v>
      </c>
      <c r="Z33">
        <v>0</v>
      </c>
      <c r="AA33">
        <v>0</v>
      </c>
      <c r="AB33">
        <v>0</v>
      </c>
      <c r="AC33">
        <v>1</v>
      </c>
      <c r="AD33">
        <v>2</v>
      </c>
      <c r="AE33" s="1">
        <v>45044.585416666669</v>
      </c>
      <c r="AF33">
        <v>3</v>
      </c>
      <c r="AG33">
        <v>3</v>
      </c>
      <c r="AH33">
        <v>2</v>
      </c>
      <c r="AI33">
        <v>4</v>
      </c>
      <c r="AJ33">
        <v>3</v>
      </c>
      <c r="AK33">
        <v>2</v>
      </c>
      <c r="AL33">
        <v>2</v>
      </c>
      <c r="AM33">
        <v>3</v>
      </c>
      <c r="AN33">
        <v>4</v>
      </c>
      <c r="AO33">
        <v>2</v>
      </c>
      <c r="AP33">
        <v>1</v>
      </c>
      <c r="AQ33">
        <v>3</v>
      </c>
      <c r="AR33">
        <v>2</v>
      </c>
      <c r="AS33">
        <v>2</v>
      </c>
      <c r="AT33">
        <v>3</v>
      </c>
      <c r="AU33">
        <v>2</v>
      </c>
      <c r="AV33">
        <v>3</v>
      </c>
      <c r="AW33">
        <v>3</v>
      </c>
      <c r="AX33">
        <v>2</v>
      </c>
      <c r="AY33">
        <v>4</v>
      </c>
      <c r="AZ33">
        <v>60</v>
      </c>
      <c r="BA33">
        <v>2</v>
      </c>
      <c r="BB33" s="1">
        <v>45044.586111111108</v>
      </c>
      <c r="BC33">
        <v>12</v>
      </c>
      <c r="BD33">
        <v>2</v>
      </c>
      <c r="BE33">
        <v>7</v>
      </c>
      <c r="BH33" t="s">
        <v>427</v>
      </c>
      <c r="BI33" s="2">
        <v>45026</v>
      </c>
      <c r="BJ33">
        <v>2</v>
      </c>
      <c r="BK33">
        <v>2</v>
      </c>
      <c r="BM33">
        <v>25</v>
      </c>
      <c r="BN33">
        <v>5</v>
      </c>
      <c r="BO33">
        <v>1</v>
      </c>
      <c r="BY33">
        <v>2</v>
      </c>
      <c r="BZ33" s="1">
        <v>45044.586111111108</v>
      </c>
      <c r="CA33">
        <v>4</v>
      </c>
      <c r="CB33">
        <v>3</v>
      </c>
      <c r="CC33">
        <v>3</v>
      </c>
      <c r="CD33">
        <v>4</v>
      </c>
      <c r="CE33">
        <v>4</v>
      </c>
      <c r="CF33">
        <v>3</v>
      </c>
      <c r="CG33">
        <v>4</v>
      </c>
      <c r="CH33">
        <v>4</v>
      </c>
      <c r="CI33">
        <v>4</v>
      </c>
      <c r="CJ33">
        <v>4</v>
      </c>
      <c r="CK33">
        <v>3</v>
      </c>
      <c r="CL33">
        <v>4</v>
      </c>
      <c r="CM33">
        <v>1</v>
      </c>
      <c r="CN33">
        <v>2</v>
      </c>
      <c r="CO33">
        <v>4</v>
      </c>
      <c r="CP33">
        <v>3</v>
      </c>
      <c r="CQ33">
        <v>2</v>
      </c>
      <c r="CR33">
        <v>2</v>
      </c>
      <c r="CS33">
        <v>3</v>
      </c>
      <c r="CT33">
        <v>3</v>
      </c>
      <c r="CU33">
        <v>10</v>
      </c>
      <c r="CV33">
        <v>14</v>
      </c>
      <c r="CW33">
        <v>18</v>
      </c>
      <c r="CX33">
        <v>42</v>
      </c>
      <c r="CY33">
        <v>26</v>
      </c>
      <c r="CZ33">
        <v>2</v>
      </c>
      <c r="DA33" s="1">
        <v>45044.586805555555</v>
      </c>
      <c r="DB33">
        <v>1</v>
      </c>
      <c r="DC33">
        <v>0</v>
      </c>
      <c r="DD33">
        <v>0</v>
      </c>
      <c r="DE33">
        <v>0</v>
      </c>
      <c r="DF33">
        <v>0</v>
      </c>
      <c r="DG33">
        <v>0</v>
      </c>
      <c r="DH33">
        <v>0</v>
      </c>
      <c r="DI33">
        <v>0</v>
      </c>
      <c r="DJ33">
        <v>0</v>
      </c>
      <c r="DK33">
        <v>1</v>
      </c>
      <c r="DL33">
        <v>0</v>
      </c>
      <c r="DM33">
        <v>0</v>
      </c>
      <c r="DN33">
        <v>0</v>
      </c>
      <c r="DO33">
        <v>0</v>
      </c>
      <c r="DP33">
        <v>1</v>
      </c>
      <c r="DQ33">
        <v>0</v>
      </c>
      <c r="DR33">
        <v>0</v>
      </c>
      <c r="DS33">
        <v>0</v>
      </c>
      <c r="DT33">
        <v>0</v>
      </c>
      <c r="DU33">
        <v>1</v>
      </c>
      <c r="DV33">
        <v>0</v>
      </c>
      <c r="DW33">
        <v>0</v>
      </c>
      <c r="DX33">
        <v>0</v>
      </c>
      <c r="DY33">
        <v>0</v>
      </c>
      <c r="DZ33">
        <v>1</v>
      </c>
      <c r="EA33">
        <v>0</v>
      </c>
      <c r="EB33">
        <v>0</v>
      </c>
      <c r="EC33">
        <v>0</v>
      </c>
      <c r="ED33">
        <v>0</v>
      </c>
      <c r="EE33">
        <v>1</v>
      </c>
      <c r="EF33">
        <v>0</v>
      </c>
      <c r="EG33">
        <v>0</v>
      </c>
      <c r="EH33">
        <v>0</v>
      </c>
      <c r="EI33">
        <v>0</v>
      </c>
      <c r="EJ33">
        <v>1</v>
      </c>
      <c r="EK33">
        <v>0</v>
      </c>
      <c r="EL33">
        <v>0</v>
      </c>
      <c r="EM33">
        <v>1</v>
      </c>
      <c r="EN33">
        <v>0</v>
      </c>
      <c r="EO33">
        <v>0</v>
      </c>
      <c r="EP33">
        <v>0</v>
      </c>
      <c r="EQ33">
        <v>0</v>
      </c>
      <c r="ER33">
        <v>1</v>
      </c>
      <c r="ES33">
        <v>0</v>
      </c>
      <c r="ET33">
        <v>0</v>
      </c>
      <c r="EU33">
        <v>0</v>
      </c>
      <c r="EV33">
        <v>0</v>
      </c>
      <c r="EW33">
        <v>0</v>
      </c>
      <c r="EX33">
        <v>0</v>
      </c>
      <c r="EY33">
        <v>1</v>
      </c>
      <c r="EZ33">
        <v>0</v>
      </c>
      <c r="FA33">
        <v>0</v>
      </c>
      <c r="FB33">
        <v>0</v>
      </c>
      <c r="FC33">
        <v>0</v>
      </c>
      <c r="FD33">
        <v>1</v>
      </c>
      <c r="FE33">
        <v>0</v>
      </c>
      <c r="FF33">
        <v>0</v>
      </c>
      <c r="FG33">
        <v>1</v>
      </c>
      <c r="FH33">
        <v>0</v>
      </c>
      <c r="FI33">
        <v>0</v>
      </c>
      <c r="FJ33">
        <v>0</v>
      </c>
      <c r="FK33">
        <v>0</v>
      </c>
      <c r="FL33">
        <v>0</v>
      </c>
      <c r="FM33">
        <v>0</v>
      </c>
      <c r="FN33">
        <v>1</v>
      </c>
      <c r="FO33">
        <v>0</v>
      </c>
      <c r="FP33">
        <v>0</v>
      </c>
      <c r="FQ33">
        <v>0</v>
      </c>
      <c r="FR33">
        <v>0</v>
      </c>
      <c r="FS33">
        <v>1</v>
      </c>
      <c r="FT33">
        <v>0</v>
      </c>
      <c r="FU33">
        <v>0</v>
      </c>
      <c r="FV33">
        <v>0</v>
      </c>
      <c r="FW33">
        <v>0</v>
      </c>
      <c r="FX33">
        <v>1</v>
      </c>
      <c r="FY33">
        <v>0</v>
      </c>
      <c r="FZ33">
        <v>0</v>
      </c>
      <c r="GA33">
        <v>0</v>
      </c>
      <c r="GB33">
        <v>0</v>
      </c>
      <c r="GC33">
        <v>1</v>
      </c>
      <c r="GD33">
        <v>0</v>
      </c>
      <c r="GE33">
        <v>0</v>
      </c>
      <c r="GF33">
        <v>1</v>
      </c>
      <c r="GG33">
        <v>0</v>
      </c>
      <c r="GH33">
        <v>0</v>
      </c>
      <c r="GI33">
        <v>2</v>
      </c>
      <c r="GJ33" s="1">
        <v>45044.587500000001</v>
      </c>
      <c r="GK33">
        <v>0</v>
      </c>
      <c r="HF33">
        <v>2</v>
      </c>
      <c r="HG33" s="1">
        <v>45044.587500000001</v>
      </c>
      <c r="HH33">
        <v>7</v>
      </c>
      <c r="HI33">
        <v>8</v>
      </c>
      <c r="HJ33">
        <v>6</v>
      </c>
      <c r="HK33">
        <v>2</v>
      </c>
      <c r="HL33" s="1">
        <v>45057.48333333333</v>
      </c>
      <c r="HM33">
        <v>0</v>
      </c>
      <c r="HN33">
        <v>1</v>
      </c>
      <c r="HO33">
        <v>3</v>
      </c>
      <c r="HP33">
        <v>0</v>
      </c>
      <c r="HQ33">
        <v>2</v>
      </c>
      <c r="HR33">
        <v>0</v>
      </c>
      <c r="HS33">
        <v>2</v>
      </c>
      <c r="HT33">
        <v>3</v>
      </c>
      <c r="HU33">
        <v>0</v>
      </c>
      <c r="HV33">
        <v>1</v>
      </c>
      <c r="HW33">
        <v>0</v>
      </c>
      <c r="HX33">
        <v>0</v>
      </c>
      <c r="HY33">
        <v>0</v>
      </c>
      <c r="HZ33">
        <v>0</v>
      </c>
      <c r="IA33">
        <v>0</v>
      </c>
      <c r="IB33">
        <v>0</v>
      </c>
      <c r="IC33">
        <v>0</v>
      </c>
      <c r="ID33">
        <v>0</v>
      </c>
      <c r="IE33">
        <v>0</v>
      </c>
      <c r="IF33">
        <v>0</v>
      </c>
      <c r="IG33">
        <v>0</v>
      </c>
      <c r="IH33">
        <v>10</v>
      </c>
      <c r="II33">
        <v>2</v>
      </c>
      <c r="IJ33" s="1">
        <v>45057.48333333333</v>
      </c>
      <c r="IK33">
        <v>0</v>
      </c>
      <c r="IL33">
        <v>0</v>
      </c>
      <c r="IM33">
        <v>0</v>
      </c>
      <c r="IN33">
        <v>0</v>
      </c>
      <c r="IO33">
        <v>0</v>
      </c>
      <c r="IP33">
        <v>0</v>
      </c>
      <c r="IQ33">
        <v>0</v>
      </c>
      <c r="IR33">
        <v>0</v>
      </c>
      <c r="IS33">
        <v>0</v>
      </c>
      <c r="IT33">
        <v>0</v>
      </c>
      <c r="IU33">
        <v>0</v>
      </c>
      <c r="IV33">
        <v>0</v>
      </c>
      <c r="IW33">
        <v>0</v>
      </c>
      <c r="IX33">
        <v>0</v>
      </c>
      <c r="IY33">
        <v>0</v>
      </c>
      <c r="IZ33">
        <v>0</v>
      </c>
      <c r="JA33">
        <v>0</v>
      </c>
      <c r="JB33">
        <v>0</v>
      </c>
      <c r="JC33">
        <v>0</v>
      </c>
      <c r="JD33">
        <v>1</v>
      </c>
      <c r="JN33">
        <v>0</v>
      </c>
      <c r="JQ33">
        <v>2</v>
      </c>
      <c r="JR33" s="1">
        <v>45057.48333333333</v>
      </c>
      <c r="JS33">
        <v>0</v>
      </c>
      <c r="JT33">
        <v>0</v>
      </c>
      <c r="JU33">
        <v>0</v>
      </c>
      <c r="JV33">
        <v>0</v>
      </c>
      <c r="JW33">
        <v>2</v>
      </c>
      <c r="JX33" s="1">
        <v>45057.484027777777</v>
      </c>
      <c r="JY33">
        <v>48.5</v>
      </c>
      <c r="JZ33">
        <v>2.2000000000000002</v>
      </c>
      <c r="KI33">
        <v>2</v>
      </c>
      <c r="UA33">
        <v>2</v>
      </c>
      <c r="WQ33">
        <v>2</v>
      </c>
      <c r="XG33">
        <v>2</v>
      </c>
      <c r="YQ33">
        <v>2</v>
      </c>
      <c r="YR33" s="1">
        <v>45057.484027777777</v>
      </c>
      <c r="YS33">
        <v>4</v>
      </c>
      <c r="YT33">
        <v>2</v>
      </c>
      <c r="YU33">
        <v>4</v>
      </c>
      <c r="YV33">
        <v>3</v>
      </c>
      <c r="YW33">
        <v>2</v>
      </c>
      <c r="YX33">
        <v>2</v>
      </c>
      <c r="YY33">
        <v>3</v>
      </c>
      <c r="YZ33">
        <v>1</v>
      </c>
      <c r="ZA33">
        <v>4</v>
      </c>
      <c r="ZB33">
        <v>3</v>
      </c>
      <c r="ZC33">
        <v>1</v>
      </c>
      <c r="ZD33">
        <v>4</v>
      </c>
      <c r="ZE33">
        <v>2</v>
      </c>
      <c r="ZF33">
        <v>3</v>
      </c>
      <c r="ZG33">
        <v>3</v>
      </c>
      <c r="ZH33">
        <v>2</v>
      </c>
      <c r="ZI33">
        <v>2</v>
      </c>
      <c r="ZJ33">
        <v>1</v>
      </c>
      <c r="ZK33">
        <v>2</v>
      </c>
      <c r="ZL33">
        <v>2</v>
      </c>
      <c r="ZM33">
        <v>30</v>
      </c>
      <c r="ZN33">
        <v>20</v>
      </c>
      <c r="ZO33">
        <v>2</v>
      </c>
      <c r="ZP33" s="1">
        <v>45057.484722222223</v>
      </c>
      <c r="ZQ33">
        <v>0</v>
      </c>
      <c r="ZR33">
        <v>0</v>
      </c>
      <c r="ZS33">
        <v>0</v>
      </c>
      <c r="ZT33">
        <v>0</v>
      </c>
      <c r="ZU33">
        <v>2</v>
      </c>
      <c r="ZV33">
        <v>1</v>
      </c>
      <c r="ZW33">
        <v>0</v>
      </c>
      <c r="ZX33">
        <v>1</v>
      </c>
      <c r="ZY33">
        <v>0</v>
      </c>
      <c r="ZZ33">
        <v>0</v>
      </c>
      <c r="AAA33">
        <v>1</v>
      </c>
      <c r="AAB33">
        <v>0</v>
      </c>
      <c r="AAC33">
        <v>0</v>
      </c>
      <c r="AAD33">
        <v>2</v>
      </c>
      <c r="AAE33">
        <v>0</v>
      </c>
      <c r="AAF33">
        <v>0</v>
      </c>
      <c r="AAG33">
        <v>0</v>
      </c>
      <c r="AAH33">
        <v>0</v>
      </c>
      <c r="AAI33">
        <v>0</v>
      </c>
      <c r="AAJ33">
        <v>6</v>
      </c>
      <c r="AAK33">
        <v>1</v>
      </c>
      <c r="AAL33">
        <v>7</v>
      </c>
      <c r="AAM33">
        <v>2</v>
      </c>
      <c r="AAN33" s="1">
        <v>45057.484722222223</v>
      </c>
      <c r="AAO33">
        <v>0</v>
      </c>
      <c r="ABF33">
        <v>2</v>
      </c>
      <c r="ABG33" s="1">
        <v>45057.48541666667</v>
      </c>
      <c r="AEG33">
        <v>0</v>
      </c>
      <c r="AEH33">
        <v>0</v>
      </c>
      <c r="AEI33">
        <v>0</v>
      </c>
      <c r="AEJ33">
        <v>1</v>
      </c>
      <c r="AEK33">
        <v>0</v>
      </c>
      <c r="AEL33">
        <v>0</v>
      </c>
      <c r="AEM33">
        <v>0</v>
      </c>
      <c r="AEN33">
        <v>1</v>
      </c>
      <c r="AEO33">
        <v>0</v>
      </c>
      <c r="AEP33">
        <v>1</v>
      </c>
      <c r="AEQ33">
        <v>0</v>
      </c>
      <c r="AER33">
        <v>0</v>
      </c>
      <c r="AES33">
        <v>1</v>
      </c>
      <c r="AET33">
        <v>0</v>
      </c>
      <c r="AEU33">
        <v>0</v>
      </c>
      <c r="AEV33">
        <v>0</v>
      </c>
      <c r="AEW33">
        <v>0</v>
      </c>
      <c r="AEX33">
        <v>0</v>
      </c>
      <c r="AEY33">
        <v>1</v>
      </c>
      <c r="AEZ33">
        <v>1</v>
      </c>
      <c r="AFA33">
        <v>0</v>
      </c>
      <c r="AFB33">
        <v>1</v>
      </c>
      <c r="AFC33">
        <v>0</v>
      </c>
      <c r="AFD33">
        <v>0</v>
      </c>
      <c r="AFE33">
        <v>0</v>
      </c>
      <c r="AFF33">
        <v>0</v>
      </c>
      <c r="AFG33">
        <v>0</v>
      </c>
      <c r="AFH33">
        <v>0</v>
      </c>
      <c r="AFI33">
        <v>0</v>
      </c>
      <c r="AFJ33">
        <v>0</v>
      </c>
      <c r="AFK33">
        <v>1</v>
      </c>
      <c r="AFL33">
        <v>0</v>
      </c>
      <c r="AFM33">
        <v>0</v>
      </c>
      <c r="AFN33">
        <v>3</v>
      </c>
      <c r="AFO33">
        <v>0</v>
      </c>
      <c r="AFP33">
        <v>3</v>
      </c>
      <c r="AFQ33">
        <v>1</v>
      </c>
      <c r="AFR33">
        <v>2</v>
      </c>
      <c r="AFS33" s="1">
        <v>45057.486111111109</v>
      </c>
      <c r="AFT33">
        <v>2</v>
      </c>
      <c r="AFU33">
        <v>2</v>
      </c>
      <c r="AFV33">
        <v>2</v>
      </c>
      <c r="AFW33">
        <v>1</v>
      </c>
      <c r="AFX33">
        <v>2</v>
      </c>
      <c r="AFY33">
        <v>1</v>
      </c>
      <c r="AFZ33">
        <v>2</v>
      </c>
      <c r="AGA33">
        <v>2</v>
      </c>
      <c r="AGB33">
        <v>1</v>
      </c>
      <c r="AGC33">
        <v>2</v>
      </c>
      <c r="AGD33">
        <v>2</v>
      </c>
      <c r="AGE33">
        <v>2</v>
      </c>
      <c r="AGF33">
        <v>1</v>
      </c>
      <c r="AGG33">
        <v>1</v>
      </c>
      <c r="AGH33">
        <v>2</v>
      </c>
      <c r="AGI33">
        <v>2</v>
      </c>
      <c r="AGJ33">
        <v>2</v>
      </c>
      <c r="AGK33">
        <v>1</v>
      </c>
      <c r="AGL33">
        <v>2</v>
      </c>
      <c r="AGM33">
        <v>2</v>
      </c>
      <c r="AGN33">
        <v>44</v>
      </c>
      <c r="AGO33">
        <v>2</v>
      </c>
      <c r="AGP33" s="1">
        <v>45057.486111111109</v>
      </c>
      <c r="AGQ33">
        <v>0</v>
      </c>
      <c r="AGV33">
        <v>0</v>
      </c>
      <c r="AGW33">
        <v>0</v>
      </c>
      <c r="AGX33">
        <v>0</v>
      </c>
      <c r="AGY33">
        <v>0</v>
      </c>
      <c r="AGZ33">
        <v>0</v>
      </c>
      <c r="AHB33">
        <v>2</v>
      </c>
      <c r="AHU33" t="s">
        <v>416</v>
      </c>
    </row>
    <row r="34" spans="1:905">
      <c r="A34">
        <v>191</v>
      </c>
      <c r="B34" t="s">
        <v>205</v>
      </c>
      <c r="C34" t="s">
        <v>428</v>
      </c>
      <c r="D34">
        <v>2</v>
      </c>
      <c r="E34">
        <v>2</v>
      </c>
      <c r="F34">
        <v>41</v>
      </c>
      <c r="G34">
        <v>68</v>
      </c>
      <c r="H34">
        <v>220</v>
      </c>
      <c r="I34">
        <v>0</v>
      </c>
      <c r="J34">
        <v>3</v>
      </c>
      <c r="L34" t="s">
        <v>429</v>
      </c>
      <c r="M34">
        <v>2</v>
      </c>
      <c r="N34" s="1">
        <v>45059.994444444441</v>
      </c>
      <c r="O34">
        <v>7</v>
      </c>
      <c r="P34">
        <v>0</v>
      </c>
      <c r="R34">
        <v>0</v>
      </c>
      <c r="S34">
        <v>0</v>
      </c>
      <c r="T34">
        <v>0</v>
      </c>
      <c r="U34">
        <v>0</v>
      </c>
      <c r="V34">
        <v>1</v>
      </c>
      <c r="W34">
        <v>0</v>
      </c>
      <c r="X34">
        <v>0</v>
      </c>
      <c r="Y34">
        <v>0</v>
      </c>
      <c r="Z34">
        <v>0</v>
      </c>
      <c r="AA34">
        <v>0</v>
      </c>
      <c r="AB34">
        <v>0</v>
      </c>
      <c r="AC34">
        <v>2</v>
      </c>
      <c r="AD34">
        <v>2</v>
      </c>
      <c r="AE34" s="1">
        <v>45060.003472222219</v>
      </c>
      <c r="AF34">
        <v>3</v>
      </c>
      <c r="AG34">
        <v>2</v>
      </c>
      <c r="AH34">
        <v>3</v>
      </c>
      <c r="AI34">
        <v>2</v>
      </c>
      <c r="AJ34">
        <v>2</v>
      </c>
      <c r="AK34">
        <v>2</v>
      </c>
      <c r="AL34">
        <v>4</v>
      </c>
      <c r="AM34">
        <v>1</v>
      </c>
      <c r="AN34">
        <v>2</v>
      </c>
      <c r="AO34">
        <v>3</v>
      </c>
      <c r="AP34">
        <v>1</v>
      </c>
      <c r="AQ34">
        <v>2</v>
      </c>
      <c r="AR34">
        <v>3</v>
      </c>
      <c r="AS34">
        <v>2</v>
      </c>
      <c r="AT34">
        <v>1</v>
      </c>
      <c r="AU34">
        <v>3</v>
      </c>
      <c r="AV34">
        <v>2</v>
      </c>
      <c r="AW34">
        <v>1</v>
      </c>
      <c r="AX34">
        <v>3</v>
      </c>
      <c r="AY34">
        <v>1</v>
      </c>
      <c r="AZ34">
        <v>36</v>
      </c>
      <c r="BA34">
        <v>2</v>
      </c>
      <c r="BB34" s="1">
        <v>45060.006944444445</v>
      </c>
      <c r="BC34">
        <v>13</v>
      </c>
      <c r="BD34">
        <v>6</v>
      </c>
      <c r="BE34">
        <v>1</v>
      </c>
      <c r="BI34" s="2">
        <v>45035</v>
      </c>
      <c r="BM34">
        <v>28</v>
      </c>
      <c r="BN34">
        <v>4</v>
      </c>
      <c r="BO34">
        <v>1</v>
      </c>
      <c r="BY34">
        <v>2</v>
      </c>
      <c r="BZ34" s="1">
        <v>45060.018750000003</v>
      </c>
      <c r="CA34">
        <v>3</v>
      </c>
      <c r="CB34">
        <v>2</v>
      </c>
      <c r="CC34">
        <v>3</v>
      </c>
      <c r="CD34">
        <v>2</v>
      </c>
      <c r="CE34">
        <v>4</v>
      </c>
      <c r="CF34">
        <v>3</v>
      </c>
      <c r="CG34">
        <v>3</v>
      </c>
      <c r="CH34">
        <v>4</v>
      </c>
      <c r="CI34">
        <v>4</v>
      </c>
      <c r="CJ34">
        <v>3</v>
      </c>
      <c r="CK34">
        <v>3</v>
      </c>
      <c r="CL34">
        <v>3</v>
      </c>
      <c r="CM34">
        <v>3</v>
      </c>
      <c r="CN34">
        <v>2</v>
      </c>
      <c r="CO34">
        <v>4</v>
      </c>
      <c r="CP34">
        <v>3</v>
      </c>
      <c r="CQ34">
        <v>2</v>
      </c>
      <c r="CR34">
        <v>2</v>
      </c>
      <c r="CS34">
        <v>2</v>
      </c>
      <c r="CT34">
        <v>2</v>
      </c>
      <c r="CU34">
        <v>10</v>
      </c>
      <c r="CV34">
        <v>14</v>
      </c>
      <c r="CW34">
        <v>14</v>
      </c>
      <c r="CX34">
        <v>38</v>
      </c>
      <c r="CY34">
        <v>19</v>
      </c>
      <c r="CZ34">
        <v>2</v>
      </c>
      <c r="DA34" s="1">
        <v>45060.040277777778</v>
      </c>
      <c r="DB34">
        <v>1</v>
      </c>
      <c r="DC34">
        <v>0</v>
      </c>
      <c r="DD34">
        <v>0</v>
      </c>
      <c r="DE34">
        <v>0</v>
      </c>
      <c r="DF34">
        <v>0</v>
      </c>
      <c r="DG34">
        <v>0</v>
      </c>
      <c r="DH34">
        <v>1</v>
      </c>
      <c r="DI34">
        <v>1</v>
      </c>
      <c r="DJ34">
        <v>0</v>
      </c>
      <c r="DK34">
        <v>0</v>
      </c>
      <c r="DL34">
        <v>1</v>
      </c>
      <c r="DM34">
        <v>0</v>
      </c>
      <c r="DN34">
        <v>1</v>
      </c>
      <c r="DO34">
        <v>0</v>
      </c>
      <c r="DP34">
        <v>0</v>
      </c>
      <c r="DQ34">
        <v>0</v>
      </c>
      <c r="DR34">
        <v>0</v>
      </c>
      <c r="DS34">
        <v>0</v>
      </c>
      <c r="DT34">
        <v>0</v>
      </c>
      <c r="DU34">
        <v>1</v>
      </c>
      <c r="DV34">
        <v>0</v>
      </c>
      <c r="DW34">
        <v>0</v>
      </c>
      <c r="DX34">
        <v>1</v>
      </c>
      <c r="DY34">
        <v>0</v>
      </c>
      <c r="DZ34">
        <v>0</v>
      </c>
      <c r="EA34">
        <v>0</v>
      </c>
      <c r="EB34">
        <v>0</v>
      </c>
      <c r="EC34">
        <v>0</v>
      </c>
      <c r="ED34">
        <v>0</v>
      </c>
      <c r="EE34">
        <v>1</v>
      </c>
      <c r="EF34">
        <v>0</v>
      </c>
      <c r="EG34">
        <v>0</v>
      </c>
      <c r="EH34">
        <v>0</v>
      </c>
      <c r="EI34">
        <v>0</v>
      </c>
      <c r="EJ34">
        <v>1</v>
      </c>
      <c r="EK34">
        <v>0</v>
      </c>
      <c r="EL34">
        <v>0</v>
      </c>
      <c r="EM34">
        <v>1</v>
      </c>
      <c r="EN34">
        <v>0</v>
      </c>
      <c r="EO34">
        <v>0</v>
      </c>
      <c r="EP34">
        <v>1</v>
      </c>
      <c r="EQ34">
        <v>0</v>
      </c>
      <c r="ER34">
        <v>0</v>
      </c>
      <c r="ES34">
        <v>0</v>
      </c>
      <c r="ET34">
        <v>0</v>
      </c>
      <c r="EU34">
        <v>0</v>
      </c>
      <c r="EV34">
        <v>0</v>
      </c>
      <c r="EW34">
        <v>0</v>
      </c>
      <c r="EX34">
        <v>0</v>
      </c>
      <c r="EY34">
        <v>1</v>
      </c>
      <c r="EZ34">
        <v>0</v>
      </c>
      <c r="FA34">
        <v>0</v>
      </c>
      <c r="FB34">
        <v>0</v>
      </c>
      <c r="FC34">
        <v>0</v>
      </c>
      <c r="FD34">
        <v>1</v>
      </c>
      <c r="FE34">
        <v>0</v>
      </c>
      <c r="FF34">
        <v>1</v>
      </c>
      <c r="FG34">
        <v>1</v>
      </c>
      <c r="FH34">
        <v>0</v>
      </c>
      <c r="FI34">
        <v>0</v>
      </c>
      <c r="FJ34">
        <v>0</v>
      </c>
      <c r="FK34">
        <v>0</v>
      </c>
      <c r="FL34">
        <v>0</v>
      </c>
      <c r="FM34">
        <v>1</v>
      </c>
      <c r="FN34">
        <v>0</v>
      </c>
      <c r="FO34">
        <v>0</v>
      </c>
      <c r="FP34">
        <v>0</v>
      </c>
      <c r="FQ34">
        <v>1</v>
      </c>
      <c r="FR34">
        <v>0</v>
      </c>
      <c r="FS34">
        <v>0</v>
      </c>
      <c r="FT34">
        <v>0</v>
      </c>
      <c r="FU34">
        <v>0</v>
      </c>
      <c r="FV34">
        <v>0</v>
      </c>
      <c r="FW34">
        <v>0</v>
      </c>
      <c r="FX34">
        <v>1</v>
      </c>
      <c r="FY34">
        <v>0</v>
      </c>
      <c r="FZ34">
        <v>0</v>
      </c>
      <c r="GA34">
        <v>0</v>
      </c>
      <c r="GB34">
        <v>0</v>
      </c>
      <c r="GC34">
        <v>1</v>
      </c>
      <c r="GD34">
        <v>1</v>
      </c>
      <c r="GE34">
        <v>1</v>
      </c>
      <c r="GF34">
        <v>0</v>
      </c>
      <c r="GG34">
        <v>0</v>
      </c>
      <c r="GH34">
        <v>0</v>
      </c>
      <c r="GI34">
        <v>2</v>
      </c>
      <c r="GJ34" s="1">
        <v>45060.043055555558</v>
      </c>
      <c r="GK34">
        <v>1</v>
      </c>
      <c r="GL34">
        <v>3</v>
      </c>
      <c r="GM34">
        <v>2</v>
      </c>
      <c r="GN34">
        <v>2</v>
      </c>
      <c r="GO34">
        <v>3</v>
      </c>
      <c r="GP34">
        <v>2</v>
      </c>
      <c r="GQ34">
        <v>2</v>
      </c>
      <c r="GR34">
        <v>1</v>
      </c>
      <c r="GS34">
        <v>3</v>
      </c>
      <c r="GT34">
        <v>3</v>
      </c>
      <c r="GU34">
        <v>2</v>
      </c>
      <c r="GV34">
        <v>2</v>
      </c>
      <c r="GW34">
        <v>3</v>
      </c>
      <c r="GX34">
        <v>2</v>
      </c>
      <c r="GY34">
        <v>2</v>
      </c>
      <c r="GZ34">
        <v>2</v>
      </c>
      <c r="HA34">
        <v>2</v>
      </c>
      <c r="HB34">
        <v>2</v>
      </c>
      <c r="HC34">
        <v>15</v>
      </c>
      <c r="HD34">
        <v>10</v>
      </c>
      <c r="HE34">
        <v>36</v>
      </c>
      <c r="HF34">
        <v>2</v>
      </c>
      <c r="HG34" s="1">
        <v>45060.045138888891</v>
      </c>
      <c r="HH34">
        <v>8</v>
      </c>
      <c r="HI34">
        <v>14</v>
      </c>
      <c r="HJ34">
        <v>13</v>
      </c>
      <c r="HK34">
        <v>2</v>
      </c>
      <c r="HL34" s="1">
        <v>45071.678472222222</v>
      </c>
      <c r="HM34">
        <v>0</v>
      </c>
      <c r="HN34">
        <v>0</v>
      </c>
      <c r="HO34">
        <v>1</v>
      </c>
      <c r="HP34">
        <v>1</v>
      </c>
      <c r="HQ34">
        <v>2</v>
      </c>
      <c r="HR34">
        <v>0</v>
      </c>
      <c r="HS34">
        <v>0</v>
      </c>
      <c r="HT34">
        <v>2</v>
      </c>
      <c r="HU34">
        <v>0</v>
      </c>
      <c r="HV34">
        <v>0</v>
      </c>
      <c r="HW34">
        <v>0</v>
      </c>
      <c r="HX34">
        <v>1</v>
      </c>
      <c r="HY34">
        <v>1</v>
      </c>
      <c r="HZ34">
        <v>1</v>
      </c>
      <c r="IA34">
        <v>1</v>
      </c>
      <c r="IB34">
        <v>1</v>
      </c>
      <c r="IC34">
        <v>0</v>
      </c>
      <c r="ID34">
        <v>0</v>
      </c>
      <c r="IE34">
        <v>1</v>
      </c>
      <c r="IF34">
        <v>2</v>
      </c>
      <c r="IG34">
        <v>1</v>
      </c>
      <c r="IH34">
        <v>14</v>
      </c>
      <c r="II34">
        <v>2</v>
      </c>
      <c r="IJ34" s="1">
        <v>45071.682638888888</v>
      </c>
      <c r="IK34">
        <v>1</v>
      </c>
      <c r="IL34">
        <v>1</v>
      </c>
      <c r="IM34">
        <v>0</v>
      </c>
      <c r="IN34">
        <v>0</v>
      </c>
      <c r="IO34">
        <v>0</v>
      </c>
      <c r="IP34">
        <v>1</v>
      </c>
      <c r="IQ34">
        <v>1</v>
      </c>
      <c r="IR34">
        <v>1</v>
      </c>
      <c r="IS34">
        <v>1</v>
      </c>
      <c r="IT34">
        <v>0</v>
      </c>
      <c r="IU34">
        <v>1</v>
      </c>
      <c r="IV34">
        <v>1</v>
      </c>
      <c r="IW34">
        <v>0</v>
      </c>
      <c r="IX34">
        <v>0</v>
      </c>
      <c r="IY34">
        <v>0</v>
      </c>
      <c r="IZ34">
        <v>1</v>
      </c>
      <c r="JA34">
        <v>1</v>
      </c>
      <c r="JB34">
        <v>1</v>
      </c>
      <c r="JC34">
        <v>1</v>
      </c>
      <c r="JD34">
        <v>0</v>
      </c>
      <c r="JE34">
        <v>10</v>
      </c>
      <c r="JF34">
        <v>1</v>
      </c>
      <c r="JG34">
        <v>2</v>
      </c>
      <c r="JH34">
        <v>2</v>
      </c>
      <c r="JI34">
        <v>1</v>
      </c>
      <c r="JJ34">
        <v>1</v>
      </c>
      <c r="JK34">
        <v>1</v>
      </c>
      <c r="JL34" t="s">
        <v>227</v>
      </c>
      <c r="JM34" t="s">
        <v>430</v>
      </c>
      <c r="JN34">
        <v>12</v>
      </c>
      <c r="JO34">
        <v>8</v>
      </c>
      <c r="JP34">
        <v>3</v>
      </c>
      <c r="JQ34">
        <v>2</v>
      </c>
      <c r="JR34" s="1">
        <v>45071.683333333334</v>
      </c>
      <c r="JS34">
        <v>0</v>
      </c>
      <c r="JT34">
        <v>0</v>
      </c>
      <c r="JU34">
        <v>0</v>
      </c>
      <c r="JV34">
        <v>0</v>
      </c>
      <c r="JW34">
        <v>2</v>
      </c>
      <c r="JX34" s="1">
        <v>45071.684027777781</v>
      </c>
      <c r="JY34">
        <v>60.5</v>
      </c>
      <c r="JZ34">
        <v>2.2999999999999998</v>
      </c>
      <c r="KI34">
        <v>3</v>
      </c>
      <c r="UA34">
        <v>3</v>
      </c>
      <c r="UQ34">
        <v>4</v>
      </c>
      <c r="XG34">
        <v>4</v>
      </c>
      <c r="YQ34">
        <v>2</v>
      </c>
      <c r="YR34" s="1">
        <v>45071.68472222222</v>
      </c>
      <c r="YS34">
        <v>3</v>
      </c>
      <c r="YT34">
        <v>4</v>
      </c>
      <c r="YU34">
        <v>1</v>
      </c>
      <c r="YV34">
        <v>1</v>
      </c>
      <c r="YW34">
        <v>2</v>
      </c>
      <c r="YX34">
        <v>2</v>
      </c>
      <c r="YY34">
        <v>2</v>
      </c>
      <c r="YZ34">
        <v>1</v>
      </c>
      <c r="ZA34">
        <v>2</v>
      </c>
      <c r="ZB34">
        <v>2</v>
      </c>
      <c r="ZC34">
        <v>2</v>
      </c>
      <c r="ZD34">
        <v>4</v>
      </c>
      <c r="ZE34">
        <v>1</v>
      </c>
      <c r="ZF34">
        <v>2</v>
      </c>
      <c r="ZG34">
        <v>3</v>
      </c>
      <c r="ZH34">
        <v>3</v>
      </c>
      <c r="ZI34">
        <v>4</v>
      </c>
      <c r="ZJ34">
        <v>3</v>
      </c>
      <c r="ZK34">
        <v>2</v>
      </c>
      <c r="ZL34">
        <v>1</v>
      </c>
      <c r="ZM34">
        <v>25</v>
      </c>
      <c r="ZN34">
        <v>20</v>
      </c>
      <c r="ZO34">
        <v>2</v>
      </c>
      <c r="ZP34" s="1">
        <v>45071.686111111114</v>
      </c>
      <c r="ZQ34">
        <v>2</v>
      </c>
      <c r="ZR34">
        <v>1</v>
      </c>
      <c r="ZS34">
        <v>1</v>
      </c>
      <c r="ZT34">
        <v>0</v>
      </c>
      <c r="ZU34">
        <v>1</v>
      </c>
      <c r="ZV34">
        <v>3</v>
      </c>
      <c r="ZW34">
        <v>1</v>
      </c>
      <c r="ZX34">
        <v>0</v>
      </c>
      <c r="ZY34">
        <v>0</v>
      </c>
      <c r="ZZ34">
        <v>1</v>
      </c>
      <c r="AAA34">
        <v>0</v>
      </c>
      <c r="AAB34">
        <v>1</v>
      </c>
      <c r="AAC34">
        <v>1</v>
      </c>
      <c r="AAD34">
        <v>1</v>
      </c>
      <c r="AAE34">
        <v>0</v>
      </c>
      <c r="AAF34">
        <v>0</v>
      </c>
      <c r="AAG34">
        <v>0</v>
      </c>
      <c r="AAH34">
        <v>0</v>
      </c>
      <c r="AAI34">
        <v>5</v>
      </c>
      <c r="AAJ34">
        <v>3</v>
      </c>
      <c r="AAK34">
        <v>5</v>
      </c>
      <c r="AAL34">
        <v>13</v>
      </c>
      <c r="AAM34">
        <v>2</v>
      </c>
      <c r="AAN34" s="1">
        <v>45071.688194444447</v>
      </c>
      <c r="AAO34">
        <v>1</v>
      </c>
      <c r="AAP34">
        <v>7</v>
      </c>
      <c r="AAQ34">
        <v>2</v>
      </c>
      <c r="AAR34">
        <v>4</v>
      </c>
      <c r="AAS34">
        <v>3</v>
      </c>
      <c r="AAT34">
        <v>18</v>
      </c>
      <c r="AAU34">
        <v>6</v>
      </c>
      <c r="AAV34">
        <v>4</v>
      </c>
      <c r="AAW34">
        <v>5</v>
      </c>
      <c r="AAX34">
        <v>6</v>
      </c>
      <c r="AAY34">
        <v>2</v>
      </c>
      <c r="AAZ34">
        <v>4</v>
      </c>
      <c r="ABA34">
        <v>3</v>
      </c>
      <c r="ABB34">
        <v>3</v>
      </c>
      <c r="ABC34">
        <v>2</v>
      </c>
      <c r="ABD34">
        <v>4</v>
      </c>
      <c r="ABE34">
        <v>4.2857142860000002</v>
      </c>
      <c r="ABF34">
        <v>2</v>
      </c>
      <c r="ABG34" s="1">
        <v>45071.689583333333</v>
      </c>
      <c r="AEG34">
        <v>2</v>
      </c>
      <c r="AEH34">
        <v>1</v>
      </c>
      <c r="AEI34">
        <v>2</v>
      </c>
      <c r="AEJ34">
        <v>0</v>
      </c>
      <c r="AEK34">
        <v>0</v>
      </c>
      <c r="AEL34">
        <v>1</v>
      </c>
      <c r="AEM34">
        <v>0</v>
      </c>
      <c r="AEN34">
        <v>0</v>
      </c>
      <c r="AEO34">
        <v>0</v>
      </c>
      <c r="AEP34">
        <v>0</v>
      </c>
      <c r="AEQ34">
        <v>0</v>
      </c>
      <c r="AER34">
        <v>1</v>
      </c>
      <c r="AES34">
        <v>2</v>
      </c>
      <c r="AET34">
        <v>0</v>
      </c>
      <c r="AEU34">
        <v>2</v>
      </c>
      <c r="AEV34">
        <v>1</v>
      </c>
      <c r="AEW34">
        <v>1</v>
      </c>
      <c r="AEX34">
        <v>1</v>
      </c>
      <c r="AEY34">
        <v>2</v>
      </c>
      <c r="AEZ34">
        <v>2</v>
      </c>
      <c r="AFA34">
        <v>1</v>
      </c>
      <c r="AFB34">
        <v>2</v>
      </c>
      <c r="AFC34">
        <v>4</v>
      </c>
      <c r="AFD34">
        <v>0</v>
      </c>
      <c r="AFE34">
        <v>0</v>
      </c>
      <c r="AFF34">
        <v>0</v>
      </c>
      <c r="AFG34">
        <v>0</v>
      </c>
      <c r="AFH34">
        <v>0</v>
      </c>
      <c r="AFI34">
        <v>0</v>
      </c>
      <c r="AFJ34">
        <v>0</v>
      </c>
      <c r="AFK34">
        <v>7</v>
      </c>
      <c r="AFL34">
        <v>4</v>
      </c>
      <c r="AFM34">
        <v>1</v>
      </c>
      <c r="AFN34">
        <v>12</v>
      </c>
      <c r="AFO34">
        <v>1</v>
      </c>
      <c r="AFP34">
        <v>0</v>
      </c>
      <c r="AFQ34">
        <v>25</v>
      </c>
      <c r="AFR34">
        <v>2</v>
      </c>
      <c r="AFS34" s="1">
        <v>45071.69027777778</v>
      </c>
      <c r="AFT34">
        <v>3</v>
      </c>
      <c r="AFU34">
        <v>3</v>
      </c>
      <c r="AFV34">
        <v>4</v>
      </c>
      <c r="AFW34">
        <v>2</v>
      </c>
      <c r="AFX34">
        <v>2</v>
      </c>
      <c r="AFY34">
        <v>1</v>
      </c>
      <c r="AFZ34">
        <v>2</v>
      </c>
      <c r="AGA34">
        <v>2</v>
      </c>
      <c r="AGB34">
        <v>1</v>
      </c>
      <c r="AGC34">
        <v>2</v>
      </c>
      <c r="AGD34">
        <v>2</v>
      </c>
      <c r="AGE34">
        <v>2</v>
      </c>
      <c r="AGF34">
        <v>2</v>
      </c>
      <c r="AGG34">
        <v>3</v>
      </c>
      <c r="AGH34">
        <v>2</v>
      </c>
      <c r="AGI34">
        <v>3</v>
      </c>
      <c r="AGJ34">
        <v>3</v>
      </c>
      <c r="AGK34">
        <v>1</v>
      </c>
      <c r="AGL34">
        <v>2</v>
      </c>
      <c r="AGM34">
        <v>3</v>
      </c>
      <c r="AGN34">
        <v>47</v>
      </c>
      <c r="AGO34">
        <v>2</v>
      </c>
      <c r="AGP34" s="1">
        <v>45071.690972222219</v>
      </c>
      <c r="AGQ34">
        <v>0</v>
      </c>
      <c r="AGV34">
        <v>0</v>
      </c>
      <c r="AGW34">
        <v>0</v>
      </c>
      <c r="AGX34">
        <v>0</v>
      </c>
      <c r="AGY34">
        <v>0</v>
      </c>
      <c r="AGZ34">
        <v>0</v>
      </c>
      <c r="AHB34">
        <v>2</v>
      </c>
      <c r="AHU34" t="s">
        <v>416</v>
      </c>
    </row>
    <row r="35" spans="1:905">
      <c r="A35">
        <v>192</v>
      </c>
      <c r="B35" t="s">
        <v>205</v>
      </c>
      <c r="C35" t="s">
        <v>431</v>
      </c>
      <c r="D35">
        <v>2</v>
      </c>
      <c r="E35">
        <v>2</v>
      </c>
      <c r="F35">
        <v>42</v>
      </c>
      <c r="G35">
        <v>66</v>
      </c>
      <c r="H35">
        <v>142</v>
      </c>
      <c r="I35">
        <v>0</v>
      </c>
      <c r="J35">
        <v>3</v>
      </c>
      <c r="L35" t="s">
        <v>432</v>
      </c>
      <c r="M35">
        <v>2</v>
      </c>
      <c r="N35" s="1">
        <v>45047.574305555558</v>
      </c>
      <c r="O35">
        <v>7</v>
      </c>
      <c r="P35">
        <v>0</v>
      </c>
      <c r="R35">
        <v>0</v>
      </c>
      <c r="S35">
        <v>0</v>
      </c>
      <c r="T35">
        <v>0</v>
      </c>
      <c r="U35">
        <v>0</v>
      </c>
      <c r="V35">
        <v>1</v>
      </c>
      <c r="W35">
        <v>0</v>
      </c>
      <c r="X35">
        <v>0</v>
      </c>
      <c r="Y35">
        <v>0</v>
      </c>
      <c r="Z35">
        <v>0</v>
      </c>
      <c r="AA35">
        <v>0</v>
      </c>
      <c r="AB35">
        <v>0</v>
      </c>
      <c r="AC35">
        <v>2</v>
      </c>
      <c r="AD35">
        <v>2</v>
      </c>
      <c r="AE35" s="1">
        <v>45047.576388888891</v>
      </c>
      <c r="AF35">
        <v>4</v>
      </c>
      <c r="AG35">
        <v>1</v>
      </c>
      <c r="AH35">
        <v>4</v>
      </c>
      <c r="AI35">
        <v>1</v>
      </c>
      <c r="AJ35">
        <v>1</v>
      </c>
      <c r="AK35">
        <v>2</v>
      </c>
      <c r="AL35">
        <v>3</v>
      </c>
      <c r="AM35">
        <v>1</v>
      </c>
      <c r="AN35">
        <v>2</v>
      </c>
      <c r="AO35">
        <v>4</v>
      </c>
      <c r="AP35">
        <v>1</v>
      </c>
      <c r="AQ35">
        <v>2</v>
      </c>
      <c r="AR35">
        <v>3</v>
      </c>
      <c r="AS35">
        <v>2</v>
      </c>
      <c r="AT35">
        <v>1</v>
      </c>
      <c r="AU35">
        <v>4</v>
      </c>
      <c r="AV35">
        <v>1</v>
      </c>
      <c r="AW35">
        <v>1</v>
      </c>
      <c r="AX35">
        <v>4</v>
      </c>
      <c r="AY35">
        <v>1</v>
      </c>
      <c r="AZ35">
        <v>28</v>
      </c>
      <c r="BA35">
        <v>2</v>
      </c>
      <c r="BB35" s="1">
        <v>45047.57708333333</v>
      </c>
      <c r="BC35">
        <v>12</v>
      </c>
      <c r="BD35">
        <v>2</v>
      </c>
      <c r="BE35">
        <v>1</v>
      </c>
      <c r="BI35" s="2">
        <v>45040</v>
      </c>
      <c r="BM35">
        <v>28</v>
      </c>
      <c r="BN35">
        <v>5</v>
      </c>
      <c r="BO35">
        <v>1</v>
      </c>
      <c r="BY35">
        <v>2</v>
      </c>
      <c r="BZ35" s="1">
        <v>45047.586111111108</v>
      </c>
      <c r="CA35">
        <v>4</v>
      </c>
      <c r="CB35">
        <v>2</v>
      </c>
      <c r="CC35">
        <v>2</v>
      </c>
      <c r="CD35">
        <v>2</v>
      </c>
      <c r="CE35">
        <v>2</v>
      </c>
      <c r="CF35">
        <v>1</v>
      </c>
      <c r="CG35">
        <v>3</v>
      </c>
      <c r="CH35">
        <v>3</v>
      </c>
      <c r="CI35">
        <v>1</v>
      </c>
      <c r="CJ35">
        <v>3</v>
      </c>
      <c r="CK35">
        <v>1</v>
      </c>
      <c r="CL35">
        <v>3</v>
      </c>
      <c r="CM35">
        <v>2</v>
      </c>
      <c r="CN35">
        <v>1</v>
      </c>
      <c r="CO35">
        <v>3</v>
      </c>
      <c r="CP35">
        <v>1</v>
      </c>
      <c r="CQ35">
        <v>1</v>
      </c>
      <c r="CR35">
        <v>2</v>
      </c>
      <c r="CS35">
        <v>3</v>
      </c>
      <c r="CT35">
        <v>2</v>
      </c>
      <c r="CU35">
        <v>5</v>
      </c>
      <c r="CV35">
        <v>5</v>
      </c>
      <c r="CW35">
        <v>15</v>
      </c>
      <c r="CX35">
        <v>25</v>
      </c>
      <c r="CY35">
        <v>19</v>
      </c>
      <c r="CZ35">
        <v>2</v>
      </c>
      <c r="DA35" s="1">
        <v>45047.590277777781</v>
      </c>
      <c r="DB35">
        <v>1</v>
      </c>
      <c r="DC35">
        <v>1</v>
      </c>
      <c r="DD35">
        <v>1</v>
      </c>
      <c r="DE35">
        <v>0</v>
      </c>
      <c r="DF35">
        <v>0</v>
      </c>
      <c r="DG35">
        <v>0</v>
      </c>
      <c r="DH35">
        <v>0</v>
      </c>
      <c r="DI35">
        <v>0</v>
      </c>
      <c r="DJ35">
        <v>0</v>
      </c>
      <c r="DK35">
        <v>1</v>
      </c>
      <c r="DL35">
        <v>1</v>
      </c>
      <c r="DM35">
        <v>1</v>
      </c>
      <c r="DN35">
        <v>0</v>
      </c>
      <c r="DO35">
        <v>0</v>
      </c>
      <c r="DP35">
        <v>0</v>
      </c>
      <c r="DQ35">
        <v>0</v>
      </c>
      <c r="DR35">
        <v>1</v>
      </c>
      <c r="DS35">
        <v>1</v>
      </c>
      <c r="DT35">
        <v>0</v>
      </c>
      <c r="DU35">
        <v>0</v>
      </c>
      <c r="DV35">
        <v>0</v>
      </c>
      <c r="DW35">
        <v>0</v>
      </c>
      <c r="DX35">
        <v>0</v>
      </c>
      <c r="DY35">
        <v>0</v>
      </c>
      <c r="DZ35">
        <v>1</v>
      </c>
      <c r="EA35">
        <v>0</v>
      </c>
      <c r="EB35">
        <v>0</v>
      </c>
      <c r="EC35">
        <v>0</v>
      </c>
      <c r="ED35">
        <v>0</v>
      </c>
      <c r="EE35">
        <v>1</v>
      </c>
      <c r="EF35">
        <v>0</v>
      </c>
      <c r="EG35">
        <v>0</v>
      </c>
      <c r="EH35">
        <v>0</v>
      </c>
      <c r="EI35">
        <v>0</v>
      </c>
      <c r="EJ35">
        <v>1</v>
      </c>
      <c r="EK35">
        <v>1</v>
      </c>
      <c r="EL35">
        <v>0</v>
      </c>
      <c r="EM35">
        <v>1</v>
      </c>
      <c r="EN35">
        <v>0</v>
      </c>
      <c r="EO35">
        <v>0</v>
      </c>
      <c r="EP35">
        <v>1</v>
      </c>
      <c r="EQ35">
        <v>0</v>
      </c>
      <c r="ER35">
        <v>1</v>
      </c>
      <c r="ES35">
        <v>0</v>
      </c>
      <c r="ET35">
        <v>0</v>
      </c>
      <c r="EU35">
        <v>1</v>
      </c>
      <c r="EV35">
        <v>0</v>
      </c>
      <c r="EW35">
        <v>0</v>
      </c>
      <c r="EX35">
        <v>0</v>
      </c>
      <c r="EY35">
        <v>0</v>
      </c>
      <c r="EZ35">
        <v>0</v>
      </c>
      <c r="FA35">
        <v>0</v>
      </c>
      <c r="FB35">
        <v>0</v>
      </c>
      <c r="FC35">
        <v>0</v>
      </c>
      <c r="FD35">
        <v>1</v>
      </c>
      <c r="FE35">
        <v>0</v>
      </c>
      <c r="FF35">
        <v>0</v>
      </c>
      <c r="FG35">
        <v>0</v>
      </c>
      <c r="FH35">
        <v>0</v>
      </c>
      <c r="FI35">
        <v>1</v>
      </c>
      <c r="FJ35">
        <v>0</v>
      </c>
      <c r="FK35">
        <v>0</v>
      </c>
      <c r="FL35">
        <v>0</v>
      </c>
      <c r="FM35">
        <v>0</v>
      </c>
      <c r="FN35">
        <v>1</v>
      </c>
      <c r="FO35">
        <v>0</v>
      </c>
      <c r="FP35">
        <v>0</v>
      </c>
      <c r="FQ35">
        <v>1</v>
      </c>
      <c r="FR35">
        <v>0</v>
      </c>
      <c r="FS35">
        <v>0</v>
      </c>
      <c r="FT35">
        <v>0</v>
      </c>
      <c r="FU35">
        <v>0</v>
      </c>
      <c r="FV35">
        <v>0</v>
      </c>
      <c r="FW35">
        <v>0</v>
      </c>
      <c r="FX35">
        <v>1</v>
      </c>
      <c r="FY35">
        <v>0</v>
      </c>
      <c r="FZ35">
        <v>0</v>
      </c>
      <c r="GA35">
        <v>0</v>
      </c>
      <c r="GB35">
        <v>0</v>
      </c>
      <c r="GC35">
        <v>1</v>
      </c>
      <c r="GD35">
        <v>1</v>
      </c>
      <c r="GE35">
        <v>0</v>
      </c>
      <c r="GF35">
        <v>0</v>
      </c>
      <c r="GG35">
        <v>0</v>
      </c>
      <c r="GH35">
        <v>0</v>
      </c>
      <c r="GI35">
        <v>2</v>
      </c>
      <c r="GJ35" s="1">
        <v>45047.590277777781</v>
      </c>
      <c r="GK35">
        <v>0</v>
      </c>
      <c r="HF35">
        <v>2</v>
      </c>
      <c r="HG35" s="1">
        <v>45047.591666666667</v>
      </c>
      <c r="HH35">
        <v>2</v>
      </c>
      <c r="HI35">
        <v>13</v>
      </c>
      <c r="HJ35">
        <v>10</v>
      </c>
      <c r="HK35">
        <v>2</v>
      </c>
      <c r="HL35" s="1">
        <v>45082.490277777775</v>
      </c>
      <c r="HM35">
        <v>0</v>
      </c>
      <c r="HN35">
        <v>0</v>
      </c>
      <c r="HO35">
        <v>0</v>
      </c>
      <c r="HP35">
        <v>0</v>
      </c>
      <c r="HQ35">
        <v>0</v>
      </c>
      <c r="HR35">
        <v>0</v>
      </c>
      <c r="HS35">
        <v>0</v>
      </c>
      <c r="HT35">
        <v>0</v>
      </c>
      <c r="HU35">
        <v>0</v>
      </c>
      <c r="HV35">
        <v>0</v>
      </c>
      <c r="HW35">
        <v>0</v>
      </c>
      <c r="HX35">
        <v>0</v>
      </c>
      <c r="HY35">
        <v>0</v>
      </c>
      <c r="HZ35">
        <v>0</v>
      </c>
      <c r="IA35">
        <v>0</v>
      </c>
      <c r="IB35">
        <v>0</v>
      </c>
      <c r="IC35">
        <v>0</v>
      </c>
      <c r="ID35">
        <v>0</v>
      </c>
      <c r="IE35">
        <v>0</v>
      </c>
      <c r="IF35">
        <v>0</v>
      </c>
      <c r="IG35">
        <v>0</v>
      </c>
      <c r="IH35">
        <v>0</v>
      </c>
      <c r="II35">
        <v>2</v>
      </c>
      <c r="IJ35" s="1">
        <v>45082.490277777775</v>
      </c>
      <c r="IK35">
        <v>0</v>
      </c>
      <c r="IL35">
        <v>0</v>
      </c>
      <c r="IM35">
        <v>0</v>
      </c>
      <c r="IN35">
        <v>0</v>
      </c>
      <c r="IO35">
        <v>0</v>
      </c>
      <c r="IP35">
        <v>0</v>
      </c>
      <c r="IQ35">
        <v>0</v>
      </c>
      <c r="IR35">
        <v>0</v>
      </c>
      <c r="IS35">
        <v>0</v>
      </c>
      <c r="IT35">
        <v>0</v>
      </c>
      <c r="IU35">
        <v>0</v>
      </c>
      <c r="IV35">
        <v>0</v>
      </c>
      <c r="IW35">
        <v>0</v>
      </c>
      <c r="IX35">
        <v>0</v>
      </c>
      <c r="IY35">
        <v>0</v>
      </c>
      <c r="IZ35">
        <v>0</v>
      </c>
      <c r="JA35">
        <v>0</v>
      </c>
      <c r="JB35">
        <v>0</v>
      </c>
      <c r="JC35">
        <v>0</v>
      </c>
      <c r="JD35">
        <v>1</v>
      </c>
      <c r="JN35">
        <v>0</v>
      </c>
      <c r="JQ35">
        <v>2</v>
      </c>
      <c r="JR35" s="1">
        <v>45082.490277777775</v>
      </c>
      <c r="JS35">
        <v>0</v>
      </c>
      <c r="JT35">
        <v>0</v>
      </c>
      <c r="JU35">
        <v>0</v>
      </c>
      <c r="JV35">
        <v>0</v>
      </c>
      <c r="JW35">
        <v>2</v>
      </c>
      <c r="JX35" s="1">
        <v>45082.48541666667</v>
      </c>
      <c r="JY35">
        <v>52.8</v>
      </c>
      <c r="JZ35">
        <v>2.2000000000000002</v>
      </c>
      <c r="KI35">
        <v>3</v>
      </c>
      <c r="UA35">
        <v>2</v>
      </c>
      <c r="WQ35">
        <v>3</v>
      </c>
      <c r="XG35">
        <v>2</v>
      </c>
      <c r="YQ35">
        <v>2</v>
      </c>
      <c r="YR35" s="1">
        <v>45082.486111111109</v>
      </c>
      <c r="YS35">
        <v>3</v>
      </c>
      <c r="YT35">
        <v>2</v>
      </c>
      <c r="YU35">
        <v>3</v>
      </c>
      <c r="YV35">
        <v>3</v>
      </c>
      <c r="YW35">
        <v>3</v>
      </c>
      <c r="YX35">
        <v>1</v>
      </c>
      <c r="YY35">
        <v>1</v>
      </c>
      <c r="YZ35">
        <v>2</v>
      </c>
      <c r="ZA35">
        <v>3</v>
      </c>
      <c r="ZB35">
        <v>2</v>
      </c>
      <c r="ZC35">
        <v>3</v>
      </c>
      <c r="ZD35">
        <v>3</v>
      </c>
      <c r="ZE35">
        <v>1</v>
      </c>
      <c r="ZF35">
        <v>3</v>
      </c>
      <c r="ZG35">
        <v>2</v>
      </c>
      <c r="ZH35">
        <v>3</v>
      </c>
      <c r="ZI35">
        <v>4</v>
      </c>
      <c r="ZJ35">
        <v>1</v>
      </c>
      <c r="ZK35">
        <v>3</v>
      </c>
      <c r="ZL35">
        <v>1</v>
      </c>
      <c r="ZM35">
        <v>30</v>
      </c>
      <c r="ZN35">
        <v>17</v>
      </c>
      <c r="ZO35">
        <v>2</v>
      </c>
      <c r="ZP35" s="1">
        <v>45082.486805555556</v>
      </c>
      <c r="ZQ35">
        <v>0</v>
      </c>
      <c r="ZR35">
        <v>0</v>
      </c>
      <c r="ZS35">
        <v>0</v>
      </c>
      <c r="ZT35">
        <v>0</v>
      </c>
      <c r="ZU35">
        <v>1</v>
      </c>
      <c r="ZV35">
        <v>2</v>
      </c>
      <c r="ZW35">
        <v>1</v>
      </c>
      <c r="ZX35">
        <v>0</v>
      </c>
      <c r="ZY35">
        <v>0</v>
      </c>
      <c r="ZZ35">
        <v>0</v>
      </c>
      <c r="AAA35">
        <v>0</v>
      </c>
      <c r="AAB35">
        <v>0</v>
      </c>
      <c r="AAC35">
        <v>0</v>
      </c>
      <c r="AAD35">
        <v>0</v>
      </c>
      <c r="AAE35">
        <v>2</v>
      </c>
      <c r="AAF35">
        <v>0</v>
      </c>
      <c r="AAG35">
        <v>0</v>
      </c>
      <c r="AAH35">
        <v>0</v>
      </c>
      <c r="AAI35">
        <v>1</v>
      </c>
      <c r="AAJ35">
        <v>1</v>
      </c>
      <c r="AAK35">
        <v>4</v>
      </c>
      <c r="AAL35">
        <v>6</v>
      </c>
      <c r="AAM35">
        <v>2</v>
      </c>
      <c r="AAN35" s="1">
        <v>45082.486805555556</v>
      </c>
      <c r="AAO35">
        <v>0</v>
      </c>
      <c r="ABF35">
        <v>2</v>
      </c>
      <c r="ABG35" s="1">
        <v>45082.488194444442</v>
      </c>
      <c r="AEG35">
        <v>1</v>
      </c>
      <c r="AEH35">
        <v>0</v>
      </c>
      <c r="AEI35">
        <v>1</v>
      </c>
      <c r="AEJ35">
        <v>1</v>
      </c>
      <c r="AEK35">
        <v>0</v>
      </c>
      <c r="AEL35">
        <v>1</v>
      </c>
      <c r="AEM35">
        <v>0</v>
      </c>
      <c r="AEN35">
        <v>1</v>
      </c>
      <c r="AEO35">
        <v>1</v>
      </c>
      <c r="AEP35">
        <v>1</v>
      </c>
      <c r="AEQ35">
        <v>0</v>
      </c>
      <c r="AER35">
        <v>1</v>
      </c>
      <c r="AES35">
        <v>0</v>
      </c>
      <c r="AET35">
        <v>1</v>
      </c>
      <c r="AEU35">
        <v>0</v>
      </c>
      <c r="AEV35">
        <v>0</v>
      </c>
      <c r="AEW35">
        <v>0</v>
      </c>
      <c r="AEX35">
        <v>0</v>
      </c>
      <c r="AEY35">
        <v>0</v>
      </c>
      <c r="AEZ35">
        <v>1</v>
      </c>
      <c r="AFA35">
        <v>0</v>
      </c>
      <c r="AFB35">
        <v>0</v>
      </c>
      <c r="AFC35">
        <v>0</v>
      </c>
      <c r="AFD35">
        <v>0</v>
      </c>
      <c r="AFE35">
        <v>0</v>
      </c>
      <c r="AFF35">
        <v>1</v>
      </c>
      <c r="AFG35">
        <v>1</v>
      </c>
      <c r="AFH35">
        <v>1</v>
      </c>
      <c r="AFI35">
        <v>0</v>
      </c>
      <c r="AFJ35">
        <v>1</v>
      </c>
      <c r="AFK35">
        <v>4</v>
      </c>
      <c r="AFL35">
        <v>0</v>
      </c>
      <c r="AFM35">
        <v>3</v>
      </c>
      <c r="AFN35">
        <v>1</v>
      </c>
      <c r="AFO35">
        <v>1</v>
      </c>
      <c r="AFP35">
        <v>5</v>
      </c>
      <c r="AFQ35">
        <v>4</v>
      </c>
      <c r="AFR35">
        <v>2</v>
      </c>
      <c r="AFS35" s="1">
        <v>45082.488888888889</v>
      </c>
      <c r="AFT35">
        <v>2</v>
      </c>
      <c r="AFU35">
        <v>3</v>
      </c>
      <c r="AFV35">
        <v>2</v>
      </c>
      <c r="AFW35">
        <v>2</v>
      </c>
      <c r="AFX35">
        <v>3</v>
      </c>
      <c r="AFY35">
        <v>1</v>
      </c>
      <c r="AFZ35">
        <v>2</v>
      </c>
      <c r="AGA35">
        <v>2</v>
      </c>
      <c r="AGB35">
        <v>1</v>
      </c>
      <c r="AGC35">
        <v>2</v>
      </c>
      <c r="AGD35">
        <v>2</v>
      </c>
      <c r="AGE35">
        <v>1</v>
      </c>
      <c r="AGF35">
        <v>1</v>
      </c>
      <c r="AGG35">
        <v>1</v>
      </c>
      <c r="AGH35">
        <v>2</v>
      </c>
      <c r="AGI35">
        <v>3</v>
      </c>
      <c r="AGJ35">
        <v>3</v>
      </c>
      <c r="AGK35">
        <v>1</v>
      </c>
      <c r="AGL35">
        <v>2</v>
      </c>
      <c r="AGM35">
        <v>2</v>
      </c>
      <c r="AGN35">
        <v>42</v>
      </c>
      <c r="AGO35">
        <v>2</v>
      </c>
      <c r="AGP35" s="1">
        <v>45082.488888888889</v>
      </c>
      <c r="AGQ35">
        <v>0</v>
      </c>
      <c r="AGV35">
        <v>0</v>
      </c>
      <c r="AGW35">
        <v>0</v>
      </c>
      <c r="AGX35">
        <v>0</v>
      </c>
      <c r="AGY35">
        <v>0</v>
      </c>
      <c r="AGZ35">
        <v>0</v>
      </c>
      <c r="AHB35">
        <v>2</v>
      </c>
      <c r="AHU35" t="s">
        <v>416</v>
      </c>
    </row>
    <row r="36" spans="1:905">
      <c r="A36">
        <v>193</v>
      </c>
      <c r="B36" t="s">
        <v>205</v>
      </c>
      <c r="C36" t="s">
        <v>433</v>
      </c>
      <c r="D36">
        <v>2</v>
      </c>
      <c r="E36">
        <v>2</v>
      </c>
      <c r="F36">
        <v>24</v>
      </c>
      <c r="G36">
        <v>63</v>
      </c>
      <c r="H36">
        <v>165</v>
      </c>
      <c r="I36">
        <v>1</v>
      </c>
      <c r="J36">
        <v>3</v>
      </c>
      <c r="L36" t="s">
        <v>383</v>
      </c>
      <c r="M36">
        <v>2</v>
      </c>
      <c r="N36" s="1">
        <v>45068.308333333334</v>
      </c>
      <c r="O36">
        <v>8</v>
      </c>
      <c r="P36">
        <v>0</v>
      </c>
      <c r="R36">
        <v>0</v>
      </c>
      <c r="S36">
        <v>0</v>
      </c>
      <c r="T36">
        <v>1</v>
      </c>
      <c r="U36">
        <v>0</v>
      </c>
      <c r="V36">
        <v>0</v>
      </c>
      <c r="W36">
        <v>0</v>
      </c>
      <c r="X36">
        <v>0</v>
      </c>
      <c r="Y36">
        <v>0</v>
      </c>
      <c r="Z36">
        <v>0</v>
      </c>
      <c r="AA36">
        <v>0</v>
      </c>
      <c r="AB36">
        <v>0</v>
      </c>
      <c r="AC36">
        <v>1</v>
      </c>
      <c r="AD36">
        <v>2</v>
      </c>
      <c r="AE36" s="1">
        <v>45068.30972222222</v>
      </c>
      <c r="AF36">
        <v>2</v>
      </c>
      <c r="AG36">
        <v>3</v>
      </c>
      <c r="AH36">
        <v>3</v>
      </c>
      <c r="AI36">
        <v>4</v>
      </c>
      <c r="AJ36">
        <v>2</v>
      </c>
      <c r="AK36">
        <v>3</v>
      </c>
      <c r="AL36">
        <v>2</v>
      </c>
      <c r="AM36">
        <v>2</v>
      </c>
      <c r="AN36">
        <v>3</v>
      </c>
      <c r="AO36">
        <v>3</v>
      </c>
      <c r="AP36">
        <v>2</v>
      </c>
      <c r="AQ36">
        <v>2</v>
      </c>
      <c r="AR36">
        <v>2</v>
      </c>
      <c r="AS36">
        <v>3</v>
      </c>
      <c r="AT36">
        <v>2</v>
      </c>
      <c r="AU36">
        <v>2</v>
      </c>
      <c r="AV36">
        <v>3</v>
      </c>
      <c r="AW36">
        <v>2</v>
      </c>
      <c r="AX36">
        <v>3</v>
      </c>
      <c r="AY36">
        <v>3</v>
      </c>
      <c r="AZ36">
        <v>50</v>
      </c>
      <c r="BA36">
        <v>2</v>
      </c>
      <c r="BB36" s="1">
        <v>45068.313888888886</v>
      </c>
      <c r="BC36" t="s">
        <v>208</v>
      </c>
      <c r="BD36">
        <v>2</v>
      </c>
      <c r="BE36">
        <v>2</v>
      </c>
      <c r="BI36" s="2">
        <v>44985</v>
      </c>
      <c r="BM36">
        <v>45</v>
      </c>
      <c r="BN36">
        <v>5</v>
      </c>
      <c r="BO36">
        <v>3</v>
      </c>
      <c r="BY36">
        <v>2</v>
      </c>
      <c r="BZ36" s="1">
        <v>45068.314583333333</v>
      </c>
      <c r="CA36">
        <v>3</v>
      </c>
      <c r="CB36">
        <v>3</v>
      </c>
      <c r="CC36">
        <v>3</v>
      </c>
      <c r="CD36">
        <v>4</v>
      </c>
      <c r="CE36">
        <v>4</v>
      </c>
      <c r="CF36">
        <v>3</v>
      </c>
      <c r="CG36">
        <v>4</v>
      </c>
      <c r="CH36">
        <v>4</v>
      </c>
      <c r="CI36">
        <v>3</v>
      </c>
      <c r="CJ36">
        <v>4</v>
      </c>
      <c r="CK36">
        <v>2</v>
      </c>
      <c r="CL36">
        <v>4</v>
      </c>
      <c r="CM36">
        <v>2</v>
      </c>
      <c r="CN36">
        <v>3</v>
      </c>
      <c r="CO36">
        <v>4</v>
      </c>
      <c r="CP36">
        <v>3</v>
      </c>
      <c r="CQ36">
        <v>3</v>
      </c>
      <c r="CR36">
        <v>2</v>
      </c>
      <c r="CS36">
        <v>4</v>
      </c>
      <c r="CT36">
        <v>3</v>
      </c>
      <c r="CU36">
        <v>12</v>
      </c>
      <c r="CV36">
        <v>12</v>
      </c>
      <c r="CW36">
        <v>18</v>
      </c>
      <c r="CX36">
        <v>42</v>
      </c>
      <c r="CY36">
        <v>25</v>
      </c>
      <c r="CZ36">
        <v>2</v>
      </c>
      <c r="DA36" s="1">
        <v>45068.316666666666</v>
      </c>
      <c r="DB36">
        <v>1</v>
      </c>
      <c r="DC36">
        <v>0</v>
      </c>
      <c r="DD36">
        <v>0</v>
      </c>
      <c r="DE36">
        <v>0</v>
      </c>
      <c r="DF36">
        <v>0</v>
      </c>
      <c r="DG36">
        <v>0</v>
      </c>
      <c r="DH36">
        <v>0</v>
      </c>
      <c r="DI36">
        <v>1</v>
      </c>
      <c r="DJ36">
        <v>0</v>
      </c>
      <c r="DK36">
        <v>0</v>
      </c>
      <c r="DL36">
        <v>1</v>
      </c>
      <c r="DM36">
        <v>0</v>
      </c>
      <c r="DN36">
        <v>0</v>
      </c>
      <c r="DO36">
        <v>0</v>
      </c>
      <c r="DP36">
        <v>0</v>
      </c>
      <c r="DQ36">
        <v>0</v>
      </c>
      <c r="DR36">
        <v>0</v>
      </c>
      <c r="DS36">
        <v>1</v>
      </c>
      <c r="DT36">
        <v>0</v>
      </c>
      <c r="DU36">
        <v>0</v>
      </c>
      <c r="DV36">
        <v>0</v>
      </c>
      <c r="DW36">
        <v>1</v>
      </c>
      <c r="DX36">
        <v>0</v>
      </c>
      <c r="DY36">
        <v>0</v>
      </c>
      <c r="DZ36">
        <v>0</v>
      </c>
      <c r="EA36">
        <v>0</v>
      </c>
      <c r="EB36">
        <v>0</v>
      </c>
      <c r="EC36">
        <v>1</v>
      </c>
      <c r="ED36">
        <v>0</v>
      </c>
      <c r="EE36">
        <v>0</v>
      </c>
      <c r="EF36">
        <v>0</v>
      </c>
      <c r="EG36">
        <v>0</v>
      </c>
      <c r="EH36">
        <v>1</v>
      </c>
      <c r="EI36">
        <v>0</v>
      </c>
      <c r="EJ36">
        <v>0</v>
      </c>
      <c r="EK36">
        <v>1</v>
      </c>
      <c r="EL36">
        <v>0</v>
      </c>
      <c r="EM36">
        <v>0</v>
      </c>
      <c r="EN36">
        <v>0</v>
      </c>
      <c r="EO36">
        <v>0</v>
      </c>
      <c r="EP36">
        <v>1</v>
      </c>
      <c r="EQ36">
        <v>0</v>
      </c>
      <c r="ER36">
        <v>0</v>
      </c>
      <c r="ES36">
        <v>0</v>
      </c>
      <c r="ET36">
        <v>0</v>
      </c>
      <c r="EU36">
        <v>0</v>
      </c>
      <c r="EV36">
        <v>0</v>
      </c>
      <c r="EW36">
        <v>1</v>
      </c>
      <c r="EX36">
        <v>0</v>
      </c>
      <c r="EY36">
        <v>0</v>
      </c>
      <c r="EZ36">
        <v>0</v>
      </c>
      <c r="FA36">
        <v>0</v>
      </c>
      <c r="FB36">
        <v>0</v>
      </c>
      <c r="FC36">
        <v>0</v>
      </c>
      <c r="FD36">
        <v>1</v>
      </c>
      <c r="FE36">
        <v>0</v>
      </c>
      <c r="FF36">
        <v>1</v>
      </c>
      <c r="FG36">
        <v>0</v>
      </c>
      <c r="FH36">
        <v>0</v>
      </c>
      <c r="FI36">
        <v>0</v>
      </c>
      <c r="FJ36">
        <v>0</v>
      </c>
      <c r="FK36">
        <v>0</v>
      </c>
      <c r="FL36">
        <v>0</v>
      </c>
      <c r="FM36">
        <v>0</v>
      </c>
      <c r="FN36">
        <v>1</v>
      </c>
      <c r="FO36">
        <v>0</v>
      </c>
      <c r="FP36">
        <v>1</v>
      </c>
      <c r="FQ36">
        <v>0</v>
      </c>
      <c r="FR36">
        <v>0</v>
      </c>
      <c r="FS36">
        <v>0</v>
      </c>
      <c r="FT36">
        <v>0</v>
      </c>
      <c r="FU36">
        <v>1</v>
      </c>
      <c r="FV36">
        <v>0</v>
      </c>
      <c r="FW36">
        <v>0</v>
      </c>
      <c r="FX36">
        <v>0</v>
      </c>
      <c r="FY36">
        <v>0</v>
      </c>
      <c r="FZ36">
        <v>0</v>
      </c>
      <c r="GA36">
        <v>0</v>
      </c>
      <c r="GB36">
        <v>0</v>
      </c>
      <c r="GC36">
        <v>1</v>
      </c>
      <c r="GD36">
        <v>0</v>
      </c>
      <c r="GE36">
        <v>0</v>
      </c>
      <c r="GF36">
        <v>0</v>
      </c>
      <c r="GG36">
        <v>0</v>
      </c>
      <c r="GH36">
        <v>1</v>
      </c>
      <c r="GI36">
        <v>2</v>
      </c>
      <c r="GJ36" s="1">
        <v>45068.316666666666</v>
      </c>
      <c r="GK36">
        <v>0</v>
      </c>
      <c r="HF36">
        <v>2</v>
      </c>
      <c r="HG36" s="1">
        <v>45068.317361111112</v>
      </c>
      <c r="HH36">
        <v>10</v>
      </c>
      <c r="HI36">
        <v>6</v>
      </c>
      <c r="HJ36">
        <v>11</v>
      </c>
      <c r="HK36">
        <v>2</v>
      </c>
      <c r="HL36" s="1">
        <v>45070.527083333334</v>
      </c>
      <c r="HM36">
        <v>1</v>
      </c>
      <c r="HN36">
        <v>1</v>
      </c>
      <c r="HO36">
        <v>1</v>
      </c>
      <c r="HP36">
        <v>0</v>
      </c>
      <c r="HQ36">
        <v>2</v>
      </c>
      <c r="HR36">
        <v>0</v>
      </c>
      <c r="HS36">
        <v>1</v>
      </c>
      <c r="HT36">
        <v>1</v>
      </c>
      <c r="HU36">
        <v>0</v>
      </c>
      <c r="HV36">
        <v>0</v>
      </c>
      <c r="HW36">
        <v>0</v>
      </c>
      <c r="HX36">
        <v>1</v>
      </c>
      <c r="HY36">
        <v>1</v>
      </c>
      <c r="HZ36">
        <v>1</v>
      </c>
      <c r="IA36">
        <v>1</v>
      </c>
      <c r="IB36">
        <v>0</v>
      </c>
      <c r="IC36">
        <v>0</v>
      </c>
      <c r="ID36">
        <v>1</v>
      </c>
      <c r="IE36">
        <v>2</v>
      </c>
      <c r="IF36">
        <v>1</v>
      </c>
      <c r="IG36">
        <v>1</v>
      </c>
      <c r="IH36">
        <v>15</v>
      </c>
      <c r="II36">
        <v>2</v>
      </c>
      <c r="IJ36" s="1">
        <v>45070.527083333334</v>
      </c>
      <c r="IK36">
        <v>0</v>
      </c>
      <c r="IL36">
        <v>0</v>
      </c>
      <c r="IM36">
        <v>0</v>
      </c>
      <c r="IN36">
        <v>0</v>
      </c>
      <c r="IO36">
        <v>0</v>
      </c>
      <c r="IP36">
        <v>0</v>
      </c>
      <c r="IQ36">
        <v>0</v>
      </c>
      <c r="IR36">
        <v>0</v>
      </c>
      <c r="IS36">
        <v>0</v>
      </c>
      <c r="IT36">
        <v>0</v>
      </c>
      <c r="IU36">
        <v>0</v>
      </c>
      <c r="IV36">
        <v>0</v>
      </c>
      <c r="IW36">
        <v>0</v>
      </c>
      <c r="IX36">
        <v>0</v>
      </c>
      <c r="IY36">
        <v>0</v>
      </c>
      <c r="IZ36">
        <v>0</v>
      </c>
      <c r="JA36">
        <v>0</v>
      </c>
      <c r="JB36">
        <v>0</v>
      </c>
      <c r="JC36">
        <v>0</v>
      </c>
      <c r="JD36">
        <v>1</v>
      </c>
      <c r="JN36">
        <v>0</v>
      </c>
      <c r="JQ36">
        <v>2</v>
      </c>
      <c r="JR36" s="1">
        <v>45070.527777777781</v>
      </c>
      <c r="JS36">
        <v>0</v>
      </c>
      <c r="JT36">
        <v>0</v>
      </c>
      <c r="JU36">
        <v>0</v>
      </c>
      <c r="JV36">
        <v>0</v>
      </c>
      <c r="JW36">
        <v>2</v>
      </c>
      <c r="JX36" s="1">
        <v>45070.527777777781</v>
      </c>
      <c r="JY36">
        <v>47.4</v>
      </c>
      <c r="JZ36">
        <v>2.2999999999999998</v>
      </c>
      <c r="KI36">
        <v>2</v>
      </c>
      <c r="UA36">
        <v>1</v>
      </c>
      <c r="UQ36">
        <v>2</v>
      </c>
      <c r="XG36">
        <v>2</v>
      </c>
      <c r="YQ36">
        <v>2</v>
      </c>
      <c r="YR36" s="1">
        <v>45070.529166666667</v>
      </c>
      <c r="YS36">
        <v>4</v>
      </c>
      <c r="YT36">
        <v>2</v>
      </c>
      <c r="YU36">
        <v>4</v>
      </c>
      <c r="YV36">
        <v>2</v>
      </c>
      <c r="YW36">
        <v>3</v>
      </c>
      <c r="YX36">
        <v>2</v>
      </c>
      <c r="YY36">
        <v>1</v>
      </c>
      <c r="YZ36">
        <v>1</v>
      </c>
      <c r="ZA36">
        <v>4</v>
      </c>
      <c r="ZB36">
        <v>1</v>
      </c>
      <c r="ZC36">
        <v>1</v>
      </c>
      <c r="ZD36">
        <v>4</v>
      </c>
      <c r="ZE36">
        <v>4</v>
      </c>
      <c r="ZF36">
        <v>2</v>
      </c>
      <c r="ZG36">
        <v>3</v>
      </c>
      <c r="ZH36">
        <v>3</v>
      </c>
      <c r="ZI36">
        <v>3</v>
      </c>
      <c r="ZJ36">
        <v>2</v>
      </c>
      <c r="ZK36">
        <v>3</v>
      </c>
      <c r="ZL36">
        <v>2</v>
      </c>
      <c r="ZM36">
        <v>31</v>
      </c>
      <c r="ZN36">
        <v>20</v>
      </c>
      <c r="ZO36">
        <v>2</v>
      </c>
      <c r="ZP36" s="1">
        <v>45070.529861111114</v>
      </c>
      <c r="ZQ36">
        <v>1</v>
      </c>
      <c r="ZR36">
        <v>0</v>
      </c>
      <c r="ZS36">
        <v>1</v>
      </c>
      <c r="ZT36">
        <v>0</v>
      </c>
      <c r="ZU36">
        <v>1</v>
      </c>
      <c r="ZV36">
        <v>1</v>
      </c>
      <c r="ZW36">
        <v>0</v>
      </c>
      <c r="ZX36">
        <v>1</v>
      </c>
      <c r="ZY36">
        <v>1</v>
      </c>
      <c r="ZZ36">
        <v>2</v>
      </c>
      <c r="AAA36">
        <v>1</v>
      </c>
      <c r="AAB36">
        <v>0</v>
      </c>
      <c r="AAC36">
        <v>1</v>
      </c>
      <c r="AAD36">
        <v>1</v>
      </c>
      <c r="AAE36">
        <v>0</v>
      </c>
      <c r="AAF36">
        <v>1</v>
      </c>
      <c r="AAG36">
        <v>0</v>
      </c>
      <c r="AAH36">
        <v>0</v>
      </c>
      <c r="AAI36">
        <v>5</v>
      </c>
      <c r="AAJ36">
        <v>4</v>
      </c>
      <c r="AAK36">
        <v>3</v>
      </c>
      <c r="AAL36">
        <v>12</v>
      </c>
      <c r="AAM36">
        <v>2</v>
      </c>
      <c r="AAN36" s="1">
        <v>45070.530555555553</v>
      </c>
      <c r="AAO36">
        <v>0</v>
      </c>
      <c r="ABF36">
        <v>2</v>
      </c>
      <c r="ABG36" s="1">
        <v>45070.53125</v>
      </c>
      <c r="AEG36">
        <v>0</v>
      </c>
      <c r="AEH36">
        <v>0</v>
      </c>
      <c r="AEI36">
        <v>1</v>
      </c>
      <c r="AEJ36">
        <v>2</v>
      </c>
      <c r="AEK36">
        <v>0</v>
      </c>
      <c r="AEL36">
        <v>0</v>
      </c>
      <c r="AEM36">
        <v>0</v>
      </c>
      <c r="AEN36">
        <v>1</v>
      </c>
      <c r="AEO36">
        <v>0</v>
      </c>
      <c r="AEP36">
        <v>2</v>
      </c>
      <c r="AEQ36">
        <v>0</v>
      </c>
      <c r="AER36">
        <v>0</v>
      </c>
      <c r="AES36">
        <v>1</v>
      </c>
      <c r="AET36">
        <v>0</v>
      </c>
      <c r="AEU36">
        <v>0</v>
      </c>
      <c r="AEV36">
        <v>0</v>
      </c>
      <c r="AEW36">
        <v>0</v>
      </c>
      <c r="AEX36">
        <v>0</v>
      </c>
      <c r="AEY36">
        <v>1</v>
      </c>
      <c r="AEZ36">
        <v>0</v>
      </c>
      <c r="AFA36">
        <v>0</v>
      </c>
      <c r="AFB36">
        <v>1</v>
      </c>
      <c r="AFC36">
        <v>1</v>
      </c>
      <c r="AFD36">
        <v>0</v>
      </c>
      <c r="AFE36">
        <v>0</v>
      </c>
      <c r="AFF36">
        <v>2</v>
      </c>
      <c r="AFG36">
        <v>1</v>
      </c>
      <c r="AFH36">
        <v>0</v>
      </c>
      <c r="AFI36">
        <v>1</v>
      </c>
      <c r="AFJ36">
        <v>0</v>
      </c>
      <c r="AFK36">
        <v>0</v>
      </c>
      <c r="AFL36">
        <v>0</v>
      </c>
      <c r="AFM36">
        <v>0</v>
      </c>
      <c r="AFN36">
        <v>5</v>
      </c>
      <c r="AFO36">
        <v>3</v>
      </c>
      <c r="AFP36">
        <v>6</v>
      </c>
      <c r="AFQ36">
        <v>2</v>
      </c>
      <c r="AFR36">
        <v>2</v>
      </c>
      <c r="AFS36" s="1">
        <v>45070.531944444447</v>
      </c>
      <c r="AFT36">
        <v>3</v>
      </c>
      <c r="AFU36">
        <v>3</v>
      </c>
      <c r="AFV36">
        <v>1</v>
      </c>
      <c r="AFW36">
        <v>1</v>
      </c>
      <c r="AFX36">
        <v>3</v>
      </c>
      <c r="AFY36">
        <v>1</v>
      </c>
      <c r="AFZ36">
        <v>2</v>
      </c>
      <c r="AGA36">
        <v>2</v>
      </c>
      <c r="AGB36">
        <v>1</v>
      </c>
      <c r="AGC36">
        <v>2</v>
      </c>
      <c r="AGD36">
        <v>2</v>
      </c>
      <c r="AGE36">
        <v>1</v>
      </c>
      <c r="AGF36">
        <v>2</v>
      </c>
      <c r="AGG36">
        <v>1</v>
      </c>
      <c r="AGH36">
        <v>2</v>
      </c>
      <c r="AGI36">
        <v>2</v>
      </c>
      <c r="AGJ36">
        <v>2</v>
      </c>
      <c r="AGK36">
        <v>1</v>
      </c>
      <c r="AGL36">
        <v>2</v>
      </c>
      <c r="AGM36">
        <v>3</v>
      </c>
      <c r="AGN36">
        <v>39</v>
      </c>
      <c r="AGO36">
        <v>2</v>
      </c>
      <c r="AGP36" s="1">
        <v>45070.531944444447</v>
      </c>
      <c r="AGQ36">
        <v>0</v>
      </c>
      <c r="AGV36">
        <v>0</v>
      </c>
      <c r="AGW36">
        <v>0</v>
      </c>
      <c r="AGX36">
        <v>0</v>
      </c>
      <c r="AGY36">
        <v>0</v>
      </c>
      <c r="AGZ36">
        <v>0</v>
      </c>
      <c r="AHB36">
        <v>2</v>
      </c>
      <c r="AHU36" t="s">
        <v>416</v>
      </c>
    </row>
    <row r="37" spans="1:905">
      <c r="A37">
        <v>194</v>
      </c>
      <c r="B37" t="s">
        <v>205</v>
      </c>
      <c r="C37" t="s">
        <v>434</v>
      </c>
      <c r="D37">
        <v>2</v>
      </c>
      <c r="E37">
        <v>2</v>
      </c>
      <c r="F37">
        <v>41</v>
      </c>
      <c r="G37">
        <v>64</v>
      </c>
      <c r="H37">
        <v>128</v>
      </c>
      <c r="I37">
        <v>0</v>
      </c>
      <c r="J37">
        <v>3</v>
      </c>
      <c r="L37" t="s">
        <v>435</v>
      </c>
      <c r="M37">
        <v>2</v>
      </c>
      <c r="N37" s="1">
        <v>45047.440972222219</v>
      </c>
      <c r="O37">
        <v>5</v>
      </c>
      <c r="P37">
        <v>0</v>
      </c>
      <c r="R37">
        <v>0</v>
      </c>
      <c r="S37">
        <v>0</v>
      </c>
      <c r="T37">
        <v>0</v>
      </c>
      <c r="U37">
        <v>0</v>
      </c>
      <c r="V37">
        <v>0</v>
      </c>
      <c r="W37">
        <v>0</v>
      </c>
      <c r="X37">
        <v>1</v>
      </c>
      <c r="Y37">
        <v>0</v>
      </c>
      <c r="Z37">
        <v>0</v>
      </c>
      <c r="AA37">
        <v>0</v>
      </c>
      <c r="AB37">
        <v>0</v>
      </c>
      <c r="AC37">
        <v>2</v>
      </c>
      <c r="AD37">
        <v>2</v>
      </c>
      <c r="AE37" s="1">
        <v>45047.447916666664</v>
      </c>
      <c r="AF37">
        <v>2</v>
      </c>
      <c r="AG37">
        <v>3</v>
      </c>
      <c r="AH37">
        <v>3</v>
      </c>
      <c r="AI37">
        <v>3</v>
      </c>
      <c r="AJ37">
        <v>2</v>
      </c>
      <c r="AK37">
        <v>1</v>
      </c>
      <c r="AL37">
        <v>3</v>
      </c>
      <c r="AM37">
        <v>3</v>
      </c>
      <c r="AN37">
        <v>3</v>
      </c>
      <c r="AO37">
        <v>2</v>
      </c>
      <c r="AP37">
        <v>2</v>
      </c>
      <c r="AQ37">
        <v>1</v>
      </c>
      <c r="AR37">
        <v>2</v>
      </c>
      <c r="AS37">
        <v>3</v>
      </c>
      <c r="AT37">
        <v>2</v>
      </c>
      <c r="AU37">
        <v>3</v>
      </c>
      <c r="AV37">
        <v>3</v>
      </c>
      <c r="AW37">
        <v>2</v>
      </c>
      <c r="AX37">
        <v>4</v>
      </c>
      <c r="AY37">
        <v>2</v>
      </c>
      <c r="AZ37">
        <v>48</v>
      </c>
      <c r="BA37">
        <v>2</v>
      </c>
      <c r="BB37" s="1">
        <v>45047.449305555558</v>
      </c>
      <c r="BC37">
        <v>13</v>
      </c>
      <c r="BD37">
        <v>3</v>
      </c>
      <c r="BE37">
        <v>1</v>
      </c>
      <c r="BI37" s="2">
        <v>45027</v>
      </c>
      <c r="BM37">
        <v>28</v>
      </c>
      <c r="BN37">
        <v>3</v>
      </c>
      <c r="BO37">
        <v>1</v>
      </c>
      <c r="BY37">
        <v>2</v>
      </c>
      <c r="BZ37" s="1">
        <v>45047.45208333333</v>
      </c>
      <c r="CA37">
        <v>3</v>
      </c>
      <c r="CB37">
        <v>3</v>
      </c>
      <c r="CC37">
        <v>2</v>
      </c>
      <c r="CD37">
        <v>3</v>
      </c>
      <c r="CE37">
        <v>2</v>
      </c>
      <c r="CF37">
        <v>1</v>
      </c>
      <c r="CG37">
        <v>2</v>
      </c>
      <c r="CH37">
        <v>3</v>
      </c>
      <c r="CI37">
        <v>1</v>
      </c>
      <c r="CJ37">
        <v>1</v>
      </c>
      <c r="CK37">
        <v>1</v>
      </c>
      <c r="CL37">
        <v>3</v>
      </c>
      <c r="CM37">
        <v>1</v>
      </c>
      <c r="CN37">
        <v>1</v>
      </c>
      <c r="CO37">
        <v>3</v>
      </c>
      <c r="CP37">
        <v>1</v>
      </c>
      <c r="CQ37">
        <v>1</v>
      </c>
      <c r="CR37">
        <v>2</v>
      </c>
      <c r="CS37">
        <v>3</v>
      </c>
      <c r="CT37">
        <v>3</v>
      </c>
      <c r="CU37">
        <v>5</v>
      </c>
      <c r="CV37">
        <v>5</v>
      </c>
      <c r="CW37">
        <v>15</v>
      </c>
      <c r="CX37">
        <v>25</v>
      </c>
      <c r="CY37">
        <v>19</v>
      </c>
      <c r="CZ37">
        <v>2</v>
      </c>
      <c r="DA37" s="1">
        <v>45047.454861111109</v>
      </c>
      <c r="DB37">
        <v>1</v>
      </c>
      <c r="DC37">
        <v>1</v>
      </c>
      <c r="DD37">
        <v>0</v>
      </c>
      <c r="DE37">
        <v>0</v>
      </c>
      <c r="DF37">
        <v>0</v>
      </c>
      <c r="DG37">
        <v>0</v>
      </c>
      <c r="DH37">
        <v>0</v>
      </c>
      <c r="DI37">
        <v>0</v>
      </c>
      <c r="DJ37">
        <v>0</v>
      </c>
      <c r="DK37">
        <v>1</v>
      </c>
      <c r="DL37">
        <v>1</v>
      </c>
      <c r="DM37">
        <v>1</v>
      </c>
      <c r="DN37">
        <v>0</v>
      </c>
      <c r="DO37">
        <v>0</v>
      </c>
      <c r="DP37">
        <v>0</v>
      </c>
      <c r="DQ37">
        <v>1</v>
      </c>
      <c r="DR37">
        <v>1</v>
      </c>
      <c r="DS37">
        <v>0</v>
      </c>
      <c r="DT37">
        <v>0</v>
      </c>
      <c r="DU37">
        <v>0</v>
      </c>
      <c r="DV37">
        <v>0</v>
      </c>
      <c r="DW37">
        <v>0</v>
      </c>
      <c r="DX37">
        <v>0</v>
      </c>
      <c r="DY37">
        <v>0</v>
      </c>
      <c r="DZ37">
        <v>1</v>
      </c>
      <c r="EA37">
        <v>1</v>
      </c>
      <c r="EB37">
        <v>1</v>
      </c>
      <c r="EC37">
        <v>0</v>
      </c>
      <c r="ED37">
        <v>0</v>
      </c>
      <c r="EE37">
        <v>0</v>
      </c>
      <c r="EF37">
        <v>1</v>
      </c>
      <c r="EG37">
        <v>0</v>
      </c>
      <c r="EH37">
        <v>0</v>
      </c>
      <c r="EI37">
        <v>0</v>
      </c>
      <c r="EJ37">
        <v>0</v>
      </c>
      <c r="EK37">
        <v>1</v>
      </c>
      <c r="EL37">
        <v>0</v>
      </c>
      <c r="EM37">
        <v>1</v>
      </c>
      <c r="EN37">
        <v>0</v>
      </c>
      <c r="EO37">
        <v>0</v>
      </c>
      <c r="EP37">
        <v>1</v>
      </c>
      <c r="EQ37">
        <v>1</v>
      </c>
      <c r="ER37">
        <v>1</v>
      </c>
      <c r="ES37">
        <v>0</v>
      </c>
      <c r="ET37">
        <v>0</v>
      </c>
      <c r="EU37">
        <v>0</v>
      </c>
      <c r="EV37">
        <v>0</v>
      </c>
      <c r="EW37">
        <v>0</v>
      </c>
      <c r="EX37">
        <v>0</v>
      </c>
      <c r="EY37">
        <v>1</v>
      </c>
      <c r="EZ37">
        <v>0</v>
      </c>
      <c r="FA37">
        <v>0</v>
      </c>
      <c r="FB37">
        <v>0</v>
      </c>
      <c r="FC37">
        <v>0</v>
      </c>
      <c r="FD37">
        <v>1</v>
      </c>
      <c r="FE37">
        <v>0</v>
      </c>
      <c r="FF37">
        <v>1</v>
      </c>
      <c r="FG37">
        <v>0</v>
      </c>
      <c r="FH37">
        <v>0</v>
      </c>
      <c r="FI37">
        <v>0</v>
      </c>
      <c r="FJ37">
        <v>0</v>
      </c>
      <c r="FK37">
        <v>0</v>
      </c>
      <c r="FL37">
        <v>0</v>
      </c>
      <c r="FM37">
        <v>0</v>
      </c>
      <c r="FN37">
        <v>1</v>
      </c>
      <c r="FO37">
        <v>0</v>
      </c>
      <c r="FP37">
        <v>0</v>
      </c>
      <c r="FQ37">
        <v>0</v>
      </c>
      <c r="FR37">
        <v>0</v>
      </c>
      <c r="FS37">
        <v>1</v>
      </c>
      <c r="FT37">
        <v>1</v>
      </c>
      <c r="FU37">
        <v>1</v>
      </c>
      <c r="FV37">
        <v>0</v>
      </c>
      <c r="FW37">
        <v>0</v>
      </c>
      <c r="FX37">
        <v>0</v>
      </c>
      <c r="FY37">
        <v>0</v>
      </c>
      <c r="FZ37">
        <v>0</v>
      </c>
      <c r="GA37">
        <v>0</v>
      </c>
      <c r="GB37">
        <v>0</v>
      </c>
      <c r="GC37">
        <v>1</v>
      </c>
      <c r="GD37">
        <v>1</v>
      </c>
      <c r="GE37">
        <v>1</v>
      </c>
      <c r="GF37">
        <v>0</v>
      </c>
      <c r="GG37">
        <v>0</v>
      </c>
      <c r="GH37">
        <v>0</v>
      </c>
      <c r="GI37">
        <v>2</v>
      </c>
      <c r="GJ37" s="1">
        <v>45047.456944444442</v>
      </c>
      <c r="GK37">
        <v>1</v>
      </c>
      <c r="GL37">
        <v>3</v>
      </c>
      <c r="GM37">
        <v>3</v>
      </c>
      <c r="GN37">
        <v>2</v>
      </c>
      <c r="GO37">
        <v>1</v>
      </c>
      <c r="GP37">
        <v>2</v>
      </c>
      <c r="GQ37">
        <v>3</v>
      </c>
      <c r="GR37">
        <v>1</v>
      </c>
      <c r="GS37">
        <v>3</v>
      </c>
      <c r="GT37">
        <v>3</v>
      </c>
      <c r="GU37">
        <v>1</v>
      </c>
      <c r="GV37">
        <v>2</v>
      </c>
      <c r="GW37">
        <v>3</v>
      </c>
      <c r="GX37">
        <v>3</v>
      </c>
      <c r="GY37">
        <v>2</v>
      </c>
      <c r="GZ37">
        <v>3</v>
      </c>
      <c r="HA37">
        <v>3</v>
      </c>
      <c r="HB37">
        <v>3</v>
      </c>
      <c r="HC37">
        <v>15</v>
      </c>
      <c r="HD37">
        <v>13</v>
      </c>
      <c r="HE37">
        <v>41</v>
      </c>
      <c r="HF37">
        <v>2</v>
      </c>
      <c r="HG37" s="1">
        <v>45047.456944444442</v>
      </c>
      <c r="HH37">
        <v>2</v>
      </c>
      <c r="HI37">
        <v>12</v>
      </c>
      <c r="HJ37">
        <v>11</v>
      </c>
      <c r="HK37">
        <v>2</v>
      </c>
      <c r="HL37" s="1">
        <v>45076.640972222223</v>
      </c>
      <c r="HM37">
        <v>1</v>
      </c>
      <c r="HN37">
        <v>1</v>
      </c>
      <c r="HO37">
        <v>0</v>
      </c>
      <c r="HP37">
        <v>1</v>
      </c>
      <c r="HQ37">
        <v>0</v>
      </c>
      <c r="HR37">
        <v>0</v>
      </c>
      <c r="HS37">
        <v>0</v>
      </c>
      <c r="HT37">
        <v>0</v>
      </c>
      <c r="HU37">
        <v>0</v>
      </c>
      <c r="HV37">
        <v>0</v>
      </c>
      <c r="HW37">
        <v>1</v>
      </c>
      <c r="HX37">
        <v>2</v>
      </c>
      <c r="HY37">
        <v>0</v>
      </c>
      <c r="HZ37">
        <v>0</v>
      </c>
      <c r="IA37">
        <v>2</v>
      </c>
      <c r="IB37">
        <v>2</v>
      </c>
      <c r="IC37">
        <v>2</v>
      </c>
      <c r="ID37">
        <v>0</v>
      </c>
      <c r="IE37">
        <v>1</v>
      </c>
      <c r="IF37">
        <v>3</v>
      </c>
      <c r="IG37">
        <v>3</v>
      </c>
      <c r="IH37">
        <v>19</v>
      </c>
      <c r="II37">
        <v>2</v>
      </c>
      <c r="IJ37" s="1">
        <v>45076.643055555556</v>
      </c>
      <c r="IK37">
        <v>1</v>
      </c>
      <c r="IL37">
        <v>1</v>
      </c>
      <c r="IM37">
        <v>0</v>
      </c>
      <c r="IN37">
        <v>0</v>
      </c>
      <c r="IO37">
        <v>0</v>
      </c>
      <c r="IP37">
        <v>0</v>
      </c>
      <c r="IQ37">
        <v>0</v>
      </c>
      <c r="IR37">
        <v>1</v>
      </c>
      <c r="IS37">
        <v>0</v>
      </c>
      <c r="IT37">
        <v>0</v>
      </c>
      <c r="IU37">
        <v>0</v>
      </c>
      <c r="IV37">
        <v>0</v>
      </c>
      <c r="IW37">
        <v>0</v>
      </c>
      <c r="IX37">
        <v>1</v>
      </c>
      <c r="IY37">
        <v>0</v>
      </c>
      <c r="IZ37">
        <v>0</v>
      </c>
      <c r="JA37">
        <v>1</v>
      </c>
      <c r="JB37">
        <v>0</v>
      </c>
      <c r="JC37">
        <v>1</v>
      </c>
      <c r="JD37">
        <v>0</v>
      </c>
      <c r="JE37">
        <v>10</v>
      </c>
      <c r="JF37">
        <v>3</v>
      </c>
      <c r="JG37">
        <v>2</v>
      </c>
      <c r="JH37">
        <v>3</v>
      </c>
      <c r="JI37">
        <v>1</v>
      </c>
      <c r="JJ37">
        <v>1</v>
      </c>
      <c r="JK37">
        <v>1</v>
      </c>
      <c r="JL37" t="s">
        <v>436</v>
      </c>
      <c r="JM37" t="s">
        <v>437</v>
      </c>
      <c r="JN37">
        <v>6</v>
      </c>
      <c r="JO37">
        <v>11</v>
      </c>
      <c r="JP37">
        <v>3</v>
      </c>
      <c r="JQ37">
        <v>2</v>
      </c>
      <c r="JR37" s="1">
        <v>45076.643750000003</v>
      </c>
      <c r="JS37">
        <v>0</v>
      </c>
      <c r="JT37">
        <v>0</v>
      </c>
      <c r="JU37">
        <v>0</v>
      </c>
      <c r="JV37">
        <v>0</v>
      </c>
      <c r="JW37">
        <v>2</v>
      </c>
      <c r="JX37" s="1">
        <v>45076.644444444442</v>
      </c>
      <c r="JY37">
        <v>74.3</v>
      </c>
      <c r="JZ37">
        <v>2.9</v>
      </c>
      <c r="KI37">
        <v>5</v>
      </c>
      <c r="ME37">
        <v>3</v>
      </c>
      <c r="UM37">
        <v>5</v>
      </c>
      <c r="UQ37">
        <v>5</v>
      </c>
      <c r="WM37" t="s">
        <v>335</v>
      </c>
      <c r="YQ37">
        <v>2</v>
      </c>
      <c r="YR37" s="1">
        <v>45076.645138888889</v>
      </c>
      <c r="YS37">
        <v>3</v>
      </c>
      <c r="YT37">
        <v>4</v>
      </c>
      <c r="YU37">
        <v>1</v>
      </c>
      <c r="YV37">
        <v>3</v>
      </c>
      <c r="YW37">
        <v>1</v>
      </c>
      <c r="YX37">
        <v>1</v>
      </c>
      <c r="YY37">
        <v>1</v>
      </c>
      <c r="YZ37">
        <v>2</v>
      </c>
      <c r="ZA37">
        <v>1</v>
      </c>
      <c r="ZB37">
        <v>3</v>
      </c>
      <c r="ZC37">
        <v>4</v>
      </c>
      <c r="ZD37">
        <v>3</v>
      </c>
      <c r="ZE37">
        <v>1</v>
      </c>
      <c r="ZF37">
        <v>1</v>
      </c>
      <c r="ZG37">
        <v>3</v>
      </c>
      <c r="ZH37">
        <v>2</v>
      </c>
      <c r="ZI37">
        <v>3</v>
      </c>
      <c r="ZJ37">
        <v>2</v>
      </c>
      <c r="ZK37">
        <v>1</v>
      </c>
      <c r="ZL37">
        <v>1</v>
      </c>
      <c r="ZM37">
        <v>19</v>
      </c>
      <c r="ZN37">
        <v>22</v>
      </c>
      <c r="ZO37">
        <v>2</v>
      </c>
      <c r="ZP37" s="1">
        <v>45076.645833333336</v>
      </c>
      <c r="ZQ37">
        <v>4</v>
      </c>
      <c r="ZR37">
        <v>4</v>
      </c>
      <c r="ZS37">
        <v>1</v>
      </c>
      <c r="ZT37">
        <v>2</v>
      </c>
      <c r="ZU37">
        <v>0</v>
      </c>
      <c r="ZV37">
        <v>3</v>
      </c>
      <c r="ZW37">
        <v>2</v>
      </c>
      <c r="ZX37">
        <v>4</v>
      </c>
      <c r="ZY37">
        <v>0</v>
      </c>
      <c r="ZZ37">
        <v>1</v>
      </c>
      <c r="AAA37">
        <v>0</v>
      </c>
      <c r="AAB37">
        <v>1</v>
      </c>
      <c r="AAC37">
        <v>2</v>
      </c>
      <c r="AAD37">
        <v>0</v>
      </c>
      <c r="AAE37">
        <v>1</v>
      </c>
      <c r="AAF37">
        <v>3</v>
      </c>
      <c r="AAG37">
        <v>0</v>
      </c>
      <c r="AAH37">
        <v>0</v>
      </c>
      <c r="AAI37">
        <v>14</v>
      </c>
      <c r="AAJ37">
        <v>8</v>
      </c>
      <c r="AAK37">
        <v>6</v>
      </c>
      <c r="AAL37">
        <v>28</v>
      </c>
      <c r="AAM37">
        <v>2</v>
      </c>
      <c r="AAN37" s="1">
        <v>45076.647222222222</v>
      </c>
      <c r="AAO37">
        <v>1</v>
      </c>
      <c r="AAP37">
        <v>8</v>
      </c>
      <c r="AAQ37">
        <v>5</v>
      </c>
      <c r="AAR37">
        <v>6</v>
      </c>
      <c r="AAS37">
        <v>7</v>
      </c>
      <c r="AAT37">
        <v>12</v>
      </c>
      <c r="AAU37">
        <v>9</v>
      </c>
      <c r="AAV37">
        <v>10</v>
      </c>
      <c r="AAW37">
        <v>8</v>
      </c>
      <c r="AAX37">
        <v>10</v>
      </c>
      <c r="AAY37">
        <v>8</v>
      </c>
      <c r="AAZ37">
        <v>10</v>
      </c>
      <c r="ABA37">
        <v>8</v>
      </c>
      <c r="ABB37">
        <v>5</v>
      </c>
      <c r="ABC37">
        <v>4</v>
      </c>
      <c r="ABD37">
        <v>6.5</v>
      </c>
      <c r="ABE37">
        <v>10.28571429</v>
      </c>
      <c r="ABF37">
        <v>2</v>
      </c>
      <c r="ABG37" s="1">
        <v>45076.647916666669</v>
      </c>
      <c r="AEG37">
        <v>3</v>
      </c>
      <c r="AEH37">
        <v>0</v>
      </c>
      <c r="AEI37">
        <v>3</v>
      </c>
      <c r="AEJ37">
        <v>0</v>
      </c>
      <c r="AEK37">
        <v>0</v>
      </c>
      <c r="AEL37">
        <v>0</v>
      </c>
      <c r="AEM37">
        <v>0</v>
      </c>
      <c r="AEN37">
        <v>0</v>
      </c>
      <c r="AEO37">
        <v>1</v>
      </c>
      <c r="AEP37">
        <v>0</v>
      </c>
      <c r="AEQ37">
        <v>0</v>
      </c>
      <c r="AER37">
        <v>0</v>
      </c>
      <c r="AES37">
        <v>4</v>
      </c>
      <c r="AET37">
        <v>0</v>
      </c>
      <c r="AEU37">
        <v>0</v>
      </c>
      <c r="AEV37">
        <v>0</v>
      </c>
      <c r="AEW37">
        <v>0</v>
      </c>
      <c r="AEX37">
        <v>0</v>
      </c>
      <c r="AEY37">
        <v>4</v>
      </c>
      <c r="AEZ37">
        <v>1</v>
      </c>
      <c r="AFA37">
        <v>0</v>
      </c>
      <c r="AFB37">
        <v>4</v>
      </c>
      <c r="AFC37">
        <v>0</v>
      </c>
      <c r="AFD37">
        <v>0</v>
      </c>
      <c r="AFE37">
        <v>0</v>
      </c>
      <c r="AFF37">
        <v>0</v>
      </c>
      <c r="AFG37">
        <v>0</v>
      </c>
      <c r="AFH37">
        <v>1</v>
      </c>
      <c r="AFI37">
        <v>2</v>
      </c>
      <c r="AFJ37">
        <v>0</v>
      </c>
      <c r="AFK37">
        <v>4</v>
      </c>
      <c r="AFL37">
        <v>0</v>
      </c>
      <c r="AFM37">
        <v>2</v>
      </c>
      <c r="AFN37">
        <v>15</v>
      </c>
      <c r="AFO37">
        <v>2</v>
      </c>
      <c r="AFP37">
        <v>0</v>
      </c>
      <c r="AFQ37">
        <v>23</v>
      </c>
      <c r="AFR37">
        <v>2</v>
      </c>
      <c r="AFS37" s="1">
        <v>45076.649305555555</v>
      </c>
      <c r="AFT37">
        <v>4</v>
      </c>
      <c r="AFU37">
        <v>3</v>
      </c>
      <c r="AFV37">
        <v>2</v>
      </c>
      <c r="AFW37">
        <v>2</v>
      </c>
      <c r="AFX37">
        <v>2</v>
      </c>
      <c r="AFY37">
        <v>1</v>
      </c>
      <c r="AFZ37">
        <v>1</v>
      </c>
      <c r="AGA37">
        <v>3</v>
      </c>
      <c r="AGB37">
        <v>1</v>
      </c>
      <c r="AGC37">
        <v>2</v>
      </c>
      <c r="AGD37">
        <v>4</v>
      </c>
      <c r="AGE37">
        <v>2</v>
      </c>
      <c r="AGF37">
        <v>1</v>
      </c>
      <c r="AGG37">
        <v>1</v>
      </c>
      <c r="AGH37">
        <v>2</v>
      </c>
      <c r="AGI37">
        <v>3</v>
      </c>
      <c r="AGJ37">
        <v>2</v>
      </c>
      <c r="AGK37">
        <v>1</v>
      </c>
      <c r="AGL37">
        <v>3</v>
      </c>
      <c r="AGM37">
        <v>2</v>
      </c>
      <c r="AGN37">
        <v>36</v>
      </c>
      <c r="AGO37">
        <v>2</v>
      </c>
      <c r="AGP37" s="1">
        <v>45076.649305555555</v>
      </c>
      <c r="AGQ37">
        <v>1</v>
      </c>
      <c r="AGR37" t="s">
        <v>295</v>
      </c>
      <c r="AGS37" t="s">
        <v>296</v>
      </c>
      <c r="AGT37">
        <v>20</v>
      </c>
      <c r="AGU37">
        <v>20</v>
      </c>
      <c r="AGV37">
        <v>1</v>
      </c>
      <c r="AGW37">
        <v>0</v>
      </c>
      <c r="AGX37">
        <v>0</v>
      </c>
      <c r="AGY37">
        <v>0</v>
      </c>
      <c r="AGZ37">
        <v>0</v>
      </c>
      <c r="AHB37">
        <v>2</v>
      </c>
      <c r="AHU37" t="s">
        <v>416</v>
      </c>
    </row>
    <row r="38" spans="1:905">
      <c r="A38">
        <v>195</v>
      </c>
      <c r="B38" t="s">
        <v>205</v>
      </c>
      <c r="C38" t="s">
        <v>438</v>
      </c>
      <c r="D38">
        <v>2</v>
      </c>
      <c r="E38">
        <v>1</v>
      </c>
      <c r="F38">
        <v>34</v>
      </c>
      <c r="G38">
        <v>64</v>
      </c>
      <c r="H38">
        <v>107</v>
      </c>
      <c r="I38">
        <v>0</v>
      </c>
      <c r="J38">
        <v>3</v>
      </c>
      <c r="L38" t="s">
        <v>439</v>
      </c>
      <c r="M38">
        <v>2</v>
      </c>
      <c r="N38" s="1">
        <v>45068.48333333333</v>
      </c>
      <c r="O38">
        <v>5</v>
      </c>
      <c r="P38">
        <v>0</v>
      </c>
      <c r="R38">
        <v>0</v>
      </c>
      <c r="S38">
        <v>0</v>
      </c>
      <c r="T38">
        <v>0</v>
      </c>
      <c r="U38">
        <v>0</v>
      </c>
      <c r="V38">
        <v>0</v>
      </c>
      <c r="W38">
        <v>0</v>
      </c>
      <c r="X38">
        <v>0</v>
      </c>
      <c r="Y38">
        <v>0</v>
      </c>
      <c r="Z38">
        <v>0</v>
      </c>
      <c r="AA38">
        <v>1</v>
      </c>
      <c r="AB38">
        <v>0</v>
      </c>
      <c r="AC38">
        <v>2</v>
      </c>
      <c r="AD38">
        <v>2</v>
      </c>
      <c r="AE38" s="1">
        <v>45068.647916666669</v>
      </c>
      <c r="AF38">
        <v>1</v>
      </c>
      <c r="AG38">
        <v>3</v>
      </c>
      <c r="AH38">
        <v>1</v>
      </c>
      <c r="AI38">
        <v>4</v>
      </c>
      <c r="AJ38">
        <v>2</v>
      </c>
      <c r="AK38">
        <v>1</v>
      </c>
      <c r="AL38">
        <v>3</v>
      </c>
      <c r="AM38">
        <v>3</v>
      </c>
      <c r="AN38">
        <v>2</v>
      </c>
      <c r="AO38">
        <v>2</v>
      </c>
      <c r="AP38">
        <v>2</v>
      </c>
      <c r="AQ38">
        <v>4</v>
      </c>
      <c r="AR38">
        <v>2</v>
      </c>
      <c r="AS38">
        <v>1</v>
      </c>
      <c r="AT38">
        <v>4</v>
      </c>
      <c r="AU38">
        <v>1</v>
      </c>
      <c r="AV38">
        <v>4</v>
      </c>
      <c r="AW38">
        <v>4</v>
      </c>
      <c r="AX38">
        <v>4</v>
      </c>
      <c r="AY38">
        <v>4</v>
      </c>
      <c r="AZ38">
        <v>65</v>
      </c>
      <c r="BA38">
        <v>2</v>
      </c>
      <c r="BB38" s="1">
        <v>45068.650694444441</v>
      </c>
      <c r="BC38">
        <v>10</v>
      </c>
      <c r="BD38">
        <v>2</v>
      </c>
      <c r="BE38">
        <v>2</v>
      </c>
      <c r="BI38" s="2">
        <v>44928</v>
      </c>
      <c r="BM38" t="s">
        <v>440</v>
      </c>
      <c r="BN38" t="s">
        <v>441</v>
      </c>
      <c r="BO38">
        <v>3</v>
      </c>
      <c r="BY38">
        <v>2</v>
      </c>
      <c r="BZ38" s="1">
        <v>45068.65347222222</v>
      </c>
      <c r="CA38">
        <v>3</v>
      </c>
      <c r="CB38">
        <v>4</v>
      </c>
      <c r="CC38">
        <v>2</v>
      </c>
      <c r="CD38">
        <v>4</v>
      </c>
      <c r="CE38">
        <v>4</v>
      </c>
      <c r="CF38">
        <v>3</v>
      </c>
      <c r="CG38">
        <v>4</v>
      </c>
      <c r="CH38">
        <v>4</v>
      </c>
      <c r="CI38">
        <v>3</v>
      </c>
      <c r="CJ38">
        <v>4</v>
      </c>
      <c r="CK38">
        <v>2</v>
      </c>
      <c r="CL38">
        <v>4</v>
      </c>
      <c r="CM38">
        <v>1</v>
      </c>
      <c r="CN38">
        <v>2</v>
      </c>
      <c r="CO38">
        <v>4</v>
      </c>
      <c r="CP38">
        <v>4</v>
      </c>
      <c r="CQ38">
        <v>2</v>
      </c>
      <c r="CR38">
        <v>3</v>
      </c>
      <c r="CS38">
        <v>2</v>
      </c>
      <c r="CT38">
        <v>2</v>
      </c>
      <c r="CU38">
        <v>9</v>
      </c>
      <c r="CV38">
        <v>13</v>
      </c>
      <c r="CW38">
        <v>15</v>
      </c>
      <c r="CX38">
        <v>37</v>
      </c>
      <c r="CY38">
        <v>26</v>
      </c>
      <c r="CZ38">
        <v>2</v>
      </c>
      <c r="DA38" s="1">
        <v>45068.656944444447</v>
      </c>
      <c r="DB38">
        <v>0</v>
      </c>
      <c r="DC38">
        <v>0</v>
      </c>
      <c r="DD38">
        <v>1</v>
      </c>
      <c r="DE38">
        <v>0</v>
      </c>
      <c r="DF38">
        <v>1</v>
      </c>
      <c r="DG38">
        <v>1</v>
      </c>
      <c r="DH38">
        <v>0</v>
      </c>
      <c r="DI38">
        <v>0</v>
      </c>
      <c r="DJ38">
        <v>0</v>
      </c>
      <c r="DK38">
        <v>0</v>
      </c>
      <c r="DL38">
        <v>1</v>
      </c>
      <c r="DM38">
        <v>0</v>
      </c>
      <c r="DN38">
        <v>1</v>
      </c>
      <c r="DO38">
        <v>0</v>
      </c>
      <c r="DP38">
        <v>0</v>
      </c>
      <c r="DQ38">
        <v>0</v>
      </c>
      <c r="DR38">
        <v>0</v>
      </c>
      <c r="DS38">
        <v>0</v>
      </c>
      <c r="DT38">
        <v>1</v>
      </c>
      <c r="DU38">
        <v>0</v>
      </c>
      <c r="DV38">
        <v>1</v>
      </c>
      <c r="DW38">
        <v>0</v>
      </c>
      <c r="DX38">
        <v>0</v>
      </c>
      <c r="DY38">
        <v>0</v>
      </c>
      <c r="DZ38">
        <v>0</v>
      </c>
      <c r="EA38">
        <v>1</v>
      </c>
      <c r="EB38">
        <v>1</v>
      </c>
      <c r="EC38">
        <v>0</v>
      </c>
      <c r="ED38">
        <v>0</v>
      </c>
      <c r="EE38">
        <v>0</v>
      </c>
      <c r="EF38">
        <v>1</v>
      </c>
      <c r="EG38">
        <v>1</v>
      </c>
      <c r="EH38">
        <v>0</v>
      </c>
      <c r="EI38">
        <v>0</v>
      </c>
      <c r="EJ38">
        <v>0</v>
      </c>
      <c r="EK38">
        <v>0</v>
      </c>
      <c r="EL38">
        <v>0</v>
      </c>
      <c r="EM38">
        <v>0</v>
      </c>
      <c r="EN38">
        <v>1</v>
      </c>
      <c r="EO38">
        <v>0</v>
      </c>
      <c r="EP38">
        <v>1</v>
      </c>
      <c r="EQ38">
        <v>0</v>
      </c>
      <c r="ER38">
        <v>0</v>
      </c>
      <c r="ES38">
        <v>0</v>
      </c>
      <c r="ET38">
        <v>0</v>
      </c>
      <c r="EU38">
        <v>0</v>
      </c>
      <c r="EV38">
        <v>0</v>
      </c>
      <c r="EW38">
        <v>0</v>
      </c>
      <c r="EX38">
        <v>0</v>
      </c>
      <c r="EY38">
        <v>1</v>
      </c>
      <c r="EZ38">
        <v>0</v>
      </c>
      <c r="FA38">
        <v>0</v>
      </c>
      <c r="FB38">
        <v>0</v>
      </c>
      <c r="FC38">
        <v>0</v>
      </c>
      <c r="FD38">
        <v>1</v>
      </c>
      <c r="FE38">
        <v>0</v>
      </c>
      <c r="FF38">
        <v>1</v>
      </c>
      <c r="FG38">
        <v>0</v>
      </c>
      <c r="FH38">
        <v>0</v>
      </c>
      <c r="FI38">
        <v>0</v>
      </c>
      <c r="FJ38">
        <v>0</v>
      </c>
      <c r="FK38">
        <v>0</v>
      </c>
      <c r="FL38">
        <v>0</v>
      </c>
      <c r="FM38">
        <v>0</v>
      </c>
      <c r="FN38">
        <v>1</v>
      </c>
      <c r="FO38">
        <v>0</v>
      </c>
      <c r="FP38">
        <v>0</v>
      </c>
      <c r="FQ38">
        <v>1</v>
      </c>
      <c r="FR38">
        <v>0</v>
      </c>
      <c r="FS38">
        <v>1</v>
      </c>
      <c r="FT38">
        <v>1</v>
      </c>
      <c r="FU38">
        <v>0</v>
      </c>
      <c r="FV38">
        <v>0</v>
      </c>
      <c r="FW38">
        <v>0</v>
      </c>
      <c r="FX38">
        <v>0</v>
      </c>
      <c r="FY38">
        <v>0</v>
      </c>
      <c r="FZ38">
        <v>0</v>
      </c>
      <c r="GA38">
        <v>0</v>
      </c>
      <c r="GB38">
        <v>0</v>
      </c>
      <c r="GC38">
        <v>1</v>
      </c>
      <c r="GD38">
        <v>1</v>
      </c>
      <c r="GE38">
        <v>0</v>
      </c>
      <c r="GF38">
        <v>0</v>
      </c>
      <c r="GG38">
        <v>0</v>
      </c>
      <c r="GH38">
        <v>0</v>
      </c>
      <c r="GI38">
        <v>2</v>
      </c>
      <c r="GJ38" s="1">
        <v>45068.657638888886</v>
      </c>
      <c r="GK38">
        <v>0</v>
      </c>
      <c r="HF38">
        <v>2</v>
      </c>
      <c r="HG38" s="1">
        <v>45068.659722222219</v>
      </c>
      <c r="HH38">
        <v>2</v>
      </c>
      <c r="HI38">
        <v>4</v>
      </c>
      <c r="HJ38">
        <v>1</v>
      </c>
      <c r="HK38">
        <v>2</v>
      </c>
      <c r="HL38" s="1">
        <v>45068.663888888892</v>
      </c>
      <c r="HM38">
        <v>3</v>
      </c>
      <c r="HN38">
        <v>2</v>
      </c>
      <c r="HO38">
        <v>3</v>
      </c>
      <c r="HP38">
        <v>2</v>
      </c>
      <c r="HQ38">
        <v>2</v>
      </c>
      <c r="HR38">
        <v>0</v>
      </c>
      <c r="HS38">
        <v>2</v>
      </c>
      <c r="HT38">
        <v>2</v>
      </c>
      <c r="HU38">
        <v>0</v>
      </c>
      <c r="HV38">
        <v>1</v>
      </c>
      <c r="HW38">
        <v>2</v>
      </c>
      <c r="HX38">
        <v>3</v>
      </c>
      <c r="HY38">
        <v>3</v>
      </c>
      <c r="HZ38">
        <v>2</v>
      </c>
      <c r="IA38">
        <v>2</v>
      </c>
      <c r="IB38">
        <v>3</v>
      </c>
      <c r="IC38">
        <v>2</v>
      </c>
      <c r="ID38">
        <v>0</v>
      </c>
      <c r="IE38">
        <v>1</v>
      </c>
      <c r="IF38">
        <v>3</v>
      </c>
      <c r="IG38">
        <v>0</v>
      </c>
      <c r="IH38">
        <v>35</v>
      </c>
      <c r="II38">
        <v>2</v>
      </c>
      <c r="IJ38" s="1">
        <v>45068.664583333331</v>
      </c>
      <c r="IK38">
        <v>0</v>
      </c>
      <c r="IL38">
        <v>0</v>
      </c>
      <c r="IM38">
        <v>0</v>
      </c>
      <c r="IN38">
        <v>0</v>
      </c>
      <c r="IO38">
        <v>0</v>
      </c>
      <c r="IP38">
        <v>0</v>
      </c>
      <c r="IQ38">
        <v>0</v>
      </c>
      <c r="IR38">
        <v>0</v>
      </c>
      <c r="IS38">
        <v>0</v>
      </c>
      <c r="IT38">
        <v>0</v>
      </c>
      <c r="IU38">
        <v>0</v>
      </c>
      <c r="IV38">
        <v>0</v>
      </c>
      <c r="IW38">
        <v>0</v>
      </c>
      <c r="IX38">
        <v>0</v>
      </c>
      <c r="IY38">
        <v>0</v>
      </c>
      <c r="IZ38">
        <v>0</v>
      </c>
      <c r="JA38">
        <v>0</v>
      </c>
      <c r="JB38">
        <v>0</v>
      </c>
      <c r="JC38">
        <v>0</v>
      </c>
      <c r="JD38">
        <v>1</v>
      </c>
      <c r="JN38">
        <v>0</v>
      </c>
      <c r="JQ38">
        <v>2</v>
      </c>
      <c r="JR38" s="1">
        <v>45068.664583333331</v>
      </c>
      <c r="JS38">
        <v>0</v>
      </c>
      <c r="JT38">
        <v>0</v>
      </c>
      <c r="JU38">
        <v>0</v>
      </c>
      <c r="JV38">
        <v>0</v>
      </c>
      <c r="JW38">
        <v>2</v>
      </c>
      <c r="JX38" s="1">
        <v>45068.665277777778</v>
      </c>
      <c r="JY38">
        <v>66.099999999999994</v>
      </c>
      <c r="JZ38">
        <v>2.4</v>
      </c>
      <c r="KI38">
        <v>4</v>
      </c>
      <c r="UQ38">
        <v>4</v>
      </c>
      <c r="WQ38">
        <v>4</v>
      </c>
      <c r="XG38">
        <v>5</v>
      </c>
      <c r="YQ38">
        <v>2</v>
      </c>
      <c r="YR38" s="1">
        <v>45068.666666666664</v>
      </c>
      <c r="YS38">
        <v>3</v>
      </c>
      <c r="YT38">
        <v>3</v>
      </c>
      <c r="YU38">
        <v>1</v>
      </c>
      <c r="YV38">
        <v>3</v>
      </c>
      <c r="YW38">
        <v>1</v>
      </c>
      <c r="YX38">
        <v>2</v>
      </c>
      <c r="YY38">
        <v>1</v>
      </c>
      <c r="YZ38">
        <v>1</v>
      </c>
      <c r="ZA38">
        <v>1</v>
      </c>
      <c r="ZB38">
        <v>1</v>
      </c>
      <c r="ZC38">
        <v>3</v>
      </c>
      <c r="ZD38">
        <v>3</v>
      </c>
      <c r="ZE38">
        <v>1</v>
      </c>
      <c r="ZF38">
        <v>2</v>
      </c>
      <c r="ZG38">
        <v>3</v>
      </c>
      <c r="ZH38">
        <v>1</v>
      </c>
      <c r="ZI38">
        <v>2</v>
      </c>
      <c r="ZJ38">
        <v>1</v>
      </c>
      <c r="ZK38">
        <v>2</v>
      </c>
      <c r="ZL38">
        <v>1</v>
      </c>
      <c r="ZM38">
        <v>17</v>
      </c>
      <c r="ZN38">
        <v>19</v>
      </c>
      <c r="ZO38">
        <v>2</v>
      </c>
      <c r="ZP38" s="1">
        <v>45068.668055555558</v>
      </c>
      <c r="ZQ38">
        <v>0</v>
      </c>
      <c r="ZR38">
        <v>4</v>
      </c>
      <c r="ZS38">
        <v>0</v>
      </c>
      <c r="ZT38">
        <v>0</v>
      </c>
      <c r="ZU38">
        <v>2</v>
      </c>
      <c r="ZV38">
        <v>1</v>
      </c>
      <c r="ZW38">
        <v>0</v>
      </c>
      <c r="ZX38">
        <v>3</v>
      </c>
      <c r="ZY38">
        <v>0</v>
      </c>
      <c r="ZZ38">
        <v>0</v>
      </c>
      <c r="AAA38">
        <v>1</v>
      </c>
      <c r="AAB38">
        <v>0</v>
      </c>
      <c r="AAC38">
        <v>0</v>
      </c>
      <c r="AAD38">
        <v>2</v>
      </c>
      <c r="AAE38">
        <v>1</v>
      </c>
      <c r="AAF38">
        <v>0</v>
      </c>
      <c r="AAG38">
        <v>0</v>
      </c>
      <c r="AAH38">
        <v>0</v>
      </c>
      <c r="AAI38">
        <v>0</v>
      </c>
      <c r="AAJ38">
        <v>12</v>
      </c>
      <c r="AAK38">
        <v>2</v>
      </c>
      <c r="AAL38">
        <v>14</v>
      </c>
      <c r="AAM38">
        <v>2</v>
      </c>
      <c r="AAN38" s="1">
        <v>45068.668055555558</v>
      </c>
      <c r="AAO38">
        <v>0</v>
      </c>
      <c r="ABF38">
        <v>2</v>
      </c>
      <c r="ABG38" s="1">
        <v>45068.669444444444</v>
      </c>
      <c r="AEG38">
        <v>0</v>
      </c>
      <c r="AEH38">
        <v>0</v>
      </c>
      <c r="AEI38">
        <v>0</v>
      </c>
      <c r="AEJ38">
        <v>0</v>
      </c>
      <c r="AEK38">
        <v>0</v>
      </c>
      <c r="AEL38">
        <v>0</v>
      </c>
      <c r="AEM38">
        <v>0</v>
      </c>
      <c r="AEN38">
        <v>0</v>
      </c>
      <c r="AEO38">
        <v>0</v>
      </c>
      <c r="AEP38">
        <v>0</v>
      </c>
      <c r="AEQ38">
        <v>0</v>
      </c>
      <c r="AER38">
        <v>0</v>
      </c>
      <c r="AES38">
        <v>1</v>
      </c>
      <c r="AET38">
        <v>1</v>
      </c>
      <c r="AEU38">
        <v>0</v>
      </c>
      <c r="AEV38">
        <v>0</v>
      </c>
      <c r="AEW38">
        <v>0</v>
      </c>
      <c r="AEX38">
        <v>0</v>
      </c>
      <c r="AEY38">
        <v>0</v>
      </c>
      <c r="AEZ38">
        <v>0</v>
      </c>
      <c r="AFA38">
        <v>0</v>
      </c>
      <c r="AFB38">
        <v>0</v>
      </c>
      <c r="AFC38">
        <v>0</v>
      </c>
      <c r="AFD38">
        <v>0</v>
      </c>
      <c r="AFE38">
        <v>0</v>
      </c>
      <c r="AFF38">
        <v>1</v>
      </c>
      <c r="AFG38">
        <v>0</v>
      </c>
      <c r="AFH38">
        <v>0</v>
      </c>
      <c r="AFI38">
        <v>0</v>
      </c>
      <c r="AFJ38">
        <v>0</v>
      </c>
      <c r="AFK38">
        <v>0</v>
      </c>
      <c r="AFL38">
        <v>0</v>
      </c>
      <c r="AFM38">
        <v>1</v>
      </c>
      <c r="AFN38">
        <v>1</v>
      </c>
      <c r="AFO38">
        <v>1</v>
      </c>
      <c r="AFP38">
        <v>0</v>
      </c>
      <c r="AFQ38">
        <v>3</v>
      </c>
      <c r="AFR38">
        <v>2</v>
      </c>
      <c r="AFS38" s="1">
        <v>45068.67083333333</v>
      </c>
      <c r="AFT38">
        <v>4</v>
      </c>
      <c r="AFU38">
        <v>4</v>
      </c>
      <c r="AFV38">
        <v>1</v>
      </c>
      <c r="AFW38">
        <v>1</v>
      </c>
      <c r="AFX38">
        <v>3</v>
      </c>
      <c r="AFY38">
        <v>1</v>
      </c>
      <c r="AFZ38">
        <v>2</v>
      </c>
      <c r="AGA38">
        <v>3</v>
      </c>
      <c r="AGB38">
        <v>1</v>
      </c>
      <c r="AGC38">
        <v>4</v>
      </c>
      <c r="AGD38">
        <v>1</v>
      </c>
      <c r="AGE38">
        <v>1</v>
      </c>
      <c r="AGF38">
        <v>1</v>
      </c>
      <c r="AGG38">
        <v>2</v>
      </c>
      <c r="AGH38">
        <v>3</v>
      </c>
      <c r="AGI38">
        <v>4</v>
      </c>
      <c r="AGJ38">
        <v>1</v>
      </c>
      <c r="AGK38">
        <v>1</v>
      </c>
      <c r="AGL38">
        <v>4</v>
      </c>
      <c r="AGM38">
        <v>3</v>
      </c>
      <c r="AGN38">
        <v>29</v>
      </c>
      <c r="AGO38">
        <v>2</v>
      </c>
      <c r="AGP38" s="1">
        <v>45068.671527777777</v>
      </c>
      <c r="AGQ38">
        <v>1</v>
      </c>
      <c r="AGR38" t="s">
        <v>295</v>
      </c>
      <c r="AGS38" t="s">
        <v>296</v>
      </c>
      <c r="AGT38">
        <v>10</v>
      </c>
      <c r="AGU38">
        <v>19</v>
      </c>
      <c r="AGV38">
        <v>1</v>
      </c>
      <c r="AGW38">
        <v>0</v>
      </c>
      <c r="AGX38">
        <v>0</v>
      </c>
      <c r="AGY38">
        <v>0</v>
      </c>
      <c r="AGZ38">
        <v>0</v>
      </c>
      <c r="AHB38">
        <v>2</v>
      </c>
      <c r="AHU38" t="s">
        <v>416</v>
      </c>
    </row>
    <row r="39" spans="1:905">
      <c r="A39">
        <v>196</v>
      </c>
      <c r="B39" t="s">
        <v>205</v>
      </c>
      <c r="C39" t="s">
        <v>442</v>
      </c>
      <c r="D39">
        <v>2</v>
      </c>
      <c r="E39">
        <v>1</v>
      </c>
      <c r="F39">
        <v>37</v>
      </c>
      <c r="G39">
        <v>64</v>
      </c>
      <c r="H39">
        <v>174</v>
      </c>
      <c r="I39">
        <v>1</v>
      </c>
      <c r="J39">
        <v>6</v>
      </c>
      <c r="K39" t="s">
        <v>443</v>
      </c>
      <c r="L39" t="s">
        <v>444</v>
      </c>
      <c r="M39">
        <v>2</v>
      </c>
      <c r="N39" s="1">
        <v>45077.711111111108</v>
      </c>
      <c r="O39">
        <v>5</v>
      </c>
      <c r="P39">
        <v>0</v>
      </c>
      <c r="R39">
        <v>0</v>
      </c>
      <c r="S39">
        <v>1</v>
      </c>
      <c r="T39">
        <v>0</v>
      </c>
      <c r="U39">
        <v>0</v>
      </c>
      <c r="V39">
        <v>0</v>
      </c>
      <c r="W39">
        <v>0</v>
      </c>
      <c r="X39">
        <v>0</v>
      </c>
      <c r="Y39">
        <v>0</v>
      </c>
      <c r="Z39">
        <v>0</v>
      </c>
      <c r="AA39">
        <v>0</v>
      </c>
      <c r="AB39">
        <v>0</v>
      </c>
      <c r="AC39">
        <v>1</v>
      </c>
      <c r="AD39">
        <v>2</v>
      </c>
      <c r="AE39" s="1">
        <v>45077.712500000001</v>
      </c>
      <c r="AF39">
        <v>3</v>
      </c>
      <c r="AG39">
        <v>3</v>
      </c>
      <c r="AH39">
        <v>3</v>
      </c>
      <c r="AI39">
        <v>3</v>
      </c>
      <c r="AJ39">
        <v>2</v>
      </c>
      <c r="AK39">
        <v>1</v>
      </c>
      <c r="AL39">
        <v>3</v>
      </c>
      <c r="AM39">
        <v>2</v>
      </c>
      <c r="AN39">
        <v>1</v>
      </c>
      <c r="AO39">
        <v>1</v>
      </c>
      <c r="AP39">
        <v>1</v>
      </c>
      <c r="AQ39">
        <v>2</v>
      </c>
      <c r="AR39">
        <v>3</v>
      </c>
      <c r="AS39">
        <v>3</v>
      </c>
      <c r="AT39">
        <v>1</v>
      </c>
      <c r="AU39">
        <v>1</v>
      </c>
      <c r="AV39">
        <v>1</v>
      </c>
      <c r="AW39">
        <v>1</v>
      </c>
      <c r="AX39">
        <v>3</v>
      </c>
      <c r="AY39">
        <v>2</v>
      </c>
      <c r="AZ39">
        <v>43</v>
      </c>
      <c r="BA39">
        <v>2</v>
      </c>
      <c r="BB39" s="1">
        <v>45077.713888888888</v>
      </c>
      <c r="BC39">
        <v>13</v>
      </c>
      <c r="BD39">
        <v>3</v>
      </c>
      <c r="BE39">
        <v>1</v>
      </c>
      <c r="BI39" s="2">
        <v>45075</v>
      </c>
      <c r="BM39">
        <v>28</v>
      </c>
      <c r="BN39">
        <v>5</v>
      </c>
      <c r="BO39">
        <v>1</v>
      </c>
      <c r="BY39">
        <v>2</v>
      </c>
      <c r="BZ39" s="1">
        <v>45077.71597222222</v>
      </c>
      <c r="CA39">
        <v>4</v>
      </c>
      <c r="CB39">
        <v>3</v>
      </c>
      <c r="CC39">
        <v>4</v>
      </c>
      <c r="CD39">
        <v>2</v>
      </c>
      <c r="CE39">
        <v>3</v>
      </c>
      <c r="CF39">
        <v>3</v>
      </c>
      <c r="CG39">
        <v>1</v>
      </c>
      <c r="CH39">
        <v>3</v>
      </c>
      <c r="CI39">
        <v>2</v>
      </c>
      <c r="CJ39">
        <v>2</v>
      </c>
      <c r="CK39">
        <v>1</v>
      </c>
      <c r="CL39">
        <v>4</v>
      </c>
      <c r="CM39">
        <v>1</v>
      </c>
      <c r="CN39">
        <v>4</v>
      </c>
      <c r="CO39">
        <v>3</v>
      </c>
      <c r="CP39">
        <v>2</v>
      </c>
      <c r="CQ39">
        <v>1</v>
      </c>
      <c r="CR39">
        <v>1</v>
      </c>
      <c r="CS39">
        <v>3</v>
      </c>
      <c r="CT39">
        <v>4</v>
      </c>
      <c r="CU39">
        <v>12</v>
      </c>
      <c r="CV39">
        <v>8</v>
      </c>
      <c r="CW39">
        <v>18</v>
      </c>
      <c r="CX39">
        <v>38</v>
      </c>
      <c r="CY39">
        <v>19</v>
      </c>
      <c r="CZ39">
        <v>2</v>
      </c>
      <c r="DA39" s="1">
        <v>45077.718055555553</v>
      </c>
      <c r="DB39">
        <v>0</v>
      </c>
      <c r="DC39">
        <v>0</v>
      </c>
      <c r="DD39">
        <v>0</v>
      </c>
      <c r="DE39">
        <v>0</v>
      </c>
      <c r="DF39">
        <v>1</v>
      </c>
      <c r="DG39">
        <v>0</v>
      </c>
      <c r="DH39">
        <v>0</v>
      </c>
      <c r="DI39">
        <v>0</v>
      </c>
      <c r="DJ39">
        <v>0</v>
      </c>
      <c r="DK39">
        <v>1</v>
      </c>
      <c r="DL39">
        <v>1</v>
      </c>
      <c r="DM39">
        <v>0</v>
      </c>
      <c r="DN39">
        <v>1</v>
      </c>
      <c r="DO39">
        <v>0</v>
      </c>
      <c r="DP39">
        <v>0</v>
      </c>
      <c r="DQ39">
        <v>0</v>
      </c>
      <c r="DR39">
        <v>0</v>
      </c>
      <c r="DS39">
        <v>0</v>
      </c>
      <c r="DT39">
        <v>0</v>
      </c>
      <c r="DU39">
        <v>1</v>
      </c>
      <c r="DV39">
        <v>0</v>
      </c>
      <c r="DW39">
        <v>0</v>
      </c>
      <c r="DX39">
        <v>0</v>
      </c>
      <c r="DY39">
        <v>0</v>
      </c>
      <c r="DZ39">
        <v>1</v>
      </c>
      <c r="EA39">
        <v>1</v>
      </c>
      <c r="EB39">
        <v>1</v>
      </c>
      <c r="EC39">
        <v>0</v>
      </c>
      <c r="ED39">
        <v>0</v>
      </c>
      <c r="EE39">
        <v>0</v>
      </c>
      <c r="EF39">
        <v>0</v>
      </c>
      <c r="EG39">
        <v>0</v>
      </c>
      <c r="EH39">
        <v>1</v>
      </c>
      <c r="EI39">
        <v>0</v>
      </c>
      <c r="EJ39">
        <v>0</v>
      </c>
      <c r="EK39">
        <v>1</v>
      </c>
      <c r="EL39">
        <v>0</v>
      </c>
      <c r="EM39">
        <v>1</v>
      </c>
      <c r="EN39">
        <v>0</v>
      </c>
      <c r="EO39">
        <v>0</v>
      </c>
      <c r="EP39">
        <v>0</v>
      </c>
      <c r="EQ39">
        <v>0</v>
      </c>
      <c r="ER39">
        <v>0</v>
      </c>
      <c r="ES39">
        <v>1</v>
      </c>
      <c r="ET39">
        <v>0</v>
      </c>
      <c r="EU39">
        <v>0</v>
      </c>
      <c r="EV39">
        <v>0</v>
      </c>
      <c r="EW39">
        <v>0</v>
      </c>
      <c r="EX39">
        <v>0</v>
      </c>
      <c r="EY39">
        <v>1</v>
      </c>
      <c r="EZ39">
        <v>0</v>
      </c>
      <c r="FA39">
        <v>0</v>
      </c>
      <c r="FB39">
        <v>0</v>
      </c>
      <c r="FC39">
        <v>0</v>
      </c>
      <c r="FD39">
        <v>1</v>
      </c>
      <c r="FE39">
        <v>0</v>
      </c>
      <c r="FF39">
        <v>0</v>
      </c>
      <c r="FG39">
        <v>0</v>
      </c>
      <c r="FH39">
        <v>0</v>
      </c>
      <c r="FI39">
        <v>1</v>
      </c>
      <c r="FJ39">
        <v>0</v>
      </c>
      <c r="FK39">
        <v>0</v>
      </c>
      <c r="FL39">
        <v>0</v>
      </c>
      <c r="FM39">
        <v>0</v>
      </c>
      <c r="FN39">
        <v>1</v>
      </c>
      <c r="FO39">
        <v>0</v>
      </c>
      <c r="FP39">
        <v>0</v>
      </c>
      <c r="FQ39">
        <v>1</v>
      </c>
      <c r="FR39">
        <v>0</v>
      </c>
      <c r="FS39">
        <v>0</v>
      </c>
      <c r="FT39">
        <v>0</v>
      </c>
      <c r="FU39">
        <v>0</v>
      </c>
      <c r="FV39">
        <v>1</v>
      </c>
      <c r="FW39">
        <v>0</v>
      </c>
      <c r="FX39">
        <v>0</v>
      </c>
      <c r="FY39">
        <v>0</v>
      </c>
      <c r="FZ39">
        <v>0</v>
      </c>
      <c r="GA39">
        <v>0</v>
      </c>
      <c r="GB39">
        <v>0</v>
      </c>
      <c r="GC39">
        <v>1</v>
      </c>
      <c r="GD39">
        <v>0</v>
      </c>
      <c r="GE39">
        <v>0</v>
      </c>
      <c r="GF39">
        <v>0</v>
      </c>
      <c r="GG39">
        <v>1</v>
      </c>
      <c r="GH39">
        <v>0</v>
      </c>
      <c r="GI39">
        <v>2</v>
      </c>
      <c r="GJ39" s="1">
        <v>45077.720833333333</v>
      </c>
      <c r="GK39">
        <v>1</v>
      </c>
      <c r="GL39">
        <v>1</v>
      </c>
      <c r="GM39">
        <v>4</v>
      </c>
      <c r="GN39">
        <v>2</v>
      </c>
      <c r="GO39">
        <v>1</v>
      </c>
      <c r="GP39">
        <v>3</v>
      </c>
      <c r="GQ39">
        <v>3</v>
      </c>
      <c r="GR39">
        <v>1</v>
      </c>
      <c r="GS39">
        <v>3</v>
      </c>
      <c r="GT39">
        <v>1</v>
      </c>
      <c r="GU39">
        <v>4</v>
      </c>
      <c r="GV39">
        <v>2</v>
      </c>
      <c r="GW39">
        <v>2</v>
      </c>
      <c r="GX39">
        <v>1</v>
      </c>
      <c r="GY39">
        <v>1</v>
      </c>
      <c r="GZ39">
        <v>1</v>
      </c>
      <c r="HA39">
        <v>2</v>
      </c>
      <c r="HB39">
        <v>3</v>
      </c>
      <c r="HC39">
        <v>16</v>
      </c>
      <c r="HD39">
        <v>14</v>
      </c>
      <c r="HE39">
        <v>39</v>
      </c>
      <c r="HF39">
        <v>2</v>
      </c>
      <c r="HG39" s="1">
        <v>45077.722916666666</v>
      </c>
      <c r="HH39">
        <v>2</v>
      </c>
      <c r="HI39">
        <v>1</v>
      </c>
      <c r="HJ39">
        <v>1</v>
      </c>
      <c r="HK39">
        <v>2</v>
      </c>
      <c r="HL39" s="1">
        <v>45078.654861111114</v>
      </c>
      <c r="HM39">
        <v>1</v>
      </c>
      <c r="HN39">
        <v>1</v>
      </c>
      <c r="HO39">
        <v>0</v>
      </c>
      <c r="HP39">
        <v>1</v>
      </c>
      <c r="HQ39">
        <v>0</v>
      </c>
      <c r="HR39">
        <v>0</v>
      </c>
      <c r="HS39">
        <v>1</v>
      </c>
      <c r="HT39">
        <v>1</v>
      </c>
      <c r="HU39">
        <v>0</v>
      </c>
      <c r="HV39">
        <v>0</v>
      </c>
      <c r="HW39">
        <v>1</v>
      </c>
      <c r="HX39">
        <v>1</v>
      </c>
      <c r="HY39">
        <v>0</v>
      </c>
      <c r="HZ39">
        <v>0</v>
      </c>
      <c r="IA39">
        <v>1</v>
      </c>
      <c r="IB39">
        <v>2</v>
      </c>
      <c r="IC39">
        <v>2</v>
      </c>
      <c r="ID39">
        <v>2</v>
      </c>
      <c r="IE39">
        <v>2</v>
      </c>
      <c r="IF39">
        <v>2</v>
      </c>
      <c r="IG39">
        <v>2</v>
      </c>
      <c r="IH39">
        <v>20</v>
      </c>
      <c r="II39">
        <v>2</v>
      </c>
      <c r="IJ39" s="1">
        <v>45078.658333333333</v>
      </c>
      <c r="IK39">
        <v>1</v>
      </c>
      <c r="IL39">
        <v>1</v>
      </c>
      <c r="IM39">
        <v>1</v>
      </c>
      <c r="IN39">
        <v>1</v>
      </c>
      <c r="IO39">
        <v>1</v>
      </c>
      <c r="IP39">
        <v>1</v>
      </c>
      <c r="IQ39">
        <v>1</v>
      </c>
      <c r="IR39">
        <v>1</v>
      </c>
      <c r="IS39">
        <v>1</v>
      </c>
      <c r="IT39">
        <v>1</v>
      </c>
      <c r="IU39">
        <v>1</v>
      </c>
      <c r="IV39">
        <v>1</v>
      </c>
      <c r="IW39">
        <v>1</v>
      </c>
      <c r="IX39">
        <v>1</v>
      </c>
      <c r="IY39">
        <v>0</v>
      </c>
      <c r="IZ39">
        <v>1</v>
      </c>
      <c r="JA39">
        <v>1</v>
      </c>
      <c r="JB39">
        <v>1</v>
      </c>
      <c r="JC39">
        <v>1</v>
      </c>
      <c r="JD39">
        <v>0</v>
      </c>
      <c r="JE39" t="s">
        <v>445</v>
      </c>
      <c r="JF39">
        <v>3</v>
      </c>
      <c r="JG39">
        <v>2</v>
      </c>
      <c r="JH39">
        <v>3</v>
      </c>
      <c r="JI39">
        <v>1</v>
      </c>
      <c r="JJ39">
        <v>1</v>
      </c>
      <c r="JK39">
        <v>1</v>
      </c>
      <c r="JL39" t="s">
        <v>446</v>
      </c>
      <c r="JM39" t="s">
        <v>447</v>
      </c>
      <c r="JN39">
        <v>18</v>
      </c>
      <c r="JO39">
        <v>11</v>
      </c>
      <c r="JP39">
        <v>3</v>
      </c>
      <c r="JQ39">
        <v>2</v>
      </c>
      <c r="JR39" s="1">
        <v>45078.659722222219</v>
      </c>
      <c r="JS39">
        <v>0</v>
      </c>
      <c r="JT39">
        <v>0</v>
      </c>
      <c r="JU39">
        <v>0</v>
      </c>
      <c r="JV39">
        <v>0</v>
      </c>
      <c r="JW39">
        <v>2</v>
      </c>
      <c r="JX39" s="1">
        <v>45078.659722222219</v>
      </c>
      <c r="JY39">
        <v>74.3</v>
      </c>
      <c r="JZ39">
        <v>2.9</v>
      </c>
      <c r="KI39">
        <v>5</v>
      </c>
      <c r="ME39">
        <v>3</v>
      </c>
      <c r="UM39">
        <v>5</v>
      </c>
      <c r="UQ39">
        <v>5</v>
      </c>
      <c r="WM39" t="s">
        <v>335</v>
      </c>
      <c r="YQ39">
        <v>2</v>
      </c>
      <c r="YR39" s="1">
        <v>45078.661111111112</v>
      </c>
      <c r="YS39">
        <v>3</v>
      </c>
      <c r="YT39">
        <v>4</v>
      </c>
      <c r="YU39">
        <v>2</v>
      </c>
      <c r="YV39">
        <v>3</v>
      </c>
      <c r="YW39">
        <v>3</v>
      </c>
      <c r="YX39">
        <v>2</v>
      </c>
      <c r="YY39">
        <v>1</v>
      </c>
      <c r="YZ39">
        <v>1</v>
      </c>
      <c r="ZA39">
        <v>2</v>
      </c>
      <c r="ZB39">
        <v>4</v>
      </c>
      <c r="ZC39">
        <v>2</v>
      </c>
      <c r="ZD39">
        <v>2</v>
      </c>
      <c r="ZE39">
        <v>1</v>
      </c>
      <c r="ZF39">
        <v>4</v>
      </c>
      <c r="ZG39">
        <v>1</v>
      </c>
      <c r="ZH39">
        <v>3</v>
      </c>
      <c r="ZI39">
        <v>3</v>
      </c>
      <c r="ZJ39">
        <v>2</v>
      </c>
      <c r="ZK39">
        <v>3</v>
      </c>
      <c r="ZL39">
        <v>1</v>
      </c>
      <c r="ZM39">
        <v>29</v>
      </c>
      <c r="ZN39">
        <v>18</v>
      </c>
      <c r="ZO39">
        <v>2</v>
      </c>
      <c r="ZP39" s="1">
        <v>45078.661805555559</v>
      </c>
      <c r="ZQ39">
        <v>0</v>
      </c>
      <c r="ZR39">
        <v>1</v>
      </c>
      <c r="ZS39">
        <v>0</v>
      </c>
      <c r="ZT39">
        <v>0</v>
      </c>
      <c r="ZU39">
        <v>0</v>
      </c>
      <c r="ZV39">
        <v>1</v>
      </c>
      <c r="ZW39">
        <v>2</v>
      </c>
      <c r="ZX39">
        <v>1</v>
      </c>
      <c r="ZY39">
        <v>0</v>
      </c>
      <c r="ZZ39">
        <v>0</v>
      </c>
      <c r="AAA39">
        <v>0</v>
      </c>
      <c r="AAB39">
        <v>0</v>
      </c>
      <c r="AAC39">
        <v>3</v>
      </c>
      <c r="AAD39">
        <v>0</v>
      </c>
      <c r="AAE39">
        <v>1</v>
      </c>
      <c r="AAF39">
        <v>1</v>
      </c>
      <c r="AAG39">
        <v>0</v>
      </c>
      <c r="AAH39">
        <v>0</v>
      </c>
      <c r="AAI39">
        <v>6</v>
      </c>
      <c r="AAJ39">
        <v>2</v>
      </c>
      <c r="AAK39">
        <v>2</v>
      </c>
      <c r="AAL39">
        <v>10</v>
      </c>
      <c r="AAM39">
        <v>2</v>
      </c>
      <c r="AAN39" s="1">
        <v>45078.663194444445</v>
      </c>
      <c r="AAO39">
        <v>1</v>
      </c>
      <c r="AAP39">
        <v>9</v>
      </c>
      <c r="AAQ39">
        <v>9</v>
      </c>
      <c r="AAR39">
        <v>7</v>
      </c>
      <c r="AAS39">
        <v>6</v>
      </c>
      <c r="AAT39">
        <v>13</v>
      </c>
      <c r="AAU39">
        <v>7</v>
      </c>
      <c r="AAV39">
        <v>7</v>
      </c>
      <c r="AAW39">
        <v>7</v>
      </c>
      <c r="AAX39">
        <v>6</v>
      </c>
      <c r="AAY39">
        <v>5</v>
      </c>
      <c r="AAZ39">
        <v>10</v>
      </c>
      <c r="ABA39">
        <v>10</v>
      </c>
      <c r="ABB39">
        <v>6</v>
      </c>
      <c r="ABC39">
        <v>7</v>
      </c>
      <c r="ABD39">
        <v>7.75</v>
      </c>
      <c r="ABE39">
        <v>8.2857142859999993</v>
      </c>
      <c r="ABF39">
        <v>2</v>
      </c>
      <c r="ABG39" s="1">
        <v>45078.663888888892</v>
      </c>
      <c r="AEG39">
        <v>0</v>
      </c>
      <c r="AEH39">
        <v>0</v>
      </c>
      <c r="AEI39">
        <v>2</v>
      </c>
      <c r="AEJ39">
        <v>0</v>
      </c>
      <c r="AEK39">
        <v>0</v>
      </c>
      <c r="AEL39">
        <v>0</v>
      </c>
      <c r="AEM39">
        <v>0</v>
      </c>
      <c r="AEN39">
        <v>0</v>
      </c>
      <c r="AEO39">
        <v>0</v>
      </c>
      <c r="AEP39">
        <v>0</v>
      </c>
      <c r="AEQ39">
        <v>0</v>
      </c>
      <c r="AER39">
        <v>0</v>
      </c>
      <c r="AES39">
        <v>3</v>
      </c>
      <c r="AET39">
        <v>0</v>
      </c>
      <c r="AEU39">
        <v>0</v>
      </c>
      <c r="AEV39">
        <v>0</v>
      </c>
      <c r="AEW39">
        <v>0</v>
      </c>
      <c r="AEX39">
        <v>0</v>
      </c>
      <c r="AEY39">
        <v>3</v>
      </c>
      <c r="AEZ39">
        <v>0</v>
      </c>
      <c r="AFA39">
        <v>0</v>
      </c>
      <c r="AFB39">
        <v>2</v>
      </c>
      <c r="AFC39">
        <v>0</v>
      </c>
      <c r="AFD39">
        <v>0</v>
      </c>
      <c r="AFE39">
        <v>0</v>
      </c>
      <c r="AFF39">
        <v>0</v>
      </c>
      <c r="AFG39">
        <v>0</v>
      </c>
      <c r="AFH39">
        <v>0</v>
      </c>
      <c r="AFI39">
        <v>1</v>
      </c>
      <c r="AFJ39">
        <v>0</v>
      </c>
      <c r="AFK39">
        <v>0</v>
      </c>
      <c r="AFL39">
        <v>0</v>
      </c>
      <c r="AFM39">
        <v>0</v>
      </c>
      <c r="AFN39">
        <v>10</v>
      </c>
      <c r="AFO39">
        <v>1</v>
      </c>
      <c r="AFP39">
        <v>0</v>
      </c>
      <c r="AFQ39">
        <v>11</v>
      </c>
      <c r="AFR39">
        <v>2</v>
      </c>
      <c r="AFS39" s="1">
        <v>45078.664583333331</v>
      </c>
      <c r="AFT39">
        <v>1</v>
      </c>
      <c r="AFU39">
        <v>4</v>
      </c>
      <c r="AFV39">
        <v>2</v>
      </c>
      <c r="AFW39">
        <v>3</v>
      </c>
      <c r="AFX39">
        <v>3</v>
      </c>
      <c r="AFY39">
        <v>1</v>
      </c>
      <c r="AFZ39">
        <v>1</v>
      </c>
      <c r="AGA39">
        <v>2</v>
      </c>
      <c r="AGB39">
        <v>1</v>
      </c>
      <c r="AGC39">
        <v>2</v>
      </c>
      <c r="AGD39">
        <v>3</v>
      </c>
      <c r="AGE39">
        <v>1</v>
      </c>
      <c r="AGF39">
        <v>1</v>
      </c>
      <c r="AGG39">
        <v>1</v>
      </c>
      <c r="AGH39">
        <v>2</v>
      </c>
      <c r="AGI39">
        <v>2</v>
      </c>
      <c r="AGJ39">
        <v>1</v>
      </c>
      <c r="AGK39">
        <v>1</v>
      </c>
      <c r="AGL39">
        <v>1</v>
      </c>
      <c r="AGM39">
        <v>2</v>
      </c>
      <c r="AGN39">
        <v>41</v>
      </c>
      <c r="AGO39">
        <v>2</v>
      </c>
      <c r="AGP39" s="1">
        <v>45078.664583333331</v>
      </c>
      <c r="AGQ39">
        <v>0</v>
      </c>
      <c r="AGV39">
        <v>0</v>
      </c>
      <c r="AGW39">
        <v>0</v>
      </c>
      <c r="AGX39">
        <v>0</v>
      </c>
      <c r="AGY39">
        <v>0</v>
      </c>
      <c r="AGZ39">
        <v>0</v>
      </c>
      <c r="AHB39">
        <v>2</v>
      </c>
      <c r="AHU39" t="s">
        <v>416</v>
      </c>
    </row>
    <row r="40" spans="1:905">
      <c r="A40">
        <v>199</v>
      </c>
      <c r="B40" t="s">
        <v>205</v>
      </c>
      <c r="C40" t="s">
        <v>448</v>
      </c>
      <c r="D40">
        <v>2</v>
      </c>
      <c r="E40">
        <v>2</v>
      </c>
      <c r="F40">
        <v>28</v>
      </c>
      <c r="G40">
        <v>64</v>
      </c>
      <c r="H40">
        <v>114</v>
      </c>
      <c r="I40">
        <v>0</v>
      </c>
      <c r="J40">
        <v>3</v>
      </c>
      <c r="L40" t="s">
        <v>383</v>
      </c>
      <c r="M40">
        <v>2</v>
      </c>
      <c r="N40" s="1">
        <v>45068.556250000001</v>
      </c>
      <c r="O40">
        <v>7</v>
      </c>
      <c r="P40">
        <v>0</v>
      </c>
      <c r="R40">
        <v>0</v>
      </c>
      <c r="S40">
        <v>0</v>
      </c>
      <c r="T40">
        <v>0</v>
      </c>
      <c r="U40">
        <v>1</v>
      </c>
      <c r="V40">
        <v>0</v>
      </c>
      <c r="W40">
        <v>0</v>
      </c>
      <c r="X40">
        <v>0</v>
      </c>
      <c r="Y40">
        <v>0</v>
      </c>
      <c r="Z40">
        <v>0</v>
      </c>
      <c r="AA40">
        <v>0</v>
      </c>
      <c r="AB40">
        <v>0</v>
      </c>
      <c r="AC40">
        <v>2</v>
      </c>
      <c r="AD40">
        <v>2</v>
      </c>
      <c r="AE40" s="1">
        <v>45068.556944444441</v>
      </c>
      <c r="AF40">
        <v>4</v>
      </c>
      <c r="AG40">
        <v>2</v>
      </c>
      <c r="AH40">
        <v>3</v>
      </c>
      <c r="AI40">
        <v>1</v>
      </c>
      <c r="AJ40">
        <v>1</v>
      </c>
      <c r="AK40">
        <v>4</v>
      </c>
      <c r="AL40">
        <v>4</v>
      </c>
      <c r="AM40">
        <v>1</v>
      </c>
      <c r="AN40">
        <v>1</v>
      </c>
      <c r="AO40">
        <v>4</v>
      </c>
      <c r="AP40">
        <v>1</v>
      </c>
      <c r="AQ40">
        <v>1</v>
      </c>
      <c r="AR40">
        <v>4</v>
      </c>
      <c r="AS40">
        <v>4</v>
      </c>
      <c r="AT40">
        <v>1</v>
      </c>
      <c r="AU40">
        <v>4</v>
      </c>
      <c r="AV40">
        <v>2</v>
      </c>
      <c r="AW40">
        <v>2</v>
      </c>
      <c r="AX40">
        <v>4</v>
      </c>
      <c r="AY40">
        <v>1</v>
      </c>
      <c r="AZ40">
        <v>24</v>
      </c>
      <c r="BA40">
        <v>2</v>
      </c>
      <c r="BB40" s="1">
        <v>45068.557638888888</v>
      </c>
      <c r="BC40">
        <v>12</v>
      </c>
      <c r="BD40">
        <v>2</v>
      </c>
      <c r="BE40">
        <v>1</v>
      </c>
      <c r="BI40" s="2">
        <v>45067</v>
      </c>
      <c r="BM40">
        <v>24</v>
      </c>
      <c r="BN40">
        <v>8</v>
      </c>
      <c r="BO40">
        <v>1</v>
      </c>
      <c r="BY40">
        <v>2</v>
      </c>
      <c r="BZ40" s="1">
        <v>45068.558333333334</v>
      </c>
      <c r="CA40">
        <v>4</v>
      </c>
      <c r="CB40">
        <v>2</v>
      </c>
      <c r="CC40">
        <v>4</v>
      </c>
      <c r="CD40">
        <v>3</v>
      </c>
      <c r="CE40">
        <v>3</v>
      </c>
      <c r="CF40">
        <v>3</v>
      </c>
      <c r="CG40">
        <v>3</v>
      </c>
      <c r="CH40">
        <v>4</v>
      </c>
      <c r="CI40">
        <v>2</v>
      </c>
      <c r="CJ40">
        <v>3</v>
      </c>
      <c r="CK40">
        <v>1</v>
      </c>
      <c r="CL40">
        <v>4</v>
      </c>
      <c r="CM40">
        <v>3</v>
      </c>
      <c r="CN40">
        <v>3</v>
      </c>
      <c r="CO40">
        <v>3</v>
      </c>
      <c r="CP40">
        <v>1</v>
      </c>
      <c r="CQ40">
        <v>2</v>
      </c>
      <c r="CR40">
        <v>3</v>
      </c>
      <c r="CS40">
        <v>4</v>
      </c>
      <c r="CT40">
        <v>4</v>
      </c>
      <c r="CU40">
        <v>12</v>
      </c>
      <c r="CV40">
        <v>7</v>
      </c>
      <c r="CW40">
        <v>20</v>
      </c>
      <c r="CX40">
        <v>39</v>
      </c>
      <c r="CY40">
        <v>18</v>
      </c>
      <c r="CZ40">
        <v>2</v>
      </c>
      <c r="DA40" s="1">
        <v>45068.55972222222</v>
      </c>
      <c r="DB40">
        <v>0</v>
      </c>
      <c r="DC40">
        <v>0</v>
      </c>
      <c r="DD40">
        <v>0</v>
      </c>
      <c r="DE40">
        <v>1</v>
      </c>
      <c r="DF40">
        <v>0</v>
      </c>
      <c r="DG40">
        <v>0</v>
      </c>
      <c r="DH40">
        <v>1</v>
      </c>
      <c r="DI40">
        <v>0</v>
      </c>
      <c r="DJ40">
        <v>0</v>
      </c>
      <c r="DK40">
        <v>0</v>
      </c>
      <c r="DL40">
        <v>0</v>
      </c>
      <c r="DM40">
        <v>0</v>
      </c>
      <c r="DN40">
        <v>0</v>
      </c>
      <c r="DO40">
        <v>0</v>
      </c>
      <c r="DP40">
        <v>1</v>
      </c>
      <c r="DQ40">
        <v>0</v>
      </c>
      <c r="DR40">
        <v>0</v>
      </c>
      <c r="DS40">
        <v>0</v>
      </c>
      <c r="DT40">
        <v>0</v>
      </c>
      <c r="DU40">
        <v>1</v>
      </c>
      <c r="DV40">
        <v>0</v>
      </c>
      <c r="DW40">
        <v>0</v>
      </c>
      <c r="DX40">
        <v>0</v>
      </c>
      <c r="DY40">
        <v>0</v>
      </c>
      <c r="DZ40">
        <v>1</v>
      </c>
      <c r="EA40">
        <v>0</v>
      </c>
      <c r="EB40">
        <v>0</v>
      </c>
      <c r="EC40">
        <v>0</v>
      </c>
      <c r="ED40">
        <v>0</v>
      </c>
      <c r="EE40">
        <v>1</v>
      </c>
      <c r="EF40">
        <v>0</v>
      </c>
      <c r="EG40">
        <v>0</v>
      </c>
      <c r="EH40">
        <v>0</v>
      </c>
      <c r="EI40">
        <v>0</v>
      </c>
      <c r="EJ40">
        <v>1</v>
      </c>
      <c r="EK40">
        <v>0</v>
      </c>
      <c r="EL40">
        <v>0</v>
      </c>
      <c r="EM40">
        <v>0</v>
      </c>
      <c r="EN40">
        <v>0</v>
      </c>
      <c r="EO40">
        <v>1</v>
      </c>
      <c r="EP40">
        <v>0</v>
      </c>
      <c r="EQ40">
        <v>1</v>
      </c>
      <c r="ER40">
        <v>0</v>
      </c>
      <c r="ES40">
        <v>0</v>
      </c>
      <c r="ET40">
        <v>0</v>
      </c>
      <c r="EU40">
        <v>0</v>
      </c>
      <c r="EV40">
        <v>0</v>
      </c>
      <c r="EW40">
        <v>0</v>
      </c>
      <c r="EX40">
        <v>0</v>
      </c>
      <c r="EY40">
        <v>1</v>
      </c>
      <c r="EZ40">
        <v>0</v>
      </c>
      <c r="FA40">
        <v>0</v>
      </c>
      <c r="FB40">
        <v>0</v>
      </c>
      <c r="FC40">
        <v>0</v>
      </c>
      <c r="FD40">
        <v>1</v>
      </c>
      <c r="FE40">
        <v>0</v>
      </c>
      <c r="FF40">
        <v>1</v>
      </c>
      <c r="FG40">
        <v>1</v>
      </c>
      <c r="FH40">
        <v>0</v>
      </c>
      <c r="FI40">
        <v>0</v>
      </c>
      <c r="FJ40">
        <v>0</v>
      </c>
      <c r="FK40">
        <v>1</v>
      </c>
      <c r="FL40">
        <v>1</v>
      </c>
      <c r="FM40">
        <v>0</v>
      </c>
      <c r="FN40">
        <v>0</v>
      </c>
      <c r="FO40">
        <v>0</v>
      </c>
      <c r="FP40">
        <v>0</v>
      </c>
      <c r="FQ40">
        <v>1</v>
      </c>
      <c r="FR40">
        <v>0</v>
      </c>
      <c r="FS40">
        <v>0</v>
      </c>
      <c r="FT40">
        <v>1</v>
      </c>
      <c r="FU40">
        <v>0</v>
      </c>
      <c r="FV40">
        <v>0</v>
      </c>
      <c r="FW40">
        <v>0</v>
      </c>
      <c r="FX40">
        <v>0</v>
      </c>
      <c r="FY40">
        <v>0</v>
      </c>
      <c r="FZ40">
        <v>0</v>
      </c>
      <c r="GA40">
        <v>0</v>
      </c>
      <c r="GB40">
        <v>1</v>
      </c>
      <c r="GC40">
        <v>0</v>
      </c>
      <c r="GD40">
        <v>0</v>
      </c>
      <c r="GE40">
        <v>0</v>
      </c>
      <c r="GF40">
        <v>0</v>
      </c>
      <c r="GG40">
        <v>1</v>
      </c>
      <c r="GH40">
        <v>0</v>
      </c>
      <c r="GI40">
        <v>2</v>
      </c>
      <c r="GJ40" s="1">
        <v>45068.560416666667</v>
      </c>
      <c r="GK40">
        <v>0</v>
      </c>
      <c r="HF40">
        <v>2</v>
      </c>
      <c r="HG40" s="1">
        <v>45068.560416666667</v>
      </c>
      <c r="HH40">
        <v>8</v>
      </c>
      <c r="HI40">
        <v>14</v>
      </c>
      <c r="HJ40">
        <v>1</v>
      </c>
      <c r="HK40">
        <v>2</v>
      </c>
      <c r="HL40" s="1">
        <v>45077.567361111112</v>
      </c>
      <c r="HM40">
        <v>0</v>
      </c>
      <c r="HN40">
        <v>0</v>
      </c>
      <c r="HO40">
        <v>0</v>
      </c>
      <c r="HP40">
        <v>0</v>
      </c>
      <c r="HQ40">
        <v>0</v>
      </c>
      <c r="HR40">
        <v>0</v>
      </c>
      <c r="HS40">
        <v>0</v>
      </c>
      <c r="HT40">
        <v>0</v>
      </c>
      <c r="HU40">
        <v>0</v>
      </c>
      <c r="HV40">
        <v>0</v>
      </c>
      <c r="HW40">
        <v>0</v>
      </c>
      <c r="HX40">
        <v>0</v>
      </c>
      <c r="HY40">
        <v>0</v>
      </c>
      <c r="HZ40">
        <v>0</v>
      </c>
      <c r="IA40">
        <v>0</v>
      </c>
      <c r="IB40">
        <v>0</v>
      </c>
      <c r="IC40">
        <v>0</v>
      </c>
      <c r="ID40">
        <v>0</v>
      </c>
      <c r="IE40">
        <v>0</v>
      </c>
      <c r="IF40">
        <v>0</v>
      </c>
      <c r="IG40">
        <v>0</v>
      </c>
      <c r="IH40">
        <v>0</v>
      </c>
      <c r="II40">
        <v>2</v>
      </c>
      <c r="IJ40" s="1">
        <v>45077.568055555559</v>
      </c>
      <c r="IK40">
        <v>0</v>
      </c>
      <c r="IL40">
        <v>0</v>
      </c>
      <c r="IM40">
        <v>0</v>
      </c>
      <c r="IN40">
        <v>0</v>
      </c>
      <c r="IO40">
        <v>0</v>
      </c>
      <c r="IP40">
        <v>0</v>
      </c>
      <c r="IQ40">
        <v>0</v>
      </c>
      <c r="IR40">
        <v>0</v>
      </c>
      <c r="IS40">
        <v>0</v>
      </c>
      <c r="IT40">
        <v>0</v>
      </c>
      <c r="IU40">
        <v>0</v>
      </c>
      <c r="IV40">
        <v>0</v>
      </c>
      <c r="IW40">
        <v>0</v>
      </c>
      <c r="IX40">
        <v>0</v>
      </c>
      <c r="IY40">
        <v>0</v>
      </c>
      <c r="IZ40">
        <v>0</v>
      </c>
      <c r="JA40">
        <v>0</v>
      </c>
      <c r="JB40">
        <v>0</v>
      </c>
      <c r="JC40">
        <v>0</v>
      </c>
      <c r="JD40">
        <v>1</v>
      </c>
      <c r="JN40">
        <v>0</v>
      </c>
      <c r="JQ40">
        <v>2</v>
      </c>
      <c r="JR40" s="1">
        <v>45077.568749999999</v>
      </c>
      <c r="JS40">
        <v>0</v>
      </c>
      <c r="JT40">
        <v>0</v>
      </c>
      <c r="JU40">
        <v>0</v>
      </c>
      <c r="JV40">
        <v>0</v>
      </c>
      <c r="JW40">
        <v>2</v>
      </c>
      <c r="JX40" s="1">
        <v>45077.568749999999</v>
      </c>
      <c r="JY40">
        <v>42.3</v>
      </c>
      <c r="JZ40">
        <v>2.6</v>
      </c>
      <c r="KI40">
        <v>1</v>
      </c>
      <c r="UM40">
        <v>2</v>
      </c>
      <c r="UQ40">
        <v>1</v>
      </c>
      <c r="WQ40">
        <v>2</v>
      </c>
      <c r="YQ40">
        <v>2</v>
      </c>
      <c r="YR40" s="1">
        <v>45077.570138888892</v>
      </c>
      <c r="YS40">
        <v>4</v>
      </c>
      <c r="YT40">
        <v>1</v>
      </c>
      <c r="YU40">
        <v>3</v>
      </c>
      <c r="YV40">
        <v>2</v>
      </c>
      <c r="YW40">
        <v>4</v>
      </c>
      <c r="YX40">
        <v>1</v>
      </c>
      <c r="YY40">
        <v>1</v>
      </c>
      <c r="YZ40">
        <v>1</v>
      </c>
      <c r="ZA40">
        <v>3</v>
      </c>
      <c r="ZB40">
        <v>5</v>
      </c>
      <c r="ZC40">
        <v>2</v>
      </c>
      <c r="ZD40">
        <v>4</v>
      </c>
      <c r="ZE40">
        <v>1</v>
      </c>
      <c r="ZF40">
        <v>3</v>
      </c>
      <c r="ZG40">
        <v>1</v>
      </c>
      <c r="ZH40">
        <v>5</v>
      </c>
      <c r="ZI40">
        <v>4</v>
      </c>
      <c r="ZJ40">
        <v>2</v>
      </c>
      <c r="ZK40">
        <v>3</v>
      </c>
      <c r="ZL40">
        <v>1</v>
      </c>
      <c r="ZM40">
        <v>38</v>
      </c>
      <c r="ZN40">
        <v>13</v>
      </c>
      <c r="ZO40">
        <v>2</v>
      </c>
      <c r="ZP40" s="1">
        <v>45077.570138888892</v>
      </c>
      <c r="ZQ40">
        <v>1</v>
      </c>
      <c r="ZR40">
        <v>1</v>
      </c>
      <c r="ZS40">
        <v>0</v>
      </c>
      <c r="ZT40">
        <v>0</v>
      </c>
      <c r="ZU40">
        <v>0</v>
      </c>
      <c r="ZV40">
        <v>0</v>
      </c>
      <c r="ZW40">
        <v>0</v>
      </c>
      <c r="ZX40">
        <v>0</v>
      </c>
      <c r="ZY40">
        <v>0</v>
      </c>
      <c r="ZZ40">
        <v>0</v>
      </c>
      <c r="AAA40">
        <v>0</v>
      </c>
      <c r="AAB40">
        <v>0</v>
      </c>
      <c r="AAC40">
        <v>0</v>
      </c>
      <c r="AAD40">
        <v>0</v>
      </c>
      <c r="AAE40">
        <v>0</v>
      </c>
      <c r="AAF40">
        <v>0</v>
      </c>
      <c r="AAG40">
        <v>0</v>
      </c>
      <c r="AAH40">
        <v>0</v>
      </c>
      <c r="AAI40">
        <v>1</v>
      </c>
      <c r="AAJ40">
        <v>1</v>
      </c>
      <c r="AAK40">
        <v>0</v>
      </c>
      <c r="AAL40">
        <v>2</v>
      </c>
      <c r="AAM40">
        <v>2</v>
      </c>
      <c r="AAN40" s="1">
        <v>45077.570833333331</v>
      </c>
      <c r="AAO40">
        <v>0</v>
      </c>
      <c r="ABF40">
        <v>2</v>
      </c>
      <c r="ABG40" s="1">
        <v>45077.571527777778</v>
      </c>
      <c r="AEG40">
        <v>1</v>
      </c>
      <c r="AEH40">
        <v>0</v>
      </c>
      <c r="AEI40">
        <v>0</v>
      </c>
      <c r="AEJ40">
        <v>2</v>
      </c>
      <c r="AEK40">
        <v>0</v>
      </c>
      <c r="AEL40">
        <v>1</v>
      </c>
      <c r="AEM40">
        <v>0</v>
      </c>
      <c r="AEN40">
        <v>2</v>
      </c>
      <c r="AEO40">
        <v>0</v>
      </c>
      <c r="AEP40">
        <v>2</v>
      </c>
      <c r="AEQ40">
        <v>0</v>
      </c>
      <c r="AER40">
        <v>0</v>
      </c>
      <c r="AES40">
        <v>1</v>
      </c>
      <c r="AET40">
        <v>1</v>
      </c>
      <c r="AEU40">
        <v>1</v>
      </c>
      <c r="AEV40">
        <v>0</v>
      </c>
      <c r="AEW40">
        <v>0</v>
      </c>
      <c r="AEX40">
        <v>0</v>
      </c>
      <c r="AEY40">
        <v>0</v>
      </c>
      <c r="AEZ40">
        <v>0</v>
      </c>
      <c r="AFA40">
        <v>0</v>
      </c>
      <c r="AFB40">
        <v>1</v>
      </c>
      <c r="AFC40">
        <v>1</v>
      </c>
      <c r="AFD40">
        <v>0</v>
      </c>
      <c r="AFE40">
        <v>0</v>
      </c>
      <c r="AFF40">
        <v>2</v>
      </c>
      <c r="AFG40">
        <v>2</v>
      </c>
      <c r="AFH40">
        <v>0</v>
      </c>
      <c r="AFI40">
        <v>0</v>
      </c>
      <c r="AFJ40">
        <v>2</v>
      </c>
      <c r="AFK40">
        <v>2</v>
      </c>
      <c r="AFL40">
        <v>1</v>
      </c>
      <c r="AFM40">
        <v>1</v>
      </c>
      <c r="AFN40">
        <v>3</v>
      </c>
      <c r="AFO40">
        <v>2</v>
      </c>
      <c r="AFP40">
        <v>10</v>
      </c>
      <c r="AFQ40">
        <v>-1</v>
      </c>
      <c r="AFR40">
        <v>2</v>
      </c>
      <c r="AFS40" s="1">
        <v>45077.572222222225</v>
      </c>
      <c r="AFT40">
        <v>4</v>
      </c>
      <c r="AFU40">
        <v>4</v>
      </c>
      <c r="AFV40">
        <v>1</v>
      </c>
      <c r="AFW40">
        <v>1</v>
      </c>
      <c r="AFX40">
        <v>4</v>
      </c>
      <c r="AFY40">
        <v>1</v>
      </c>
      <c r="AFZ40">
        <v>1</v>
      </c>
      <c r="AGA40">
        <v>4</v>
      </c>
      <c r="AGB40">
        <v>1</v>
      </c>
      <c r="AGC40">
        <v>4</v>
      </c>
      <c r="AGD40">
        <v>4</v>
      </c>
      <c r="AGE40">
        <v>1</v>
      </c>
      <c r="AGF40">
        <v>1</v>
      </c>
      <c r="AGG40">
        <v>1</v>
      </c>
      <c r="AGH40">
        <v>4</v>
      </c>
      <c r="AGI40">
        <v>4</v>
      </c>
      <c r="AGJ40">
        <v>1</v>
      </c>
      <c r="AGK40">
        <v>1</v>
      </c>
      <c r="AGL40">
        <v>4</v>
      </c>
      <c r="AGM40">
        <v>4</v>
      </c>
      <c r="AGN40">
        <v>20</v>
      </c>
      <c r="AGO40">
        <v>2</v>
      </c>
      <c r="AGP40" s="1">
        <v>45077.572222222225</v>
      </c>
      <c r="AGQ40">
        <v>0</v>
      </c>
      <c r="AGV40">
        <v>0</v>
      </c>
      <c r="AGW40">
        <v>0</v>
      </c>
      <c r="AGX40">
        <v>0</v>
      </c>
      <c r="AGY40">
        <v>0</v>
      </c>
      <c r="AGZ40">
        <v>0</v>
      </c>
      <c r="AHB40">
        <v>2</v>
      </c>
      <c r="AHU40" t="s">
        <v>416</v>
      </c>
    </row>
    <row r="41" spans="1:905">
      <c r="A41">
        <v>200</v>
      </c>
      <c r="B41" t="s">
        <v>205</v>
      </c>
      <c r="C41" t="s">
        <v>449</v>
      </c>
      <c r="D41">
        <v>2</v>
      </c>
      <c r="E41">
        <v>2</v>
      </c>
      <c r="F41">
        <v>43</v>
      </c>
      <c r="G41">
        <v>66</v>
      </c>
      <c r="H41">
        <v>192</v>
      </c>
      <c r="I41">
        <v>0</v>
      </c>
      <c r="J41">
        <v>3</v>
      </c>
      <c r="L41" t="s">
        <v>450</v>
      </c>
      <c r="M41">
        <v>2</v>
      </c>
      <c r="N41" s="1">
        <v>45059.917361111111</v>
      </c>
      <c r="O41">
        <v>5</v>
      </c>
      <c r="P41">
        <v>0</v>
      </c>
      <c r="R41">
        <v>0</v>
      </c>
      <c r="S41">
        <v>1</v>
      </c>
      <c r="T41">
        <v>0</v>
      </c>
      <c r="U41">
        <v>0</v>
      </c>
      <c r="V41">
        <v>0</v>
      </c>
      <c r="W41">
        <v>0</v>
      </c>
      <c r="X41">
        <v>0</v>
      </c>
      <c r="Y41">
        <v>0</v>
      </c>
      <c r="Z41">
        <v>0</v>
      </c>
      <c r="AA41">
        <v>0</v>
      </c>
      <c r="AB41">
        <v>0</v>
      </c>
      <c r="AC41">
        <v>4</v>
      </c>
      <c r="AD41">
        <v>2</v>
      </c>
      <c r="AE41" s="1">
        <v>45059.918055555558</v>
      </c>
      <c r="AF41">
        <v>3</v>
      </c>
      <c r="AG41">
        <v>1</v>
      </c>
      <c r="AH41">
        <v>3</v>
      </c>
      <c r="AI41">
        <v>2</v>
      </c>
      <c r="AJ41">
        <v>1</v>
      </c>
      <c r="AK41">
        <v>3</v>
      </c>
      <c r="AL41">
        <v>4</v>
      </c>
      <c r="AM41">
        <v>2</v>
      </c>
      <c r="AN41">
        <v>1</v>
      </c>
      <c r="AO41">
        <v>4</v>
      </c>
      <c r="AP41">
        <v>1</v>
      </c>
      <c r="AQ41">
        <v>1</v>
      </c>
      <c r="AR41">
        <v>4</v>
      </c>
      <c r="AS41">
        <v>3</v>
      </c>
      <c r="AT41">
        <v>1</v>
      </c>
      <c r="AU41">
        <v>3</v>
      </c>
      <c r="AV41">
        <v>1</v>
      </c>
      <c r="AW41">
        <v>1</v>
      </c>
      <c r="AX41">
        <v>3</v>
      </c>
      <c r="AY41">
        <v>1</v>
      </c>
      <c r="AZ41">
        <v>28</v>
      </c>
      <c r="BA41">
        <v>2</v>
      </c>
      <c r="BB41" s="1">
        <v>45059.920138888891</v>
      </c>
      <c r="BC41">
        <v>11</v>
      </c>
      <c r="BD41">
        <v>2</v>
      </c>
      <c r="BE41">
        <v>9</v>
      </c>
      <c r="BF41" t="s">
        <v>451</v>
      </c>
      <c r="BI41" s="2">
        <v>41030</v>
      </c>
      <c r="BJ41">
        <v>3</v>
      </c>
      <c r="BK41">
        <v>3</v>
      </c>
      <c r="BM41">
        <v>28</v>
      </c>
      <c r="BN41">
        <v>7</v>
      </c>
      <c r="BO41">
        <v>2</v>
      </c>
      <c r="BY41">
        <v>2</v>
      </c>
      <c r="BZ41" s="1">
        <v>45059.92083333333</v>
      </c>
      <c r="CA41">
        <v>4</v>
      </c>
      <c r="CB41">
        <v>3</v>
      </c>
      <c r="CC41">
        <v>3</v>
      </c>
      <c r="CD41">
        <v>3</v>
      </c>
      <c r="CE41">
        <v>4</v>
      </c>
      <c r="CF41">
        <v>3</v>
      </c>
      <c r="CG41">
        <v>2</v>
      </c>
      <c r="CH41">
        <v>4</v>
      </c>
      <c r="CI41">
        <v>2</v>
      </c>
      <c r="CJ41">
        <v>2</v>
      </c>
      <c r="CK41">
        <v>3</v>
      </c>
      <c r="CL41">
        <v>4</v>
      </c>
      <c r="CM41">
        <v>2</v>
      </c>
      <c r="CN41">
        <v>2</v>
      </c>
      <c r="CO41">
        <v>3</v>
      </c>
      <c r="CP41">
        <v>1</v>
      </c>
      <c r="CQ41">
        <v>1</v>
      </c>
      <c r="CR41">
        <v>2</v>
      </c>
      <c r="CS41">
        <v>3</v>
      </c>
      <c r="CT41">
        <v>3</v>
      </c>
      <c r="CU41">
        <v>9</v>
      </c>
      <c r="CV41">
        <v>10</v>
      </c>
      <c r="CW41">
        <v>18</v>
      </c>
      <c r="CX41">
        <v>37</v>
      </c>
      <c r="CY41">
        <v>19</v>
      </c>
      <c r="CZ41">
        <v>2</v>
      </c>
      <c r="DA41" s="1">
        <v>45059.921527777777</v>
      </c>
      <c r="DB41">
        <v>0</v>
      </c>
      <c r="DC41">
        <v>0</v>
      </c>
      <c r="DD41">
        <v>1</v>
      </c>
      <c r="DE41">
        <v>0</v>
      </c>
      <c r="DF41">
        <v>0</v>
      </c>
      <c r="DG41">
        <v>0</v>
      </c>
      <c r="DH41">
        <v>0</v>
      </c>
      <c r="DI41">
        <v>0</v>
      </c>
      <c r="DJ41">
        <v>0</v>
      </c>
      <c r="DK41">
        <v>1</v>
      </c>
      <c r="DL41">
        <v>1</v>
      </c>
      <c r="DM41">
        <v>0</v>
      </c>
      <c r="DN41">
        <v>0</v>
      </c>
      <c r="DO41">
        <v>0</v>
      </c>
      <c r="DP41">
        <v>0</v>
      </c>
      <c r="DQ41">
        <v>0</v>
      </c>
      <c r="DR41">
        <v>0</v>
      </c>
      <c r="DS41">
        <v>0</v>
      </c>
      <c r="DT41">
        <v>0</v>
      </c>
      <c r="DU41">
        <v>1</v>
      </c>
      <c r="DV41">
        <v>0</v>
      </c>
      <c r="DW41">
        <v>0</v>
      </c>
      <c r="DX41">
        <v>0</v>
      </c>
      <c r="DY41">
        <v>0</v>
      </c>
      <c r="DZ41">
        <v>1</v>
      </c>
      <c r="EA41">
        <v>0</v>
      </c>
      <c r="EB41">
        <v>0</v>
      </c>
      <c r="EC41">
        <v>0</v>
      </c>
      <c r="ED41">
        <v>0</v>
      </c>
      <c r="EE41">
        <v>1</v>
      </c>
      <c r="EF41">
        <v>0</v>
      </c>
      <c r="EG41">
        <v>0</v>
      </c>
      <c r="EH41">
        <v>0</v>
      </c>
      <c r="EI41">
        <v>0</v>
      </c>
      <c r="EJ41">
        <v>1</v>
      </c>
      <c r="EK41">
        <v>0</v>
      </c>
      <c r="EL41">
        <v>0</v>
      </c>
      <c r="EM41">
        <v>0</v>
      </c>
      <c r="EN41">
        <v>0</v>
      </c>
      <c r="EO41">
        <v>1</v>
      </c>
      <c r="EP41">
        <v>0</v>
      </c>
      <c r="EQ41">
        <v>0</v>
      </c>
      <c r="ER41">
        <v>0</v>
      </c>
      <c r="ES41">
        <v>0</v>
      </c>
      <c r="ET41">
        <v>1</v>
      </c>
      <c r="EU41">
        <v>0</v>
      </c>
      <c r="EV41">
        <v>0</v>
      </c>
      <c r="EW41">
        <v>0</v>
      </c>
      <c r="EX41">
        <v>0</v>
      </c>
      <c r="EY41">
        <v>1</v>
      </c>
      <c r="EZ41">
        <v>0</v>
      </c>
      <c r="FA41">
        <v>0</v>
      </c>
      <c r="FB41">
        <v>0</v>
      </c>
      <c r="FC41">
        <v>0</v>
      </c>
      <c r="FD41">
        <v>1</v>
      </c>
      <c r="FE41">
        <v>0</v>
      </c>
      <c r="FF41">
        <v>0</v>
      </c>
      <c r="FG41">
        <v>0</v>
      </c>
      <c r="FH41">
        <v>1</v>
      </c>
      <c r="FI41">
        <v>0</v>
      </c>
      <c r="FJ41">
        <v>0</v>
      </c>
      <c r="FK41">
        <v>0</v>
      </c>
      <c r="FL41">
        <v>0</v>
      </c>
      <c r="FM41">
        <v>0</v>
      </c>
      <c r="FN41">
        <v>1</v>
      </c>
      <c r="FO41">
        <v>0</v>
      </c>
      <c r="FP41">
        <v>0</v>
      </c>
      <c r="FQ41">
        <v>0</v>
      </c>
      <c r="FR41">
        <v>0</v>
      </c>
      <c r="FS41">
        <v>1</v>
      </c>
      <c r="FT41">
        <v>1</v>
      </c>
      <c r="FU41">
        <v>0</v>
      </c>
      <c r="FV41">
        <v>0</v>
      </c>
      <c r="FW41">
        <v>0</v>
      </c>
      <c r="FX41">
        <v>0</v>
      </c>
      <c r="FY41">
        <v>0</v>
      </c>
      <c r="FZ41">
        <v>0</v>
      </c>
      <c r="GA41">
        <v>0</v>
      </c>
      <c r="GB41">
        <v>0</v>
      </c>
      <c r="GC41">
        <v>1</v>
      </c>
      <c r="GD41">
        <v>1</v>
      </c>
      <c r="GE41">
        <v>0</v>
      </c>
      <c r="GF41">
        <v>0</v>
      </c>
      <c r="GG41">
        <v>0</v>
      </c>
      <c r="GH41">
        <v>0</v>
      </c>
      <c r="GI41">
        <v>2</v>
      </c>
      <c r="GJ41" s="1">
        <v>45059.922222222223</v>
      </c>
      <c r="GK41">
        <v>0</v>
      </c>
      <c r="HF41">
        <v>2</v>
      </c>
      <c r="HG41" s="1">
        <v>45059.922222222223</v>
      </c>
      <c r="HH41">
        <v>4</v>
      </c>
      <c r="HI41">
        <v>12</v>
      </c>
      <c r="HJ41">
        <v>10</v>
      </c>
      <c r="HK41">
        <v>2</v>
      </c>
      <c r="HL41" s="1">
        <v>45065.547222222223</v>
      </c>
      <c r="HM41">
        <v>0</v>
      </c>
      <c r="HN41">
        <v>0</v>
      </c>
      <c r="HO41">
        <v>0</v>
      </c>
      <c r="HP41">
        <v>0</v>
      </c>
      <c r="HQ41">
        <v>0</v>
      </c>
      <c r="HR41">
        <v>0</v>
      </c>
      <c r="HS41">
        <v>0</v>
      </c>
      <c r="HT41">
        <v>1</v>
      </c>
      <c r="HU41">
        <v>0</v>
      </c>
      <c r="HV41">
        <v>0</v>
      </c>
      <c r="HW41">
        <v>0</v>
      </c>
      <c r="HX41">
        <v>1</v>
      </c>
      <c r="HY41">
        <v>0</v>
      </c>
      <c r="HZ41">
        <v>0</v>
      </c>
      <c r="IA41">
        <v>0</v>
      </c>
      <c r="IB41">
        <v>0</v>
      </c>
      <c r="IC41">
        <v>0</v>
      </c>
      <c r="ID41">
        <v>0</v>
      </c>
      <c r="IE41">
        <v>0</v>
      </c>
      <c r="IF41">
        <v>0</v>
      </c>
      <c r="IG41">
        <v>0</v>
      </c>
      <c r="IH41">
        <v>2</v>
      </c>
      <c r="II41">
        <v>2</v>
      </c>
      <c r="IJ41" s="1">
        <v>45065.54791666667</v>
      </c>
      <c r="IK41">
        <v>0</v>
      </c>
      <c r="IL41">
        <v>0</v>
      </c>
      <c r="IM41">
        <v>0</v>
      </c>
      <c r="IN41">
        <v>0</v>
      </c>
      <c r="IO41">
        <v>0</v>
      </c>
      <c r="IP41">
        <v>0</v>
      </c>
      <c r="IQ41">
        <v>0</v>
      </c>
      <c r="IR41">
        <v>0</v>
      </c>
      <c r="IS41">
        <v>0</v>
      </c>
      <c r="IT41">
        <v>0</v>
      </c>
      <c r="IU41">
        <v>0</v>
      </c>
      <c r="IV41">
        <v>0</v>
      </c>
      <c r="IW41">
        <v>0</v>
      </c>
      <c r="IX41">
        <v>0</v>
      </c>
      <c r="IY41">
        <v>0</v>
      </c>
      <c r="IZ41">
        <v>0</v>
      </c>
      <c r="JA41">
        <v>0</v>
      </c>
      <c r="JB41">
        <v>0</v>
      </c>
      <c r="JC41">
        <v>0</v>
      </c>
      <c r="JD41">
        <v>1</v>
      </c>
      <c r="JN41">
        <v>0</v>
      </c>
      <c r="JQ41">
        <v>2</v>
      </c>
      <c r="JR41" s="1">
        <v>45065.548611111109</v>
      </c>
      <c r="JS41">
        <v>0</v>
      </c>
      <c r="JT41">
        <v>0</v>
      </c>
      <c r="JU41">
        <v>0</v>
      </c>
      <c r="JV41">
        <v>0</v>
      </c>
      <c r="JW41">
        <v>2</v>
      </c>
      <c r="JX41" s="1">
        <v>45065.548611111109</v>
      </c>
      <c r="JY41">
        <v>47.4</v>
      </c>
      <c r="JZ41">
        <v>2.2999999999999998</v>
      </c>
      <c r="KI41">
        <v>2</v>
      </c>
      <c r="UA41">
        <v>1</v>
      </c>
      <c r="UQ41">
        <v>2</v>
      </c>
      <c r="XG41">
        <v>2</v>
      </c>
      <c r="YQ41">
        <v>2</v>
      </c>
      <c r="YR41" s="1">
        <v>45065.55</v>
      </c>
      <c r="YS41">
        <v>5</v>
      </c>
      <c r="YT41">
        <v>2</v>
      </c>
      <c r="YU41">
        <v>4</v>
      </c>
      <c r="YV41">
        <v>2</v>
      </c>
      <c r="YW41">
        <v>3</v>
      </c>
      <c r="YX41">
        <v>1</v>
      </c>
      <c r="YY41">
        <v>1</v>
      </c>
      <c r="YZ41">
        <v>1</v>
      </c>
      <c r="ZA41">
        <v>4</v>
      </c>
      <c r="ZB41">
        <v>3</v>
      </c>
      <c r="ZC41">
        <v>2</v>
      </c>
      <c r="ZD41">
        <v>4</v>
      </c>
      <c r="ZE41">
        <v>1</v>
      </c>
      <c r="ZF41">
        <v>4</v>
      </c>
      <c r="ZG41">
        <v>2</v>
      </c>
      <c r="ZH41">
        <v>4</v>
      </c>
      <c r="ZI41">
        <v>4</v>
      </c>
      <c r="ZJ41">
        <v>2</v>
      </c>
      <c r="ZK41">
        <v>4</v>
      </c>
      <c r="ZL41">
        <v>1</v>
      </c>
      <c r="ZM41">
        <v>39</v>
      </c>
      <c r="ZN41">
        <v>15</v>
      </c>
      <c r="ZO41">
        <v>2</v>
      </c>
      <c r="ZP41" s="1">
        <v>45065.550694444442</v>
      </c>
      <c r="ZQ41">
        <v>0</v>
      </c>
      <c r="ZR41">
        <v>0</v>
      </c>
      <c r="ZS41">
        <v>1</v>
      </c>
      <c r="ZT41">
        <v>0</v>
      </c>
      <c r="ZU41">
        <v>0</v>
      </c>
      <c r="ZV41">
        <v>0</v>
      </c>
      <c r="ZW41">
        <v>1</v>
      </c>
      <c r="ZX41">
        <v>0</v>
      </c>
      <c r="ZY41">
        <v>0</v>
      </c>
      <c r="ZZ41">
        <v>0</v>
      </c>
      <c r="AAA41">
        <v>0</v>
      </c>
      <c r="AAB41">
        <v>0</v>
      </c>
      <c r="AAC41">
        <v>0</v>
      </c>
      <c r="AAD41">
        <v>0</v>
      </c>
      <c r="AAE41">
        <v>0</v>
      </c>
      <c r="AAF41">
        <v>0</v>
      </c>
      <c r="AAG41">
        <v>0</v>
      </c>
      <c r="AAH41">
        <v>0</v>
      </c>
      <c r="AAI41">
        <v>1</v>
      </c>
      <c r="AAJ41">
        <v>0</v>
      </c>
      <c r="AAK41">
        <v>1</v>
      </c>
      <c r="AAL41">
        <v>2</v>
      </c>
      <c r="AAM41">
        <v>2</v>
      </c>
      <c r="AAN41" s="1">
        <v>45065.550694444442</v>
      </c>
      <c r="AAO41">
        <v>0</v>
      </c>
      <c r="ABF41">
        <v>2</v>
      </c>
      <c r="ABG41" s="1">
        <v>45065.551388888889</v>
      </c>
      <c r="AEG41">
        <v>0</v>
      </c>
      <c r="AEH41">
        <v>0</v>
      </c>
      <c r="AEI41">
        <v>0</v>
      </c>
      <c r="AEJ41">
        <v>2</v>
      </c>
      <c r="AEK41">
        <v>0</v>
      </c>
      <c r="AEL41">
        <v>0</v>
      </c>
      <c r="AEM41">
        <v>0</v>
      </c>
      <c r="AEN41">
        <v>1</v>
      </c>
      <c r="AEO41">
        <v>0</v>
      </c>
      <c r="AEP41">
        <v>2</v>
      </c>
      <c r="AEQ41">
        <v>0</v>
      </c>
      <c r="AER41">
        <v>0</v>
      </c>
      <c r="AES41">
        <v>0</v>
      </c>
      <c r="AET41">
        <v>0</v>
      </c>
      <c r="AEU41">
        <v>0</v>
      </c>
      <c r="AEV41">
        <v>0</v>
      </c>
      <c r="AEW41">
        <v>0</v>
      </c>
      <c r="AEX41">
        <v>0</v>
      </c>
      <c r="AEY41">
        <v>0</v>
      </c>
      <c r="AEZ41">
        <v>0</v>
      </c>
      <c r="AFA41">
        <v>0</v>
      </c>
      <c r="AFB41">
        <v>0</v>
      </c>
      <c r="AFC41">
        <v>0</v>
      </c>
      <c r="AFD41">
        <v>0</v>
      </c>
      <c r="AFE41">
        <v>0</v>
      </c>
      <c r="AFF41">
        <v>3</v>
      </c>
      <c r="AFG41">
        <v>2</v>
      </c>
      <c r="AFH41">
        <v>0</v>
      </c>
      <c r="AFI41">
        <v>0</v>
      </c>
      <c r="AFJ41">
        <v>2</v>
      </c>
      <c r="AFK41">
        <v>0</v>
      </c>
      <c r="AFL41">
        <v>0</v>
      </c>
      <c r="AFM41">
        <v>0</v>
      </c>
      <c r="AFN41">
        <v>0</v>
      </c>
      <c r="AFO41">
        <v>3</v>
      </c>
      <c r="AFP41">
        <v>9</v>
      </c>
      <c r="AFQ41">
        <v>-6</v>
      </c>
      <c r="AFR41">
        <v>2</v>
      </c>
      <c r="AFS41" s="1">
        <v>45065.552083333336</v>
      </c>
      <c r="AFT41">
        <v>4</v>
      </c>
      <c r="AFU41">
        <v>4</v>
      </c>
      <c r="AFV41">
        <v>1</v>
      </c>
      <c r="AFW41">
        <v>1</v>
      </c>
      <c r="AFX41">
        <v>4</v>
      </c>
      <c r="AFY41">
        <v>1</v>
      </c>
      <c r="AFZ41">
        <v>1</v>
      </c>
      <c r="AGA41">
        <v>4</v>
      </c>
      <c r="AGB41">
        <v>1</v>
      </c>
      <c r="AGC41">
        <v>4</v>
      </c>
      <c r="AGD41">
        <v>4</v>
      </c>
      <c r="AGE41">
        <v>1</v>
      </c>
      <c r="AGF41">
        <v>1</v>
      </c>
      <c r="AGG41">
        <v>1</v>
      </c>
      <c r="AGH41">
        <v>4</v>
      </c>
      <c r="AGI41">
        <v>4</v>
      </c>
      <c r="AGJ41">
        <v>1</v>
      </c>
      <c r="AGK41">
        <v>1</v>
      </c>
      <c r="AGL41">
        <v>4</v>
      </c>
      <c r="AGM41">
        <v>4</v>
      </c>
      <c r="AGN41">
        <v>20</v>
      </c>
      <c r="AGO41">
        <v>2</v>
      </c>
      <c r="AGP41" s="1">
        <v>45065.552083333336</v>
      </c>
      <c r="AGQ41">
        <v>0</v>
      </c>
      <c r="AGV41">
        <v>0</v>
      </c>
      <c r="AGW41">
        <v>0</v>
      </c>
      <c r="AGX41">
        <v>0</v>
      </c>
      <c r="AGY41">
        <v>0</v>
      </c>
      <c r="AGZ41">
        <v>0</v>
      </c>
      <c r="AHB41">
        <v>2</v>
      </c>
      <c r="AHU41" t="s">
        <v>416</v>
      </c>
    </row>
    <row r="42" spans="1:905">
      <c r="A42">
        <v>201</v>
      </c>
      <c r="B42" t="s">
        <v>205</v>
      </c>
      <c r="C42" t="s">
        <v>452</v>
      </c>
      <c r="D42">
        <v>2</v>
      </c>
      <c r="E42">
        <v>2</v>
      </c>
      <c r="F42">
        <v>27</v>
      </c>
      <c r="G42">
        <v>66</v>
      </c>
      <c r="H42">
        <v>140</v>
      </c>
      <c r="I42">
        <v>0</v>
      </c>
      <c r="J42">
        <v>3</v>
      </c>
      <c r="L42" t="s">
        <v>453</v>
      </c>
      <c r="M42">
        <v>2</v>
      </c>
      <c r="N42" s="1">
        <v>45069.70208333333</v>
      </c>
      <c r="O42">
        <v>7</v>
      </c>
      <c r="P42">
        <v>0</v>
      </c>
      <c r="R42">
        <v>0</v>
      </c>
      <c r="S42">
        <v>0</v>
      </c>
      <c r="T42">
        <v>1</v>
      </c>
      <c r="U42">
        <v>0</v>
      </c>
      <c r="V42">
        <v>0</v>
      </c>
      <c r="W42">
        <v>0</v>
      </c>
      <c r="X42">
        <v>0</v>
      </c>
      <c r="Y42">
        <v>0</v>
      </c>
      <c r="Z42">
        <v>0</v>
      </c>
      <c r="AA42">
        <v>0</v>
      </c>
      <c r="AB42">
        <v>0</v>
      </c>
      <c r="AC42">
        <v>1</v>
      </c>
      <c r="AD42">
        <v>2</v>
      </c>
      <c r="AE42" s="1">
        <v>45069.702777777777</v>
      </c>
      <c r="AF42">
        <v>4</v>
      </c>
      <c r="AG42">
        <v>2</v>
      </c>
      <c r="AH42">
        <v>4</v>
      </c>
      <c r="AI42">
        <v>1</v>
      </c>
      <c r="AJ42">
        <v>1</v>
      </c>
      <c r="AK42">
        <v>3</v>
      </c>
      <c r="AL42">
        <v>4</v>
      </c>
      <c r="AM42">
        <v>1</v>
      </c>
      <c r="AN42">
        <v>1</v>
      </c>
      <c r="AO42">
        <v>4</v>
      </c>
      <c r="AP42">
        <v>1</v>
      </c>
      <c r="AQ42">
        <v>1</v>
      </c>
      <c r="AR42">
        <v>4</v>
      </c>
      <c r="AS42">
        <v>3</v>
      </c>
      <c r="AT42">
        <v>1</v>
      </c>
      <c r="AU42">
        <v>4</v>
      </c>
      <c r="AV42">
        <v>2</v>
      </c>
      <c r="AW42">
        <v>2</v>
      </c>
      <c r="AX42">
        <v>4</v>
      </c>
      <c r="AY42">
        <v>1</v>
      </c>
      <c r="AZ42">
        <v>25</v>
      </c>
      <c r="BA42">
        <v>2</v>
      </c>
      <c r="BB42" s="1">
        <v>45069.70416666667</v>
      </c>
      <c r="BC42">
        <v>10</v>
      </c>
      <c r="BD42">
        <v>2</v>
      </c>
      <c r="BE42">
        <v>1</v>
      </c>
      <c r="BI42" s="2">
        <v>45063</v>
      </c>
      <c r="BM42">
        <v>28</v>
      </c>
      <c r="BN42">
        <v>4</v>
      </c>
      <c r="BO42">
        <v>1</v>
      </c>
      <c r="BY42">
        <v>2</v>
      </c>
      <c r="BZ42" s="1">
        <v>45069.710416666669</v>
      </c>
      <c r="CA42">
        <v>4</v>
      </c>
      <c r="CB42">
        <v>2</v>
      </c>
      <c r="CC42">
        <v>2</v>
      </c>
      <c r="CD42">
        <v>3</v>
      </c>
      <c r="CE42">
        <v>2</v>
      </c>
      <c r="CF42">
        <v>2</v>
      </c>
      <c r="CG42">
        <v>3</v>
      </c>
      <c r="CH42">
        <v>4</v>
      </c>
      <c r="CI42">
        <v>3</v>
      </c>
      <c r="CJ42">
        <v>4</v>
      </c>
      <c r="CK42">
        <v>1</v>
      </c>
      <c r="CL42">
        <v>3</v>
      </c>
      <c r="CM42">
        <v>1</v>
      </c>
      <c r="CN42">
        <v>3</v>
      </c>
      <c r="CO42">
        <v>4</v>
      </c>
      <c r="CP42">
        <v>1</v>
      </c>
      <c r="CQ42">
        <v>1</v>
      </c>
      <c r="CR42">
        <v>3</v>
      </c>
      <c r="CS42">
        <v>3</v>
      </c>
      <c r="CT42">
        <v>3</v>
      </c>
      <c r="CU42">
        <v>8</v>
      </c>
      <c r="CV42">
        <v>7</v>
      </c>
      <c r="CW42">
        <v>17</v>
      </c>
      <c r="CX42">
        <v>32</v>
      </c>
      <c r="CY42">
        <v>22</v>
      </c>
      <c r="CZ42">
        <v>2</v>
      </c>
      <c r="DA42" s="1">
        <v>45069.711111111108</v>
      </c>
      <c r="DB42">
        <v>0</v>
      </c>
      <c r="DC42">
        <v>0</v>
      </c>
      <c r="DD42">
        <v>1</v>
      </c>
      <c r="DE42">
        <v>0</v>
      </c>
      <c r="DF42">
        <v>0</v>
      </c>
      <c r="DG42">
        <v>0</v>
      </c>
      <c r="DH42">
        <v>0</v>
      </c>
      <c r="DI42">
        <v>1</v>
      </c>
      <c r="DJ42">
        <v>0</v>
      </c>
      <c r="DK42">
        <v>0</v>
      </c>
      <c r="DL42">
        <v>1</v>
      </c>
      <c r="DM42">
        <v>0</v>
      </c>
      <c r="DN42">
        <v>0</v>
      </c>
      <c r="DO42">
        <v>0</v>
      </c>
      <c r="DP42">
        <v>0</v>
      </c>
      <c r="DQ42">
        <v>0</v>
      </c>
      <c r="DR42">
        <v>0</v>
      </c>
      <c r="DS42">
        <v>1</v>
      </c>
      <c r="DT42">
        <v>0</v>
      </c>
      <c r="DU42">
        <v>0</v>
      </c>
      <c r="DV42">
        <v>0</v>
      </c>
      <c r="DW42">
        <v>0</v>
      </c>
      <c r="DX42">
        <v>1</v>
      </c>
      <c r="DY42">
        <v>0</v>
      </c>
      <c r="DZ42">
        <v>0</v>
      </c>
      <c r="EA42">
        <v>0</v>
      </c>
      <c r="EB42">
        <v>0</v>
      </c>
      <c r="EC42">
        <v>1</v>
      </c>
      <c r="ED42">
        <v>0</v>
      </c>
      <c r="EE42">
        <v>0</v>
      </c>
      <c r="EF42">
        <v>0</v>
      </c>
      <c r="EG42">
        <v>0</v>
      </c>
      <c r="EH42">
        <v>1</v>
      </c>
      <c r="EI42">
        <v>0</v>
      </c>
      <c r="EJ42">
        <v>0</v>
      </c>
      <c r="EK42">
        <v>0</v>
      </c>
      <c r="EL42">
        <v>0</v>
      </c>
      <c r="EM42">
        <v>1</v>
      </c>
      <c r="EN42">
        <v>0</v>
      </c>
      <c r="EO42">
        <v>0</v>
      </c>
      <c r="EP42">
        <v>0</v>
      </c>
      <c r="EQ42">
        <v>0</v>
      </c>
      <c r="ER42">
        <v>1</v>
      </c>
      <c r="ES42">
        <v>0</v>
      </c>
      <c r="ET42">
        <v>0</v>
      </c>
      <c r="EU42">
        <v>0</v>
      </c>
      <c r="EV42">
        <v>0</v>
      </c>
      <c r="EW42">
        <v>1</v>
      </c>
      <c r="EX42">
        <v>0</v>
      </c>
      <c r="EY42">
        <v>0</v>
      </c>
      <c r="EZ42">
        <v>0</v>
      </c>
      <c r="FA42">
        <v>0</v>
      </c>
      <c r="FB42">
        <v>1</v>
      </c>
      <c r="FC42">
        <v>0</v>
      </c>
      <c r="FD42">
        <v>0</v>
      </c>
      <c r="FE42">
        <v>0</v>
      </c>
      <c r="FF42">
        <v>0</v>
      </c>
      <c r="FG42">
        <v>1</v>
      </c>
      <c r="FH42">
        <v>0</v>
      </c>
      <c r="FI42">
        <v>0</v>
      </c>
      <c r="FJ42">
        <v>0</v>
      </c>
      <c r="FK42">
        <v>0</v>
      </c>
      <c r="FL42">
        <v>1</v>
      </c>
      <c r="FM42">
        <v>0</v>
      </c>
      <c r="FN42">
        <v>0</v>
      </c>
      <c r="FO42">
        <v>0</v>
      </c>
      <c r="FP42">
        <v>0</v>
      </c>
      <c r="FQ42">
        <v>1</v>
      </c>
      <c r="FR42">
        <v>0</v>
      </c>
      <c r="FS42">
        <v>0</v>
      </c>
      <c r="FT42">
        <v>0</v>
      </c>
      <c r="FU42">
        <v>0</v>
      </c>
      <c r="FV42">
        <v>1</v>
      </c>
      <c r="FW42">
        <v>0</v>
      </c>
      <c r="FX42">
        <v>0</v>
      </c>
      <c r="FY42">
        <v>0</v>
      </c>
      <c r="FZ42">
        <v>0</v>
      </c>
      <c r="GA42">
        <v>1</v>
      </c>
      <c r="GB42">
        <v>0</v>
      </c>
      <c r="GC42">
        <v>0</v>
      </c>
      <c r="GD42">
        <v>0</v>
      </c>
      <c r="GE42">
        <v>0</v>
      </c>
      <c r="GF42">
        <v>1</v>
      </c>
      <c r="GG42">
        <v>0</v>
      </c>
      <c r="GH42">
        <v>0</v>
      </c>
      <c r="GI42">
        <v>2</v>
      </c>
      <c r="GJ42" s="1">
        <v>45069.711111111108</v>
      </c>
      <c r="GK42">
        <v>0</v>
      </c>
      <c r="HF42">
        <v>2</v>
      </c>
      <c r="HG42" s="1">
        <v>45069.711805555555</v>
      </c>
      <c r="HH42">
        <v>3</v>
      </c>
      <c r="HI42">
        <v>6</v>
      </c>
      <c r="HJ42">
        <v>6</v>
      </c>
      <c r="HK42">
        <v>2</v>
      </c>
      <c r="HL42" s="1">
        <v>45076.488194444442</v>
      </c>
      <c r="HM42">
        <v>0</v>
      </c>
      <c r="HN42">
        <v>0</v>
      </c>
      <c r="HO42">
        <v>0</v>
      </c>
      <c r="HP42">
        <v>0</v>
      </c>
      <c r="HQ42">
        <v>0</v>
      </c>
      <c r="HR42">
        <v>0</v>
      </c>
      <c r="HS42">
        <v>0</v>
      </c>
      <c r="HT42">
        <v>0</v>
      </c>
      <c r="HU42">
        <v>0</v>
      </c>
      <c r="HV42">
        <v>0</v>
      </c>
      <c r="HW42">
        <v>0</v>
      </c>
      <c r="HX42">
        <v>0</v>
      </c>
      <c r="HY42">
        <v>0</v>
      </c>
      <c r="HZ42">
        <v>0</v>
      </c>
      <c r="IA42">
        <v>1</v>
      </c>
      <c r="IB42">
        <v>0</v>
      </c>
      <c r="IC42">
        <v>0</v>
      </c>
      <c r="ID42">
        <v>0</v>
      </c>
      <c r="IE42">
        <v>0</v>
      </c>
      <c r="IF42">
        <v>0</v>
      </c>
      <c r="IG42">
        <v>0</v>
      </c>
      <c r="IH42">
        <v>1</v>
      </c>
      <c r="II42">
        <v>2</v>
      </c>
      <c r="IJ42" s="1">
        <v>45076.489583333336</v>
      </c>
      <c r="IK42">
        <v>1</v>
      </c>
      <c r="IL42">
        <v>1</v>
      </c>
      <c r="IM42">
        <v>0</v>
      </c>
      <c r="IN42">
        <v>0</v>
      </c>
      <c r="IO42">
        <v>0</v>
      </c>
      <c r="IP42">
        <v>0</v>
      </c>
      <c r="IQ42">
        <v>0</v>
      </c>
      <c r="IR42">
        <v>0</v>
      </c>
      <c r="IS42">
        <v>0</v>
      </c>
      <c r="IT42">
        <v>0</v>
      </c>
      <c r="IU42">
        <v>0</v>
      </c>
      <c r="IV42">
        <v>0</v>
      </c>
      <c r="IW42">
        <v>0</v>
      </c>
      <c r="IX42">
        <v>0</v>
      </c>
      <c r="IY42">
        <v>0</v>
      </c>
      <c r="IZ42">
        <v>0</v>
      </c>
      <c r="JA42">
        <v>0</v>
      </c>
      <c r="JB42">
        <v>0</v>
      </c>
      <c r="JC42">
        <v>1</v>
      </c>
      <c r="JD42">
        <v>0</v>
      </c>
      <c r="JE42">
        <v>4</v>
      </c>
      <c r="JF42">
        <v>1</v>
      </c>
      <c r="JG42">
        <v>0</v>
      </c>
      <c r="JH42">
        <v>0</v>
      </c>
      <c r="JI42">
        <v>0</v>
      </c>
      <c r="JJ42">
        <v>0</v>
      </c>
      <c r="JK42">
        <v>1</v>
      </c>
      <c r="JL42" t="s">
        <v>454</v>
      </c>
      <c r="JM42" t="s">
        <v>210</v>
      </c>
      <c r="JN42">
        <v>3</v>
      </c>
      <c r="JO42">
        <v>4</v>
      </c>
      <c r="JP42">
        <v>1</v>
      </c>
      <c r="JQ42">
        <v>2</v>
      </c>
      <c r="JR42" s="1">
        <v>45076.489583333336</v>
      </c>
      <c r="JS42">
        <v>0</v>
      </c>
      <c r="JT42">
        <v>0</v>
      </c>
      <c r="JU42">
        <v>5</v>
      </c>
      <c r="JV42">
        <v>5</v>
      </c>
      <c r="JW42">
        <v>2</v>
      </c>
      <c r="JX42" s="1">
        <v>45076.490277777775</v>
      </c>
      <c r="JY42">
        <v>58.7</v>
      </c>
      <c r="JZ42">
        <v>2.2000000000000002</v>
      </c>
      <c r="KI42">
        <v>3</v>
      </c>
      <c r="UA42">
        <v>4</v>
      </c>
      <c r="UQ42">
        <v>3</v>
      </c>
      <c r="XG42">
        <v>3</v>
      </c>
      <c r="YQ42">
        <v>2</v>
      </c>
      <c r="YR42" s="1">
        <v>45076.490972222222</v>
      </c>
      <c r="YS42">
        <v>5</v>
      </c>
      <c r="YT42">
        <v>1</v>
      </c>
      <c r="YU42">
        <v>5</v>
      </c>
      <c r="YV42">
        <v>3</v>
      </c>
      <c r="YW42">
        <v>3</v>
      </c>
      <c r="YX42">
        <v>1</v>
      </c>
      <c r="YY42">
        <v>1</v>
      </c>
      <c r="YZ42">
        <v>1</v>
      </c>
      <c r="ZA42">
        <v>5</v>
      </c>
      <c r="ZB42">
        <v>3</v>
      </c>
      <c r="ZC42">
        <v>3</v>
      </c>
      <c r="ZD42">
        <v>3</v>
      </c>
      <c r="ZE42">
        <v>1</v>
      </c>
      <c r="ZF42">
        <v>5</v>
      </c>
      <c r="ZG42">
        <v>1</v>
      </c>
      <c r="ZH42">
        <v>5</v>
      </c>
      <c r="ZI42">
        <v>5</v>
      </c>
      <c r="ZJ42">
        <v>2</v>
      </c>
      <c r="ZK42">
        <v>3</v>
      </c>
      <c r="ZL42">
        <v>1</v>
      </c>
      <c r="ZM42">
        <v>42</v>
      </c>
      <c r="ZN42">
        <v>15</v>
      </c>
      <c r="ZO42">
        <v>2</v>
      </c>
      <c r="ZP42" s="1">
        <v>45076.490972222222</v>
      </c>
      <c r="ZQ42">
        <v>0</v>
      </c>
      <c r="ZR42">
        <v>0</v>
      </c>
      <c r="ZS42">
        <v>0</v>
      </c>
      <c r="ZT42">
        <v>0</v>
      </c>
      <c r="ZU42">
        <v>1</v>
      </c>
      <c r="ZV42">
        <v>0</v>
      </c>
      <c r="ZW42">
        <v>0</v>
      </c>
      <c r="ZX42">
        <v>1</v>
      </c>
      <c r="ZY42">
        <v>0</v>
      </c>
      <c r="ZZ42">
        <v>0</v>
      </c>
      <c r="AAA42">
        <v>0</v>
      </c>
      <c r="AAB42">
        <v>0</v>
      </c>
      <c r="AAC42">
        <v>0</v>
      </c>
      <c r="AAD42">
        <v>0</v>
      </c>
      <c r="AAE42">
        <v>1</v>
      </c>
      <c r="AAF42">
        <v>2</v>
      </c>
      <c r="AAG42">
        <v>0</v>
      </c>
      <c r="AAH42">
        <v>0</v>
      </c>
      <c r="AAI42">
        <v>2</v>
      </c>
      <c r="AAJ42">
        <v>2</v>
      </c>
      <c r="AAK42">
        <v>1</v>
      </c>
      <c r="AAL42">
        <v>5</v>
      </c>
      <c r="AAM42">
        <v>2</v>
      </c>
      <c r="AAN42" s="1">
        <v>45076.492361111108</v>
      </c>
      <c r="AAO42">
        <v>1</v>
      </c>
      <c r="AAP42">
        <v>5</v>
      </c>
      <c r="AAQ42">
        <v>0</v>
      </c>
      <c r="AAR42">
        <v>3</v>
      </c>
      <c r="AAS42">
        <v>3</v>
      </c>
      <c r="AAT42">
        <v>16</v>
      </c>
      <c r="AAU42">
        <v>5</v>
      </c>
      <c r="AAV42">
        <v>8</v>
      </c>
      <c r="AAW42">
        <v>0</v>
      </c>
      <c r="AAX42">
        <v>4</v>
      </c>
      <c r="AAY42">
        <v>6</v>
      </c>
      <c r="AAZ42">
        <v>0</v>
      </c>
      <c r="ABA42">
        <v>6</v>
      </c>
      <c r="ABB42">
        <v>6</v>
      </c>
      <c r="ABC42">
        <v>0</v>
      </c>
      <c r="ABD42">
        <v>5.25</v>
      </c>
      <c r="ABE42">
        <v>7.5714285710000002</v>
      </c>
      <c r="ABF42">
        <v>2</v>
      </c>
      <c r="ABG42" s="1">
        <v>45076.493055555555</v>
      </c>
      <c r="AEG42">
        <v>0</v>
      </c>
      <c r="AEH42">
        <v>0</v>
      </c>
      <c r="AEI42">
        <v>1</v>
      </c>
      <c r="AEJ42">
        <v>1</v>
      </c>
      <c r="AEK42">
        <v>0</v>
      </c>
      <c r="AEL42">
        <v>0</v>
      </c>
      <c r="AEM42">
        <v>0</v>
      </c>
      <c r="AEN42">
        <v>1</v>
      </c>
      <c r="AEO42">
        <v>0</v>
      </c>
      <c r="AEP42">
        <v>1</v>
      </c>
      <c r="AEQ42">
        <v>0</v>
      </c>
      <c r="AER42">
        <v>0</v>
      </c>
      <c r="AES42">
        <v>3</v>
      </c>
      <c r="AET42">
        <v>0</v>
      </c>
      <c r="AEU42">
        <v>0</v>
      </c>
      <c r="AEV42">
        <v>0</v>
      </c>
      <c r="AEW42">
        <v>0</v>
      </c>
      <c r="AEX42">
        <v>0</v>
      </c>
      <c r="AEY42">
        <v>1</v>
      </c>
      <c r="AEZ42">
        <v>0</v>
      </c>
      <c r="AFA42">
        <v>0</v>
      </c>
      <c r="AFB42">
        <v>3</v>
      </c>
      <c r="AFC42">
        <v>1</v>
      </c>
      <c r="AFD42">
        <v>0</v>
      </c>
      <c r="AFE42">
        <v>0</v>
      </c>
      <c r="AFF42">
        <v>3</v>
      </c>
      <c r="AFG42">
        <v>1</v>
      </c>
      <c r="AFH42">
        <v>0</v>
      </c>
      <c r="AFI42">
        <v>0</v>
      </c>
      <c r="AFJ42">
        <v>0</v>
      </c>
      <c r="AFK42">
        <v>0</v>
      </c>
      <c r="AFL42">
        <v>0</v>
      </c>
      <c r="AFM42">
        <v>0</v>
      </c>
      <c r="AFN42">
        <v>9</v>
      </c>
      <c r="AFO42">
        <v>3</v>
      </c>
      <c r="AFP42">
        <v>4</v>
      </c>
      <c r="AFQ42">
        <v>8</v>
      </c>
      <c r="AFR42">
        <v>2</v>
      </c>
      <c r="AFS42" s="1">
        <v>45076.493750000001</v>
      </c>
      <c r="AFT42">
        <v>3</v>
      </c>
      <c r="AFU42">
        <v>4</v>
      </c>
      <c r="AFV42">
        <v>1</v>
      </c>
      <c r="AFW42">
        <v>1</v>
      </c>
      <c r="AFX42">
        <v>4</v>
      </c>
      <c r="AFY42">
        <v>1</v>
      </c>
      <c r="AFZ42">
        <v>2</v>
      </c>
      <c r="AGA42">
        <v>4</v>
      </c>
      <c r="AGB42">
        <v>1</v>
      </c>
      <c r="AGC42">
        <v>4</v>
      </c>
      <c r="AGD42">
        <v>4</v>
      </c>
      <c r="AGE42">
        <v>1</v>
      </c>
      <c r="AGF42">
        <v>2</v>
      </c>
      <c r="AGG42">
        <v>1</v>
      </c>
      <c r="AGH42">
        <v>4</v>
      </c>
      <c r="AGI42">
        <v>4</v>
      </c>
      <c r="AGJ42">
        <v>1</v>
      </c>
      <c r="AGK42">
        <v>1</v>
      </c>
      <c r="AGL42">
        <v>4</v>
      </c>
      <c r="AGM42">
        <v>4</v>
      </c>
      <c r="AGN42">
        <v>23</v>
      </c>
      <c r="AGO42">
        <v>2</v>
      </c>
      <c r="AGP42" s="1">
        <v>45076.493750000001</v>
      </c>
      <c r="AGQ42">
        <v>0</v>
      </c>
      <c r="AGV42">
        <v>0</v>
      </c>
      <c r="AGW42">
        <v>0</v>
      </c>
      <c r="AGX42">
        <v>0</v>
      </c>
      <c r="AGY42">
        <v>0</v>
      </c>
      <c r="AGZ42">
        <v>0</v>
      </c>
      <c r="AHB42">
        <v>2</v>
      </c>
      <c r="AHU42" t="s">
        <v>416</v>
      </c>
    </row>
    <row r="43" spans="1:905">
      <c r="A43">
        <v>202</v>
      </c>
      <c r="B43" t="s">
        <v>205</v>
      </c>
      <c r="C43" t="s">
        <v>455</v>
      </c>
      <c r="D43">
        <v>2</v>
      </c>
      <c r="E43">
        <v>2</v>
      </c>
      <c r="F43">
        <v>49</v>
      </c>
      <c r="G43">
        <v>61</v>
      </c>
      <c r="H43">
        <v>136</v>
      </c>
      <c r="I43">
        <v>0</v>
      </c>
      <c r="J43">
        <v>5</v>
      </c>
      <c r="L43" t="s">
        <v>456</v>
      </c>
      <c r="M43">
        <v>2</v>
      </c>
      <c r="N43" s="1">
        <v>45050.752083333333</v>
      </c>
      <c r="O43">
        <v>6</v>
      </c>
      <c r="P43">
        <v>0</v>
      </c>
      <c r="R43">
        <v>1</v>
      </c>
      <c r="S43">
        <v>0</v>
      </c>
      <c r="T43">
        <v>0</v>
      </c>
      <c r="U43">
        <v>0</v>
      </c>
      <c r="V43">
        <v>0</v>
      </c>
      <c r="W43">
        <v>0</v>
      </c>
      <c r="X43">
        <v>0</v>
      </c>
      <c r="Y43">
        <v>0</v>
      </c>
      <c r="Z43">
        <v>0</v>
      </c>
      <c r="AA43">
        <v>0</v>
      </c>
      <c r="AB43">
        <v>0</v>
      </c>
      <c r="AC43">
        <v>4</v>
      </c>
      <c r="AD43">
        <v>2</v>
      </c>
      <c r="AE43" s="1">
        <v>45050.753472222219</v>
      </c>
      <c r="AF43">
        <v>2</v>
      </c>
      <c r="AG43">
        <v>1</v>
      </c>
      <c r="AH43">
        <v>2</v>
      </c>
      <c r="AI43">
        <v>3</v>
      </c>
      <c r="AJ43">
        <v>2</v>
      </c>
      <c r="AK43">
        <v>2</v>
      </c>
      <c r="AL43">
        <v>2</v>
      </c>
      <c r="AM43">
        <v>1</v>
      </c>
      <c r="AN43">
        <v>1</v>
      </c>
      <c r="AO43">
        <v>2</v>
      </c>
      <c r="AP43">
        <v>1</v>
      </c>
      <c r="AQ43">
        <v>2</v>
      </c>
      <c r="AR43">
        <v>1</v>
      </c>
      <c r="AS43">
        <v>2</v>
      </c>
      <c r="AT43">
        <v>2</v>
      </c>
      <c r="AU43">
        <v>2</v>
      </c>
      <c r="AV43">
        <v>1</v>
      </c>
      <c r="AW43">
        <v>2</v>
      </c>
      <c r="AX43">
        <v>2</v>
      </c>
      <c r="AY43">
        <v>1</v>
      </c>
      <c r="AZ43">
        <v>45</v>
      </c>
      <c r="BA43">
        <v>2</v>
      </c>
      <c r="BB43" s="1">
        <v>45050.756249999999</v>
      </c>
      <c r="BC43">
        <v>9</v>
      </c>
      <c r="BD43">
        <v>1</v>
      </c>
      <c r="BE43">
        <v>8</v>
      </c>
      <c r="BI43" s="2">
        <v>42583</v>
      </c>
      <c r="BJ43">
        <v>4</v>
      </c>
      <c r="BK43">
        <v>1</v>
      </c>
      <c r="BL43">
        <v>4</v>
      </c>
      <c r="BM43">
        <v>28</v>
      </c>
      <c r="BN43">
        <v>5</v>
      </c>
      <c r="BO43">
        <v>1</v>
      </c>
      <c r="BY43">
        <v>2</v>
      </c>
      <c r="BZ43" s="1">
        <v>45050.757638888892</v>
      </c>
      <c r="CA43">
        <v>3</v>
      </c>
      <c r="CB43">
        <v>3</v>
      </c>
      <c r="CC43">
        <v>2</v>
      </c>
      <c r="CD43">
        <v>1</v>
      </c>
      <c r="CE43">
        <v>3</v>
      </c>
      <c r="CF43">
        <v>1</v>
      </c>
      <c r="CG43">
        <v>3</v>
      </c>
      <c r="CH43">
        <v>3</v>
      </c>
      <c r="CI43">
        <v>2</v>
      </c>
      <c r="CJ43">
        <v>2</v>
      </c>
      <c r="CK43">
        <v>2</v>
      </c>
      <c r="CL43">
        <v>3</v>
      </c>
      <c r="CM43">
        <v>1</v>
      </c>
      <c r="CN43">
        <v>1</v>
      </c>
      <c r="CO43">
        <v>2</v>
      </c>
      <c r="CP43">
        <v>2</v>
      </c>
      <c r="CQ43">
        <v>2</v>
      </c>
      <c r="CR43">
        <v>2</v>
      </c>
      <c r="CS43">
        <v>3</v>
      </c>
      <c r="CT43">
        <v>3</v>
      </c>
      <c r="CU43">
        <v>6</v>
      </c>
      <c r="CV43">
        <v>9</v>
      </c>
      <c r="CW43">
        <v>15</v>
      </c>
      <c r="CX43">
        <v>30</v>
      </c>
      <c r="CY43">
        <v>18</v>
      </c>
      <c r="CZ43">
        <v>2</v>
      </c>
      <c r="DA43" s="1">
        <v>45050.760416666664</v>
      </c>
      <c r="DB43">
        <v>0</v>
      </c>
      <c r="DC43">
        <v>1</v>
      </c>
      <c r="DD43">
        <v>1</v>
      </c>
      <c r="DE43">
        <v>0</v>
      </c>
      <c r="DF43">
        <v>0</v>
      </c>
      <c r="DG43">
        <v>0</v>
      </c>
      <c r="DH43">
        <v>0</v>
      </c>
      <c r="DI43">
        <v>1</v>
      </c>
      <c r="DJ43">
        <v>0</v>
      </c>
      <c r="DK43">
        <v>0</v>
      </c>
      <c r="DL43">
        <v>0</v>
      </c>
      <c r="DM43">
        <v>0</v>
      </c>
      <c r="DN43">
        <v>1</v>
      </c>
      <c r="DO43">
        <v>0</v>
      </c>
      <c r="DP43">
        <v>0</v>
      </c>
      <c r="DQ43">
        <v>0</v>
      </c>
      <c r="DR43">
        <v>0</v>
      </c>
      <c r="DS43">
        <v>1</v>
      </c>
      <c r="DT43">
        <v>0</v>
      </c>
      <c r="DU43">
        <v>0</v>
      </c>
      <c r="DV43">
        <v>1</v>
      </c>
      <c r="DW43">
        <v>0</v>
      </c>
      <c r="DX43">
        <v>0</v>
      </c>
      <c r="DY43">
        <v>0</v>
      </c>
      <c r="DZ43">
        <v>0</v>
      </c>
      <c r="EA43">
        <v>0</v>
      </c>
      <c r="EB43">
        <v>0</v>
      </c>
      <c r="EC43">
        <v>1</v>
      </c>
      <c r="ED43">
        <v>0</v>
      </c>
      <c r="EE43">
        <v>0</v>
      </c>
      <c r="EF43">
        <v>0</v>
      </c>
      <c r="EG43">
        <v>1</v>
      </c>
      <c r="EH43">
        <v>0</v>
      </c>
      <c r="EI43">
        <v>0</v>
      </c>
      <c r="EJ43">
        <v>0</v>
      </c>
      <c r="EK43">
        <v>0</v>
      </c>
      <c r="EL43">
        <v>0</v>
      </c>
      <c r="EM43">
        <v>1</v>
      </c>
      <c r="EN43">
        <v>0</v>
      </c>
      <c r="EO43">
        <v>0</v>
      </c>
      <c r="EP43">
        <v>0</v>
      </c>
      <c r="EQ43">
        <v>0</v>
      </c>
      <c r="ER43">
        <v>0</v>
      </c>
      <c r="ES43">
        <v>1</v>
      </c>
      <c r="ET43">
        <v>0</v>
      </c>
      <c r="EU43">
        <v>0</v>
      </c>
      <c r="EV43">
        <v>0</v>
      </c>
      <c r="EW43">
        <v>1</v>
      </c>
      <c r="EX43">
        <v>0</v>
      </c>
      <c r="EY43">
        <v>0</v>
      </c>
      <c r="EZ43">
        <v>0</v>
      </c>
      <c r="FA43">
        <v>0</v>
      </c>
      <c r="FB43">
        <v>1</v>
      </c>
      <c r="FC43">
        <v>0</v>
      </c>
      <c r="FD43">
        <v>0</v>
      </c>
      <c r="FE43">
        <v>0</v>
      </c>
      <c r="FF43">
        <v>1</v>
      </c>
      <c r="FG43">
        <v>1</v>
      </c>
      <c r="FH43">
        <v>0</v>
      </c>
      <c r="FI43">
        <v>0</v>
      </c>
      <c r="FJ43">
        <v>0</v>
      </c>
      <c r="FK43">
        <v>0</v>
      </c>
      <c r="FL43">
        <v>0</v>
      </c>
      <c r="FM43">
        <v>1</v>
      </c>
      <c r="FN43">
        <v>0</v>
      </c>
      <c r="FO43">
        <v>0</v>
      </c>
      <c r="FP43">
        <v>0</v>
      </c>
      <c r="FQ43">
        <v>1</v>
      </c>
      <c r="FR43">
        <v>0</v>
      </c>
      <c r="FS43">
        <v>0</v>
      </c>
      <c r="FT43">
        <v>1</v>
      </c>
      <c r="FU43">
        <v>0</v>
      </c>
      <c r="FV43">
        <v>0</v>
      </c>
      <c r="FW43">
        <v>0</v>
      </c>
      <c r="FX43">
        <v>0</v>
      </c>
      <c r="FY43">
        <v>0</v>
      </c>
      <c r="FZ43">
        <v>0</v>
      </c>
      <c r="GA43">
        <v>0</v>
      </c>
      <c r="GB43">
        <v>0</v>
      </c>
      <c r="GC43">
        <v>1</v>
      </c>
      <c r="GD43">
        <v>1</v>
      </c>
      <c r="GE43">
        <v>0</v>
      </c>
      <c r="GF43">
        <v>0</v>
      </c>
      <c r="GG43">
        <v>0</v>
      </c>
      <c r="GH43">
        <v>0</v>
      </c>
      <c r="GI43">
        <v>2</v>
      </c>
      <c r="GJ43" s="1">
        <v>45050.761805555558</v>
      </c>
      <c r="GK43">
        <v>1</v>
      </c>
      <c r="GL43">
        <v>2</v>
      </c>
      <c r="GM43">
        <v>3</v>
      </c>
      <c r="GN43">
        <v>3</v>
      </c>
      <c r="GO43">
        <v>3</v>
      </c>
      <c r="GP43">
        <v>3</v>
      </c>
      <c r="GQ43">
        <v>3</v>
      </c>
      <c r="GR43">
        <v>2</v>
      </c>
      <c r="GS43">
        <v>3</v>
      </c>
      <c r="GT43">
        <v>2</v>
      </c>
      <c r="GU43">
        <v>2</v>
      </c>
      <c r="GV43">
        <v>2</v>
      </c>
      <c r="GW43">
        <v>3</v>
      </c>
      <c r="GX43">
        <v>2</v>
      </c>
      <c r="GY43">
        <v>2</v>
      </c>
      <c r="GZ43">
        <v>2</v>
      </c>
      <c r="HA43">
        <v>3</v>
      </c>
      <c r="HB43">
        <v>3</v>
      </c>
      <c r="HC43">
        <v>15</v>
      </c>
      <c r="HD43">
        <v>13</v>
      </c>
      <c r="HE43">
        <v>39</v>
      </c>
      <c r="HF43">
        <v>2</v>
      </c>
      <c r="HG43" s="1">
        <v>45050.762499999997</v>
      </c>
      <c r="HH43">
        <v>1</v>
      </c>
      <c r="HI43">
        <v>2</v>
      </c>
      <c r="HJ43">
        <v>5</v>
      </c>
      <c r="HK43">
        <v>2</v>
      </c>
      <c r="HL43" s="1">
        <v>45064.588194444441</v>
      </c>
      <c r="HM43">
        <v>0</v>
      </c>
      <c r="HN43">
        <v>1</v>
      </c>
      <c r="HO43">
        <v>1</v>
      </c>
      <c r="HP43">
        <v>1</v>
      </c>
      <c r="HQ43">
        <v>0</v>
      </c>
      <c r="HR43">
        <v>0</v>
      </c>
      <c r="HS43">
        <v>1</v>
      </c>
      <c r="HT43">
        <v>0</v>
      </c>
      <c r="HU43">
        <v>0</v>
      </c>
      <c r="HV43">
        <v>0</v>
      </c>
      <c r="HW43">
        <v>0</v>
      </c>
      <c r="HX43">
        <v>0</v>
      </c>
      <c r="HY43">
        <v>0</v>
      </c>
      <c r="HZ43">
        <v>0</v>
      </c>
      <c r="IA43">
        <v>2</v>
      </c>
      <c r="IB43">
        <v>1</v>
      </c>
      <c r="IC43">
        <v>0</v>
      </c>
      <c r="ID43">
        <v>0</v>
      </c>
      <c r="IE43">
        <v>0</v>
      </c>
      <c r="IF43">
        <v>0</v>
      </c>
      <c r="IG43">
        <v>0</v>
      </c>
      <c r="IH43">
        <v>7</v>
      </c>
      <c r="II43">
        <v>2</v>
      </c>
      <c r="IJ43" s="1">
        <v>45064.591666666667</v>
      </c>
      <c r="IK43">
        <v>1</v>
      </c>
      <c r="IL43">
        <v>1</v>
      </c>
      <c r="IM43">
        <v>0</v>
      </c>
      <c r="IN43">
        <v>1</v>
      </c>
      <c r="IO43">
        <v>0</v>
      </c>
      <c r="IP43">
        <v>0</v>
      </c>
      <c r="IQ43">
        <v>1</v>
      </c>
      <c r="IR43">
        <v>1</v>
      </c>
      <c r="IS43">
        <v>0</v>
      </c>
      <c r="IT43">
        <v>0</v>
      </c>
      <c r="IU43">
        <v>1</v>
      </c>
      <c r="IV43">
        <v>1</v>
      </c>
      <c r="IW43">
        <v>1</v>
      </c>
      <c r="IX43">
        <v>1</v>
      </c>
      <c r="IY43">
        <v>0</v>
      </c>
      <c r="IZ43">
        <v>0</v>
      </c>
      <c r="JA43">
        <v>0</v>
      </c>
      <c r="JB43">
        <v>0</v>
      </c>
      <c r="JC43">
        <v>0</v>
      </c>
      <c r="JD43">
        <v>0</v>
      </c>
      <c r="JE43" t="s">
        <v>457</v>
      </c>
      <c r="JF43">
        <v>3</v>
      </c>
      <c r="JG43">
        <v>2</v>
      </c>
      <c r="JH43">
        <v>1</v>
      </c>
      <c r="JI43">
        <v>0</v>
      </c>
      <c r="JJ43">
        <v>1</v>
      </c>
      <c r="JK43">
        <v>0</v>
      </c>
      <c r="JL43" t="s">
        <v>458</v>
      </c>
      <c r="JM43" t="s">
        <v>459</v>
      </c>
      <c r="JN43">
        <v>9</v>
      </c>
      <c r="JO43">
        <v>9</v>
      </c>
      <c r="JP43">
        <v>1</v>
      </c>
      <c r="JQ43">
        <v>2</v>
      </c>
      <c r="JR43" s="1">
        <v>45064.592361111114</v>
      </c>
      <c r="JS43">
        <v>0</v>
      </c>
      <c r="JT43">
        <v>0</v>
      </c>
      <c r="JU43">
        <v>7</v>
      </c>
      <c r="JV43">
        <v>7</v>
      </c>
      <c r="JW43">
        <v>2</v>
      </c>
      <c r="JX43" s="1">
        <v>45064.593055555553</v>
      </c>
      <c r="JY43">
        <v>66.099999999999994</v>
      </c>
      <c r="JZ43">
        <v>2.4</v>
      </c>
      <c r="KI43">
        <v>4</v>
      </c>
      <c r="UQ43">
        <v>4</v>
      </c>
      <c r="WQ43">
        <v>4</v>
      </c>
      <c r="XG43">
        <v>5</v>
      </c>
      <c r="YQ43">
        <v>2</v>
      </c>
      <c r="YR43" s="1">
        <v>45064.59375</v>
      </c>
      <c r="YS43">
        <v>4</v>
      </c>
      <c r="YT43">
        <v>1</v>
      </c>
      <c r="YU43">
        <v>1</v>
      </c>
      <c r="YV43">
        <v>2</v>
      </c>
      <c r="YW43">
        <v>1</v>
      </c>
      <c r="YX43">
        <v>1</v>
      </c>
      <c r="YY43">
        <v>1</v>
      </c>
      <c r="YZ43">
        <v>1</v>
      </c>
      <c r="ZA43">
        <v>2</v>
      </c>
      <c r="ZB43">
        <v>1</v>
      </c>
      <c r="ZC43">
        <v>1</v>
      </c>
      <c r="ZD43">
        <v>2</v>
      </c>
      <c r="ZE43">
        <v>1</v>
      </c>
      <c r="ZF43">
        <v>1</v>
      </c>
      <c r="ZG43">
        <v>1</v>
      </c>
      <c r="ZH43">
        <v>2</v>
      </c>
      <c r="ZI43">
        <v>2</v>
      </c>
      <c r="ZJ43">
        <v>1</v>
      </c>
      <c r="ZK43">
        <v>2</v>
      </c>
      <c r="ZL43">
        <v>1</v>
      </c>
      <c r="ZM43">
        <v>18</v>
      </c>
      <c r="ZN43">
        <v>11</v>
      </c>
      <c r="ZO43">
        <v>2</v>
      </c>
      <c r="ZP43" s="1">
        <v>45064.594444444447</v>
      </c>
      <c r="ZQ43">
        <v>0</v>
      </c>
      <c r="ZR43">
        <v>1</v>
      </c>
      <c r="ZS43">
        <v>0</v>
      </c>
      <c r="ZT43">
        <v>0</v>
      </c>
      <c r="ZU43">
        <v>0</v>
      </c>
      <c r="ZV43">
        <v>0</v>
      </c>
      <c r="ZW43">
        <v>0</v>
      </c>
      <c r="ZX43">
        <v>0</v>
      </c>
      <c r="ZY43">
        <v>0</v>
      </c>
      <c r="ZZ43">
        <v>0</v>
      </c>
      <c r="AAA43">
        <v>0</v>
      </c>
      <c r="AAB43">
        <v>0</v>
      </c>
      <c r="AAC43">
        <v>1</v>
      </c>
      <c r="AAD43">
        <v>0</v>
      </c>
      <c r="AAE43">
        <v>0</v>
      </c>
      <c r="AAF43">
        <v>1</v>
      </c>
      <c r="AAG43">
        <v>0</v>
      </c>
      <c r="AAH43">
        <v>0</v>
      </c>
      <c r="AAI43">
        <v>2</v>
      </c>
      <c r="AAJ43">
        <v>1</v>
      </c>
      <c r="AAK43">
        <v>0</v>
      </c>
      <c r="AAL43">
        <v>3</v>
      </c>
      <c r="AAM43">
        <v>2</v>
      </c>
      <c r="AAN43" s="1">
        <v>45064.595138888886</v>
      </c>
      <c r="AAO43">
        <v>1</v>
      </c>
      <c r="AAP43">
        <v>6</v>
      </c>
      <c r="AAQ43">
        <v>0</v>
      </c>
      <c r="AAR43">
        <v>4</v>
      </c>
      <c r="AAS43">
        <v>0</v>
      </c>
      <c r="AAT43">
        <v>12</v>
      </c>
      <c r="AAU43">
        <v>5</v>
      </c>
      <c r="AAV43">
        <v>5</v>
      </c>
      <c r="AAW43">
        <v>5</v>
      </c>
      <c r="AAX43">
        <v>5</v>
      </c>
      <c r="AAY43">
        <v>5</v>
      </c>
      <c r="AAZ43">
        <v>2</v>
      </c>
      <c r="ABA43">
        <v>5</v>
      </c>
      <c r="ABB43">
        <v>0</v>
      </c>
      <c r="ABC43">
        <v>0</v>
      </c>
      <c r="ABD43">
        <v>7.5</v>
      </c>
      <c r="ABE43">
        <v>4.5714285710000002</v>
      </c>
      <c r="ABF43">
        <v>2</v>
      </c>
      <c r="ABG43" s="1">
        <v>45064.59652777778</v>
      </c>
      <c r="AEG43">
        <v>0</v>
      </c>
      <c r="AEH43">
        <v>0</v>
      </c>
      <c r="AEI43">
        <v>2</v>
      </c>
      <c r="AEJ43">
        <v>0</v>
      </c>
      <c r="AEK43">
        <v>0</v>
      </c>
      <c r="AEL43">
        <v>0</v>
      </c>
      <c r="AEM43">
        <v>0</v>
      </c>
      <c r="AEN43">
        <v>1</v>
      </c>
      <c r="AEO43">
        <v>0</v>
      </c>
      <c r="AEP43">
        <v>0</v>
      </c>
      <c r="AEQ43">
        <v>0</v>
      </c>
      <c r="AER43">
        <v>0</v>
      </c>
      <c r="AES43">
        <v>1</v>
      </c>
      <c r="AET43">
        <v>0</v>
      </c>
      <c r="AEU43">
        <v>0</v>
      </c>
      <c r="AEV43">
        <v>0</v>
      </c>
      <c r="AEW43">
        <v>0</v>
      </c>
      <c r="AEX43">
        <v>0</v>
      </c>
      <c r="AEY43">
        <v>1</v>
      </c>
      <c r="AEZ43">
        <v>0</v>
      </c>
      <c r="AFA43">
        <v>0</v>
      </c>
      <c r="AFB43">
        <v>1</v>
      </c>
      <c r="AFC43">
        <v>0</v>
      </c>
      <c r="AFD43">
        <v>0</v>
      </c>
      <c r="AFE43">
        <v>0</v>
      </c>
      <c r="AFF43">
        <v>0</v>
      </c>
      <c r="AFG43">
        <v>0</v>
      </c>
      <c r="AFH43">
        <v>0</v>
      </c>
      <c r="AFI43">
        <v>3</v>
      </c>
      <c r="AFJ43">
        <v>0</v>
      </c>
      <c r="AFK43">
        <v>0</v>
      </c>
      <c r="AFL43">
        <v>0</v>
      </c>
      <c r="AFM43">
        <v>0</v>
      </c>
      <c r="AFN43">
        <v>5</v>
      </c>
      <c r="AFO43">
        <v>3</v>
      </c>
      <c r="AFP43">
        <v>1</v>
      </c>
      <c r="AFQ43">
        <v>7</v>
      </c>
      <c r="AFR43">
        <v>2</v>
      </c>
      <c r="AFS43" s="1">
        <v>45064.597222222219</v>
      </c>
      <c r="AFT43">
        <v>3</v>
      </c>
      <c r="AFU43">
        <v>3</v>
      </c>
      <c r="AFV43">
        <v>1</v>
      </c>
      <c r="AFW43">
        <v>1</v>
      </c>
      <c r="AFX43">
        <v>4</v>
      </c>
      <c r="AFY43">
        <v>1</v>
      </c>
      <c r="AFZ43">
        <v>1</v>
      </c>
      <c r="AGA43">
        <v>2</v>
      </c>
      <c r="AGB43">
        <v>1</v>
      </c>
      <c r="AGC43">
        <v>3</v>
      </c>
      <c r="AGD43">
        <v>2</v>
      </c>
      <c r="AGE43">
        <v>1</v>
      </c>
      <c r="AGF43">
        <v>1</v>
      </c>
      <c r="AGG43">
        <v>1</v>
      </c>
      <c r="AGH43">
        <v>2</v>
      </c>
      <c r="AGI43">
        <v>2</v>
      </c>
      <c r="AGJ43">
        <v>1</v>
      </c>
      <c r="AGK43">
        <v>1</v>
      </c>
      <c r="AGL43">
        <v>1</v>
      </c>
      <c r="AGM43">
        <v>1</v>
      </c>
      <c r="AGN43">
        <v>37</v>
      </c>
      <c r="AGO43">
        <v>2</v>
      </c>
      <c r="AGP43" s="1">
        <v>45064.597222222219</v>
      </c>
      <c r="AGQ43">
        <v>0</v>
      </c>
      <c r="AGV43">
        <v>0</v>
      </c>
      <c r="AGW43">
        <v>0</v>
      </c>
      <c r="AGX43">
        <v>0</v>
      </c>
      <c r="AGY43">
        <v>0</v>
      </c>
      <c r="AGZ43">
        <v>0</v>
      </c>
      <c r="AHB43">
        <v>2</v>
      </c>
      <c r="AHU43" t="s">
        <v>416</v>
      </c>
    </row>
    <row r="44" spans="1:905">
      <c r="A44">
        <v>203</v>
      </c>
      <c r="B44" t="s">
        <v>205</v>
      </c>
      <c r="C44" t="s">
        <v>460</v>
      </c>
      <c r="D44">
        <v>2</v>
      </c>
      <c r="E44">
        <v>2</v>
      </c>
      <c r="F44">
        <v>46</v>
      </c>
      <c r="G44">
        <v>64</v>
      </c>
      <c r="H44">
        <v>130</v>
      </c>
      <c r="I44">
        <v>0</v>
      </c>
      <c r="J44">
        <v>3</v>
      </c>
      <c r="L44" t="s">
        <v>461</v>
      </c>
      <c r="M44">
        <v>2</v>
      </c>
      <c r="N44" s="1">
        <v>45068.412499999999</v>
      </c>
      <c r="O44">
        <v>7</v>
      </c>
      <c r="P44">
        <v>0</v>
      </c>
      <c r="R44">
        <v>0</v>
      </c>
      <c r="S44">
        <v>1</v>
      </c>
      <c r="T44">
        <v>0</v>
      </c>
      <c r="U44">
        <v>0</v>
      </c>
      <c r="V44">
        <v>0</v>
      </c>
      <c r="W44">
        <v>0</v>
      </c>
      <c r="X44">
        <v>0</v>
      </c>
      <c r="Y44">
        <v>0</v>
      </c>
      <c r="Z44">
        <v>0</v>
      </c>
      <c r="AA44">
        <v>0</v>
      </c>
      <c r="AB44">
        <v>0</v>
      </c>
      <c r="AC44">
        <v>2</v>
      </c>
      <c r="AD44">
        <v>2</v>
      </c>
      <c r="AE44" s="1">
        <v>45068.413888888892</v>
      </c>
      <c r="AF44">
        <v>4</v>
      </c>
      <c r="AG44">
        <v>1</v>
      </c>
      <c r="AH44">
        <v>4</v>
      </c>
      <c r="AI44">
        <v>1</v>
      </c>
      <c r="AJ44">
        <v>1</v>
      </c>
      <c r="AK44">
        <v>3</v>
      </c>
      <c r="AL44">
        <v>3</v>
      </c>
      <c r="AM44">
        <v>1</v>
      </c>
      <c r="AN44">
        <v>2</v>
      </c>
      <c r="AO44">
        <v>4</v>
      </c>
      <c r="AP44">
        <v>1</v>
      </c>
      <c r="AQ44">
        <v>1</v>
      </c>
      <c r="AR44">
        <v>4</v>
      </c>
      <c r="AS44">
        <v>4</v>
      </c>
      <c r="AT44">
        <v>1</v>
      </c>
      <c r="AU44">
        <v>4</v>
      </c>
      <c r="AV44">
        <v>2</v>
      </c>
      <c r="AW44">
        <v>2</v>
      </c>
      <c r="AX44">
        <v>4</v>
      </c>
      <c r="AY44">
        <v>1</v>
      </c>
      <c r="AZ44">
        <v>25</v>
      </c>
      <c r="BA44">
        <v>2</v>
      </c>
      <c r="BB44" s="1">
        <v>45068.414583333331</v>
      </c>
      <c r="BC44">
        <v>12</v>
      </c>
      <c r="BD44">
        <v>2</v>
      </c>
      <c r="BE44">
        <v>1</v>
      </c>
      <c r="BI44" s="2">
        <v>45056</v>
      </c>
      <c r="BM44">
        <v>28</v>
      </c>
      <c r="BN44" t="s">
        <v>462</v>
      </c>
      <c r="BO44">
        <v>4</v>
      </c>
      <c r="BY44">
        <v>2</v>
      </c>
      <c r="BZ44" s="1">
        <v>45068.487500000003</v>
      </c>
      <c r="CA44">
        <v>3</v>
      </c>
      <c r="CB44">
        <v>2</v>
      </c>
      <c r="CC44">
        <v>3</v>
      </c>
      <c r="CD44">
        <v>3</v>
      </c>
      <c r="CE44">
        <v>4</v>
      </c>
      <c r="CF44">
        <v>4</v>
      </c>
      <c r="CG44">
        <v>3</v>
      </c>
      <c r="CH44">
        <v>4</v>
      </c>
      <c r="CI44">
        <v>4</v>
      </c>
      <c r="CJ44">
        <v>3</v>
      </c>
      <c r="CK44">
        <v>2</v>
      </c>
      <c r="CL44">
        <v>4</v>
      </c>
      <c r="CM44">
        <v>1</v>
      </c>
      <c r="CN44">
        <v>3</v>
      </c>
      <c r="CO44">
        <v>4</v>
      </c>
      <c r="CP44">
        <v>2</v>
      </c>
      <c r="CQ44">
        <v>3</v>
      </c>
      <c r="CR44">
        <v>3</v>
      </c>
      <c r="CS44">
        <v>3</v>
      </c>
      <c r="CT44">
        <v>4</v>
      </c>
      <c r="CU44">
        <v>13</v>
      </c>
      <c r="CV44">
        <v>12</v>
      </c>
      <c r="CW44">
        <v>18</v>
      </c>
      <c r="CX44">
        <v>43</v>
      </c>
      <c r="CY44">
        <v>21</v>
      </c>
      <c r="CZ44">
        <v>2</v>
      </c>
      <c r="DA44" s="1">
        <v>45068.489583333336</v>
      </c>
      <c r="DB44">
        <v>1</v>
      </c>
      <c r="DC44">
        <v>0</v>
      </c>
      <c r="DD44">
        <v>0</v>
      </c>
      <c r="DE44">
        <v>0</v>
      </c>
      <c r="DF44">
        <v>0</v>
      </c>
      <c r="DG44">
        <v>0</v>
      </c>
      <c r="DH44">
        <v>0</v>
      </c>
      <c r="DI44">
        <v>0</v>
      </c>
      <c r="DJ44">
        <v>0</v>
      </c>
      <c r="DK44">
        <v>1</v>
      </c>
      <c r="DL44">
        <v>1</v>
      </c>
      <c r="DM44">
        <v>0</v>
      </c>
      <c r="DN44">
        <v>0</v>
      </c>
      <c r="DO44">
        <v>0</v>
      </c>
      <c r="DP44">
        <v>0</v>
      </c>
      <c r="DQ44">
        <v>0</v>
      </c>
      <c r="DR44">
        <v>0</v>
      </c>
      <c r="DS44">
        <v>1</v>
      </c>
      <c r="DT44">
        <v>0</v>
      </c>
      <c r="DU44">
        <v>0</v>
      </c>
      <c r="DV44">
        <v>0</v>
      </c>
      <c r="DW44">
        <v>0</v>
      </c>
      <c r="DX44">
        <v>0</v>
      </c>
      <c r="DY44">
        <v>0</v>
      </c>
      <c r="DZ44">
        <v>1</v>
      </c>
      <c r="EA44">
        <v>0</v>
      </c>
      <c r="EB44">
        <v>0</v>
      </c>
      <c r="EC44">
        <v>1</v>
      </c>
      <c r="ED44">
        <v>0</v>
      </c>
      <c r="EE44">
        <v>0</v>
      </c>
      <c r="EF44">
        <v>0</v>
      </c>
      <c r="EG44">
        <v>0</v>
      </c>
      <c r="EH44">
        <v>1</v>
      </c>
      <c r="EI44">
        <v>0</v>
      </c>
      <c r="EJ44">
        <v>0</v>
      </c>
      <c r="EK44">
        <v>1</v>
      </c>
      <c r="EL44">
        <v>0</v>
      </c>
      <c r="EM44">
        <v>0</v>
      </c>
      <c r="EN44">
        <v>0</v>
      </c>
      <c r="EO44">
        <v>0</v>
      </c>
      <c r="EP44">
        <v>1</v>
      </c>
      <c r="EQ44">
        <v>0</v>
      </c>
      <c r="ER44">
        <v>0</v>
      </c>
      <c r="ES44">
        <v>0</v>
      </c>
      <c r="ET44">
        <v>0</v>
      </c>
      <c r="EU44">
        <v>0</v>
      </c>
      <c r="EV44">
        <v>0</v>
      </c>
      <c r="EW44">
        <v>1</v>
      </c>
      <c r="EX44">
        <v>0</v>
      </c>
      <c r="EY44">
        <v>0</v>
      </c>
      <c r="EZ44">
        <v>1</v>
      </c>
      <c r="FA44">
        <v>0</v>
      </c>
      <c r="FB44">
        <v>0</v>
      </c>
      <c r="FC44">
        <v>0</v>
      </c>
      <c r="FD44">
        <v>0</v>
      </c>
      <c r="FE44">
        <v>0</v>
      </c>
      <c r="FF44">
        <v>0</v>
      </c>
      <c r="FG44">
        <v>1</v>
      </c>
      <c r="FH44">
        <v>0</v>
      </c>
      <c r="FI44">
        <v>0</v>
      </c>
      <c r="FJ44">
        <v>0</v>
      </c>
      <c r="FK44">
        <v>0</v>
      </c>
      <c r="FL44">
        <v>1</v>
      </c>
      <c r="FM44">
        <v>0</v>
      </c>
      <c r="FN44">
        <v>0</v>
      </c>
      <c r="FO44">
        <v>0</v>
      </c>
      <c r="FP44">
        <v>0</v>
      </c>
      <c r="FQ44">
        <v>1</v>
      </c>
      <c r="FR44">
        <v>0</v>
      </c>
      <c r="FS44">
        <v>0</v>
      </c>
      <c r="FT44">
        <v>0</v>
      </c>
      <c r="FU44">
        <v>0</v>
      </c>
      <c r="FV44">
        <v>1</v>
      </c>
      <c r="FW44">
        <v>0</v>
      </c>
      <c r="FX44">
        <v>0</v>
      </c>
      <c r="FY44">
        <v>0</v>
      </c>
      <c r="FZ44">
        <v>0</v>
      </c>
      <c r="GA44">
        <v>0</v>
      </c>
      <c r="GB44">
        <v>0</v>
      </c>
      <c r="GC44">
        <v>1</v>
      </c>
      <c r="GD44">
        <v>0</v>
      </c>
      <c r="GE44">
        <v>0</v>
      </c>
      <c r="GF44">
        <v>0</v>
      </c>
      <c r="GG44">
        <v>0</v>
      </c>
      <c r="GH44">
        <v>1</v>
      </c>
      <c r="GI44">
        <v>2</v>
      </c>
      <c r="GJ44" s="1">
        <v>45068.489583333336</v>
      </c>
      <c r="GK44">
        <v>0</v>
      </c>
      <c r="HF44">
        <v>2</v>
      </c>
      <c r="HG44" s="1">
        <v>45068.490277777775</v>
      </c>
      <c r="HH44">
        <v>11</v>
      </c>
      <c r="HI44">
        <v>17</v>
      </c>
      <c r="HJ44">
        <v>15</v>
      </c>
      <c r="HK44">
        <v>2</v>
      </c>
      <c r="HL44" s="1">
        <v>45068.491666666669</v>
      </c>
      <c r="HM44">
        <v>0</v>
      </c>
      <c r="HN44">
        <v>0</v>
      </c>
      <c r="HO44">
        <v>0</v>
      </c>
      <c r="HP44">
        <v>0</v>
      </c>
      <c r="HQ44">
        <v>0</v>
      </c>
      <c r="HR44">
        <v>0</v>
      </c>
      <c r="HS44">
        <v>0</v>
      </c>
      <c r="HT44">
        <v>0</v>
      </c>
      <c r="HU44">
        <v>0</v>
      </c>
      <c r="HV44">
        <v>0</v>
      </c>
      <c r="HW44">
        <v>0</v>
      </c>
      <c r="HX44">
        <v>0</v>
      </c>
      <c r="HY44">
        <v>0</v>
      </c>
      <c r="HZ44">
        <v>0</v>
      </c>
      <c r="IA44">
        <v>0</v>
      </c>
      <c r="IB44">
        <v>0</v>
      </c>
      <c r="IC44">
        <v>0</v>
      </c>
      <c r="ID44">
        <v>0</v>
      </c>
      <c r="IE44">
        <v>0</v>
      </c>
      <c r="IF44">
        <v>0</v>
      </c>
      <c r="IG44">
        <v>0</v>
      </c>
      <c r="IH44">
        <v>0</v>
      </c>
      <c r="II44">
        <v>2</v>
      </c>
      <c r="IJ44" s="1">
        <v>45068.493055555555</v>
      </c>
      <c r="IK44">
        <v>0</v>
      </c>
      <c r="IL44">
        <v>0</v>
      </c>
      <c r="IM44">
        <v>0</v>
      </c>
      <c r="IN44">
        <v>0</v>
      </c>
      <c r="IO44">
        <v>0</v>
      </c>
      <c r="IP44">
        <v>0</v>
      </c>
      <c r="IQ44">
        <v>0</v>
      </c>
      <c r="IR44">
        <v>0</v>
      </c>
      <c r="IS44">
        <v>0</v>
      </c>
      <c r="IT44">
        <v>0</v>
      </c>
      <c r="IU44">
        <v>0</v>
      </c>
      <c r="IV44">
        <v>0</v>
      </c>
      <c r="IW44">
        <v>0</v>
      </c>
      <c r="IX44">
        <v>0</v>
      </c>
      <c r="IY44">
        <v>0</v>
      </c>
      <c r="IZ44">
        <v>0</v>
      </c>
      <c r="JA44">
        <v>0</v>
      </c>
      <c r="JB44">
        <v>0</v>
      </c>
      <c r="JC44">
        <v>1</v>
      </c>
      <c r="JD44">
        <v>0</v>
      </c>
      <c r="JE44" t="s">
        <v>463</v>
      </c>
      <c r="JF44">
        <v>0</v>
      </c>
      <c r="JG44">
        <v>0</v>
      </c>
      <c r="JH44">
        <v>1</v>
      </c>
      <c r="JI44">
        <v>0</v>
      </c>
      <c r="JJ44">
        <v>0</v>
      </c>
      <c r="JK44">
        <v>0</v>
      </c>
      <c r="JL44" t="s">
        <v>227</v>
      </c>
      <c r="JM44" t="s">
        <v>227</v>
      </c>
      <c r="JN44">
        <v>1</v>
      </c>
      <c r="JO44">
        <v>4</v>
      </c>
      <c r="JP44">
        <v>0</v>
      </c>
      <c r="JQ44">
        <v>2</v>
      </c>
      <c r="JR44" s="1">
        <v>45068.493055555555</v>
      </c>
      <c r="JS44">
        <v>0</v>
      </c>
      <c r="JT44">
        <v>0</v>
      </c>
      <c r="JU44">
        <v>0</v>
      </c>
      <c r="JV44">
        <v>0</v>
      </c>
      <c r="JW44">
        <v>2</v>
      </c>
      <c r="JX44" s="1">
        <v>45068.493750000001</v>
      </c>
      <c r="JY44">
        <v>42.3</v>
      </c>
      <c r="JZ44">
        <v>2.6</v>
      </c>
      <c r="KI44">
        <v>1</v>
      </c>
      <c r="UM44">
        <v>2</v>
      </c>
      <c r="UQ44">
        <v>1</v>
      </c>
      <c r="WQ44">
        <v>2</v>
      </c>
      <c r="YQ44">
        <v>2</v>
      </c>
      <c r="YR44" s="1">
        <v>45068.495138888888</v>
      </c>
      <c r="YS44">
        <v>5</v>
      </c>
      <c r="YT44">
        <v>1</v>
      </c>
      <c r="YU44">
        <v>4</v>
      </c>
      <c r="YV44">
        <v>1</v>
      </c>
      <c r="YW44">
        <v>5</v>
      </c>
      <c r="YX44">
        <v>1</v>
      </c>
      <c r="YY44">
        <v>1</v>
      </c>
      <c r="YZ44">
        <v>1</v>
      </c>
      <c r="ZA44">
        <v>4</v>
      </c>
      <c r="ZB44">
        <v>3</v>
      </c>
      <c r="ZC44">
        <v>1</v>
      </c>
      <c r="ZD44">
        <v>4</v>
      </c>
      <c r="ZE44">
        <v>1</v>
      </c>
      <c r="ZF44">
        <v>5</v>
      </c>
      <c r="ZG44">
        <v>1</v>
      </c>
      <c r="ZH44">
        <v>5</v>
      </c>
      <c r="ZI44">
        <v>5</v>
      </c>
      <c r="ZJ44">
        <v>1</v>
      </c>
      <c r="ZK44">
        <v>5</v>
      </c>
      <c r="ZL44">
        <v>1</v>
      </c>
      <c r="ZM44">
        <v>45</v>
      </c>
      <c r="ZN44">
        <v>10</v>
      </c>
      <c r="ZO44">
        <v>2</v>
      </c>
      <c r="ZP44" s="1">
        <v>45068.495833333334</v>
      </c>
      <c r="ZQ44">
        <v>0</v>
      </c>
      <c r="ZR44">
        <v>0</v>
      </c>
      <c r="ZS44">
        <v>0</v>
      </c>
      <c r="ZT44">
        <v>0</v>
      </c>
      <c r="ZU44">
        <v>0</v>
      </c>
      <c r="ZV44">
        <v>0</v>
      </c>
      <c r="ZW44">
        <v>0</v>
      </c>
      <c r="ZX44">
        <v>0</v>
      </c>
      <c r="ZY44">
        <v>0</v>
      </c>
      <c r="ZZ44">
        <v>0</v>
      </c>
      <c r="AAA44">
        <v>0</v>
      </c>
      <c r="AAB44">
        <v>0</v>
      </c>
      <c r="AAC44">
        <v>0</v>
      </c>
      <c r="AAD44">
        <v>0</v>
      </c>
      <c r="AAE44">
        <v>0</v>
      </c>
      <c r="AAF44">
        <v>0</v>
      </c>
      <c r="AAG44">
        <v>0</v>
      </c>
      <c r="AAH44">
        <v>0</v>
      </c>
      <c r="AAI44">
        <v>0</v>
      </c>
      <c r="AAJ44">
        <v>0</v>
      </c>
      <c r="AAK44">
        <v>0</v>
      </c>
      <c r="AAL44">
        <v>0</v>
      </c>
      <c r="AAM44">
        <v>2</v>
      </c>
      <c r="AAN44" s="1">
        <v>45068.495833333334</v>
      </c>
      <c r="AAO44">
        <v>0</v>
      </c>
      <c r="ABF44">
        <v>2</v>
      </c>
      <c r="ABG44" s="1">
        <v>45068.496527777781</v>
      </c>
      <c r="AEG44">
        <v>0</v>
      </c>
      <c r="AEH44">
        <v>0</v>
      </c>
      <c r="AEI44">
        <v>0</v>
      </c>
      <c r="AEJ44">
        <v>3</v>
      </c>
      <c r="AEK44">
        <v>0</v>
      </c>
      <c r="AEL44">
        <v>0</v>
      </c>
      <c r="AEM44">
        <v>0</v>
      </c>
      <c r="AEN44">
        <v>3</v>
      </c>
      <c r="AEO44">
        <v>0</v>
      </c>
      <c r="AEP44">
        <v>3</v>
      </c>
      <c r="AEQ44">
        <v>0</v>
      </c>
      <c r="AER44">
        <v>0</v>
      </c>
      <c r="AES44">
        <v>1</v>
      </c>
      <c r="AET44">
        <v>0</v>
      </c>
      <c r="AEU44">
        <v>0</v>
      </c>
      <c r="AEV44">
        <v>0</v>
      </c>
      <c r="AEW44">
        <v>0</v>
      </c>
      <c r="AEX44">
        <v>0</v>
      </c>
      <c r="AEY44">
        <v>0</v>
      </c>
      <c r="AEZ44">
        <v>0</v>
      </c>
      <c r="AFA44">
        <v>0</v>
      </c>
      <c r="AFB44">
        <v>0</v>
      </c>
      <c r="AFC44">
        <v>0</v>
      </c>
      <c r="AFD44">
        <v>0</v>
      </c>
      <c r="AFE44">
        <v>0</v>
      </c>
      <c r="AFF44">
        <v>3</v>
      </c>
      <c r="AFG44">
        <v>3</v>
      </c>
      <c r="AFH44">
        <v>0</v>
      </c>
      <c r="AFI44">
        <v>0</v>
      </c>
      <c r="AFJ44">
        <v>3</v>
      </c>
      <c r="AFK44">
        <v>0</v>
      </c>
      <c r="AFL44">
        <v>0</v>
      </c>
      <c r="AFM44">
        <v>0</v>
      </c>
      <c r="AFN44">
        <v>1</v>
      </c>
      <c r="AFO44">
        <v>3</v>
      </c>
      <c r="AFP44">
        <v>15</v>
      </c>
      <c r="AFQ44">
        <v>-11</v>
      </c>
      <c r="AFR44">
        <v>2</v>
      </c>
      <c r="AFS44" s="1">
        <v>45068.49722222222</v>
      </c>
      <c r="AFT44">
        <v>4</v>
      </c>
      <c r="AFU44">
        <v>4</v>
      </c>
      <c r="AFV44">
        <v>1</v>
      </c>
      <c r="AFW44">
        <v>1</v>
      </c>
      <c r="AFX44">
        <v>4</v>
      </c>
      <c r="AFY44">
        <v>1</v>
      </c>
      <c r="AFZ44">
        <v>1</v>
      </c>
      <c r="AGA44">
        <v>4</v>
      </c>
      <c r="AGB44">
        <v>1</v>
      </c>
      <c r="AGC44">
        <v>4</v>
      </c>
      <c r="AGD44">
        <v>4</v>
      </c>
      <c r="AGE44">
        <v>1</v>
      </c>
      <c r="AGF44">
        <v>1</v>
      </c>
      <c r="AGG44">
        <v>1</v>
      </c>
      <c r="AGH44">
        <v>4</v>
      </c>
      <c r="AGI44">
        <v>4</v>
      </c>
      <c r="AGJ44">
        <v>1</v>
      </c>
      <c r="AGK44">
        <v>1</v>
      </c>
      <c r="AGL44">
        <v>4</v>
      </c>
      <c r="AGM44">
        <v>4</v>
      </c>
      <c r="AGN44">
        <v>20</v>
      </c>
      <c r="AGO44">
        <v>2</v>
      </c>
      <c r="AGP44" s="1">
        <v>45068.49722222222</v>
      </c>
      <c r="AGQ44">
        <v>0</v>
      </c>
      <c r="AGV44">
        <v>0</v>
      </c>
      <c r="AGW44">
        <v>0</v>
      </c>
      <c r="AGX44">
        <v>0</v>
      </c>
      <c r="AGY44">
        <v>0</v>
      </c>
      <c r="AGZ44">
        <v>0</v>
      </c>
      <c r="AHB44">
        <v>2</v>
      </c>
      <c r="AHU44" t="s">
        <v>416</v>
      </c>
    </row>
    <row r="45" spans="1:905">
      <c r="A45">
        <v>204</v>
      </c>
      <c r="B45" t="s">
        <v>205</v>
      </c>
      <c r="C45" t="s">
        <v>464</v>
      </c>
      <c r="D45">
        <v>2</v>
      </c>
      <c r="E45">
        <v>2</v>
      </c>
      <c r="F45">
        <v>52</v>
      </c>
      <c r="G45">
        <v>66</v>
      </c>
      <c r="H45">
        <v>189</v>
      </c>
      <c r="I45">
        <v>0</v>
      </c>
      <c r="J45">
        <v>5</v>
      </c>
      <c r="L45" t="s">
        <v>465</v>
      </c>
      <c r="M45">
        <v>2</v>
      </c>
      <c r="N45" s="1">
        <v>45048.602777777778</v>
      </c>
      <c r="O45">
        <v>5</v>
      </c>
      <c r="P45">
        <v>0</v>
      </c>
      <c r="R45">
        <v>0</v>
      </c>
      <c r="S45">
        <v>0</v>
      </c>
      <c r="T45">
        <v>0</v>
      </c>
      <c r="U45">
        <v>0</v>
      </c>
      <c r="V45">
        <v>0</v>
      </c>
      <c r="W45">
        <v>0</v>
      </c>
      <c r="X45">
        <v>0</v>
      </c>
      <c r="Y45">
        <v>0</v>
      </c>
      <c r="Z45">
        <v>0</v>
      </c>
      <c r="AA45">
        <v>1</v>
      </c>
      <c r="AB45">
        <v>0</v>
      </c>
      <c r="AC45">
        <v>4</v>
      </c>
      <c r="AD45">
        <v>2</v>
      </c>
      <c r="AE45" s="1">
        <v>45048.603472222225</v>
      </c>
      <c r="AF45">
        <v>4</v>
      </c>
      <c r="AG45">
        <v>2</v>
      </c>
      <c r="AH45">
        <v>2</v>
      </c>
      <c r="AI45">
        <v>2</v>
      </c>
      <c r="AJ45">
        <v>2</v>
      </c>
      <c r="AK45">
        <v>2</v>
      </c>
      <c r="AL45">
        <v>4</v>
      </c>
      <c r="AM45">
        <v>2</v>
      </c>
      <c r="AN45">
        <v>1</v>
      </c>
      <c r="AO45">
        <v>4</v>
      </c>
      <c r="AP45">
        <v>1</v>
      </c>
      <c r="AQ45">
        <v>1</v>
      </c>
      <c r="AR45">
        <v>3</v>
      </c>
      <c r="AS45">
        <v>4</v>
      </c>
      <c r="AT45">
        <v>1</v>
      </c>
      <c r="AU45">
        <v>2</v>
      </c>
      <c r="AV45">
        <v>1</v>
      </c>
      <c r="AW45">
        <v>1</v>
      </c>
      <c r="AX45">
        <v>3</v>
      </c>
      <c r="AY45">
        <v>2</v>
      </c>
      <c r="AZ45">
        <v>33</v>
      </c>
      <c r="BA45">
        <v>2</v>
      </c>
      <c r="BB45" s="1">
        <v>45048.604861111111</v>
      </c>
      <c r="BC45">
        <v>11</v>
      </c>
      <c r="BD45">
        <v>2</v>
      </c>
      <c r="BE45">
        <v>4</v>
      </c>
      <c r="BI45" s="2">
        <v>43222</v>
      </c>
      <c r="BJ45">
        <v>5</v>
      </c>
      <c r="BK45">
        <v>2</v>
      </c>
      <c r="BM45">
        <v>28</v>
      </c>
      <c r="BN45">
        <v>6</v>
      </c>
      <c r="BO45">
        <v>2</v>
      </c>
      <c r="BY45">
        <v>2</v>
      </c>
      <c r="BZ45" s="1">
        <v>45048.606249999997</v>
      </c>
      <c r="CA45">
        <v>4</v>
      </c>
      <c r="CB45">
        <v>2</v>
      </c>
      <c r="CC45">
        <v>3</v>
      </c>
      <c r="CD45">
        <v>3</v>
      </c>
      <c r="CE45">
        <v>3</v>
      </c>
      <c r="CF45">
        <v>3</v>
      </c>
      <c r="CG45">
        <v>2</v>
      </c>
      <c r="CH45">
        <v>4</v>
      </c>
      <c r="CI45">
        <v>3</v>
      </c>
      <c r="CJ45">
        <v>3</v>
      </c>
      <c r="CK45">
        <v>1</v>
      </c>
      <c r="CL45">
        <v>3</v>
      </c>
      <c r="CM45">
        <v>3</v>
      </c>
      <c r="CN45">
        <v>3</v>
      </c>
      <c r="CO45">
        <v>2</v>
      </c>
      <c r="CP45">
        <v>3</v>
      </c>
      <c r="CQ45">
        <v>2</v>
      </c>
      <c r="CR45">
        <v>2</v>
      </c>
      <c r="CS45">
        <v>3</v>
      </c>
      <c r="CT45">
        <v>3</v>
      </c>
      <c r="CU45">
        <v>11</v>
      </c>
      <c r="CV45">
        <v>10</v>
      </c>
      <c r="CW45">
        <v>17</v>
      </c>
      <c r="CX45">
        <v>38</v>
      </c>
      <c r="CY45">
        <v>17</v>
      </c>
      <c r="CZ45">
        <v>2</v>
      </c>
      <c r="DA45" s="1">
        <v>45048.607638888891</v>
      </c>
      <c r="DB45">
        <v>0</v>
      </c>
      <c r="DC45">
        <v>0</v>
      </c>
      <c r="DD45">
        <v>0</v>
      </c>
      <c r="DE45">
        <v>0</v>
      </c>
      <c r="DF45">
        <v>1</v>
      </c>
      <c r="DG45">
        <v>0</v>
      </c>
      <c r="DH45">
        <v>0</v>
      </c>
      <c r="DI45">
        <v>0</v>
      </c>
      <c r="DJ45">
        <v>0</v>
      </c>
      <c r="DK45">
        <v>1</v>
      </c>
      <c r="DL45">
        <v>1</v>
      </c>
      <c r="DM45">
        <v>0</v>
      </c>
      <c r="DN45">
        <v>0</v>
      </c>
      <c r="DO45">
        <v>0</v>
      </c>
      <c r="DP45">
        <v>0</v>
      </c>
      <c r="DQ45">
        <v>1</v>
      </c>
      <c r="DR45">
        <v>0</v>
      </c>
      <c r="DS45">
        <v>0</v>
      </c>
      <c r="DT45">
        <v>0</v>
      </c>
      <c r="DU45">
        <v>0</v>
      </c>
      <c r="DV45">
        <v>0</v>
      </c>
      <c r="DW45">
        <v>0</v>
      </c>
      <c r="DX45">
        <v>0</v>
      </c>
      <c r="DY45">
        <v>0</v>
      </c>
      <c r="DZ45">
        <v>1</v>
      </c>
      <c r="EA45">
        <v>0</v>
      </c>
      <c r="EB45">
        <v>0</v>
      </c>
      <c r="EC45">
        <v>0</v>
      </c>
      <c r="ED45">
        <v>0</v>
      </c>
      <c r="EE45">
        <v>1</v>
      </c>
      <c r="EF45">
        <v>0</v>
      </c>
      <c r="EG45">
        <v>0</v>
      </c>
      <c r="EH45">
        <v>0</v>
      </c>
      <c r="EI45">
        <v>0</v>
      </c>
      <c r="EJ45">
        <v>1</v>
      </c>
      <c r="EK45">
        <v>1</v>
      </c>
      <c r="EL45">
        <v>0</v>
      </c>
      <c r="EM45">
        <v>0</v>
      </c>
      <c r="EN45">
        <v>0</v>
      </c>
      <c r="EO45">
        <v>0</v>
      </c>
      <c r="EP45">
        <v>0</v>
      </c>
      <c r="EQ45">
        <v>0</v>
      </c>
      <c r="ER45">
        <v>0</v>
      </c>
      <c r="ES45">
        <v>0</v>
      </c>
      <c r="ET45">
        <v>1</v>
      </c>
      <c r="EU45">
        <v>0</v>
      </c>
      <c r="EV45">
        <v>0</v>
      </c>
      <c r="EW45">
        <v>0</v>
      </c>
      <c r="EX45">
        <v>0</v>
      </c>
      <c r="EY45">
        <v>1</v>
      </c>
      <c r="EZ45">
        <v>0</v>
      </c>
      <c r="FA45">
        <v>0</v>
      </c>
      <c r="FB45">
        <v>0</v>
      </c>
      <c r="FC45">
        <v>0</v>
      </c>
      <c r="FD45">
        <v>1</v>
      </c>
      <c r="FE45">
        <v>1</v>
      </c>
      <c r="FF45">
        <v>0</v>
      </c>
      <c r="FG45">
        <v>0</v>
      </c>
      <c r="FH45">
        <v>0</v>
      </c>
      <c r="FI45">
        <v>0</v>
      </c>
      <c r="FJ45">
        <v>0</v>
      </c>
      <c r="FK45">
        <v>0</v>
      </c>
      <c r="FL45">
        <v>0</v>
      </c>
      <c r="FM45">
        <v>0</v>
      </c>
      <c r="FN45">
        <v>1</v>
      </c>
      <c r="FO45">
        <v>0</v>
      </c>
      <c r="FP45">
        <v>0</v>
      </c>
      <c r="FQ45">
        <v>0</v>
      </c>
      <c r="FR45">
        <v>0</v>
      </c>
      <c r="FS45">
        <v>1</v>
      </c>
      <c r="FT45">
        <v>1</v>
      </c>
      <c r="FU45">
        <v>1</v>
      </c>
      <c r="FV45">
        <v>0</v>
      </c>
      <c r="FW45">
        <v>0</v>
      </c>
      <c r="FX45">
        <v>0</v>
      </c>
      <c r="FY45">
        <v>0</v>
      </c>
      <c r="FZ45">
        <v>0</v>
      </c>
      <c r="GA45">
        <v>0</v>
      </c>
      <c r="GB45">
        <v>0</v>
      </c>
      <c r="GC45">
        <v>1</v>
      </c>
      <c r="GD45">
        <v>1</v>
      </c>
      <c r="GE45">
        <v>0</v>
      </c>
      <c r="GF45">
        <v>0</v>
      </c>
      <c r="GG45">
        <v>0</v>
      </c>
      <c r="GH45">
        <v>0</v>
      </c>
      <c r="GI45">
        <v>2</v>
      </c>
      <c r="GJ45" s="1">
        <v>45048.609722222223</v>
      </c>
      <c r="GK45">
        <v>1</v>
      </c>
      <c r="GL45">
        <v>1</v>
      </c>
      <c r="GM45">
        <v>1</v>
      </c>
      <c r="GN45">
        <v>2</v>
      </c>
      <c r="GO45">
        <v>1</v>
      </c>
      <c r="GP45">
        <v>1</v>
      </c>
      <c r="GQ45">
        <v>4</v>
      </c>
      <c r="GR45">
        <v>2</v>
      </c>
      <c r="GS45">
        <v>4</v>
      </c>
      <c r="GT45">
        <v>2</v>
      </c>
      <c r="GU45">
        <v>3</v>
      </c>
      <c r="GV45">
        <v>1</v>
      </c>
      <c r="GW45">
        <v>2</v>
      </c>
      <c r="GX45">
        <v>3</v>
      </c>
      <c r="GY45">
        <v>2</v>
      </c>
      <c r="GZ45">
        <v>2</v>
      </c>
      <c r="HA45">
        <v>2</v>
      </c>
      <c r="HB45">
        <v>3</v>
      </c>
      <c r="HC45">
        <v>13</v>
      </c>
      <c r="HD45">
        <v>12</v>
      </c>
      <c r="HE45">
        <v>38</v>
      </c>
      <c r="HF45">
        <v>2</v>
      </c>
      <c r="HG45" s="1">
        <v>45048.609722222223</v>
      </c>
      <c r="HH45">
        <v>2</v>
      </c>
      <c r="HI45">
        <v>4</v>
      </c>
      <c r="HJ45">
        <v>5</v>
      </c>
      <c r="HK45">
        <v>2</v>
      </c>
      <c r="HL45" s="1">
        <v>45062.591666666667</v>
      </c>
      <c r="HM45">
        <v>0</v>
      </c>
      <c r="HN45">
        <v>1</v>
      </c>
      <c r="HO45">
        <v>1</v>
      </c>
      <c r="HP45">
        <v>1</v>
      </c>
      <c r="HQ45">
        <v>0</v>
      </c>
      <c r="HR45">
        <v>0</v>
      </c>
      <c r="HS45">
        <v>1</v>
      </c>
      <c r="HT45">
        <v>1</v>
      </c>
      <c r="HU45">
        <v>0</v>
      </c>
      <c r="HV45">
        <v>1</v>
      </c>
      <c r="HW45">
        <v>0</v>
      </c>
      <c r="HX45">
        <v>1</v>
      </c>
      <c r="HY45">
        <v>0</v>
      </c>
      <c r="HZ45">
        <v>0</v>
      </c>
      <c r="IA45">
        <v>1</v>
      </c>
      <c r="IB45">
        <v>1</v>
      </c>
      <c r="IC45">
        <v>0</v>
      </c>
      <c r="ID45">
        <v>0</v>
      </c>
      <c r="IE45">
        <v>1</v>
      </c>
      <c r="IF45">
        <v>1</v>
      </c>
      <c r="IG45">
        <v>0</v>
      </c>
      <c r="IH45">
        <v>11</v>
      </c>
      <c r="II45">
        <v>2</v>
      </c>
      <c r="IJ45" s="1">
        <v>45062.601388888892</v>
      </c>
      <c r="IK45">
        <v>1</v>
      </c>
      <c r="IL45">
        <v>1</v>
      </c>
      <c r="IM45">
        <v>0</v>
      </c>
      <c r="IN45">
        <v>0</v>
      </c>
      <c r="IO45">
        <v>0</v>
      </c>
      <c r="IP45">
        <v>0</v>
      </c>
      <c r="IQ45">
        <v>1</v>
      </c>
      <c r="IR45">
        <v>1</v>
      </c>
      <c r="IS45">
        <v>1</v>
      </c>
      <c r="IT45">
        <v>1</v>
      </c>
      <c r="IU45">
        <v>1</v>
      </c>
      <c r="IV45">
        <v>1</v>
      </c>
      <c r="IW45">
        <v>0</v>
      </c>
      <c r="IX45">
        <v>0</v>
      </c>
      <c r="IY45">
        <v>0</v>
      </c>
      <c r="IZ45">
        <v>0</v>
      </c>
      <c r="JA45">
        <v>0</v>
      </c>
      <c r="JB45">
        <v>1</v>
      </c>
      <c r="JC45">
        <v>0</v>
      </c>
      <c r="JD45">
        <v>0</v>
      </c>
      <c r="JE45" t="s">
        <v>407</v>
      </c>
      <c r="JF45">
        <v>2</v>
      </c>
      <c r="JG45">
        <v>1</v>
      </c>
      <c r="JH45">
        <v>2</v>
      </c>
      <c r="JI45">
        <v>0</v>
      </c>
      <c r="JJ45">
        <v>1</v>
      </c>
      <c r="JK45">
        <v>1</v>
      </c>
      <c r="JL45" t="s">
        <v>466</v>
      </c>
      <c r="JM45" t="s">
        <v>467</v>
      </c>
      <c r="JN45">
        <v>9</v>
      </c>
      <c r="JO45">
        <v>8</v>
      </c>
      <c r="JP45">
        <v>2</v>
      </c>
      <c r="JQ45">
        <v>2</v>
      </c>
      <c r="JR45" s="1">
        <v>45062.602777777778</v>
      </c>
      <c r="JS45">
        <v>0</v>
      </c>
      <c r="JT45">
        <v>0</v>
      </c>
      <c r="JU45">
        <v>6</v>
      </c>
      <c r="JV45">
        <v>6</v>
      </c>
      <c r="JW45">
        <v>2</v>
      </c>
      <c r="JX45" s="1">
        <v>45062.602777777778</v>
      </c>
      <c r="JY45">
        <v>61.6</v>
      </c>
      <c r="JZ45">
        <v>2.5</v>
      </c>
      <c r="KI45">
        <v>4</v>
      </c>
      <c r="UA45">
        <v>4</v>
      </c>
      <c r="UQ45">
        <v>4</v>
      </c>
      <c r="XG45">
        <v>2</v>
      </c>
      <c r="YQ45">
        <v>2</v>
      </c>
      <c r="YR45" s="1">
        <v>45062.604861111111</v>
      </c>
      <c r="YS45">
        <v>3</v>
      </c>
      <c r="YT45">
        <v>2</v>
      </c>
      <c r="YU45">
        <v>2</v>
      </c>
      <c r="YV45">
        <v>3</v>
      </c>
      <c r="YW45">
        <v>3</v>
      </c>
      <c r="YX45">
        <v>1</v>
      </c>
      <c r="YY45">
        <v>3</v>
      </c>
      <c r="YZ45">
        <v>1</v>
      </c>
      <c r="ZA45">
        <v>3</v>
      </c>
      <c r="ZB45">
        <v>3</v>
      </c>
      <c r="ZC45">
        <v>1</v>
      </c>
      <c r="ZD45">
        <v>5</v>
      </c>
      <c r="ZE45">
        <v>1</v>
      </c>
      <c r="ZF45">
        <v>3</v>
      </c>
      <c r="ZG45">
        <v>4</v>
      </c>
      <c r="ZH45">
        <v>4</v>
      </c>
      <c r="ZI45">
        <v>2</v>
      </c>
      <c r="ZJ45">
        <v>1</v>
      </c>
      <c r="ZK45">
        <v>2</v>
      </c>
      <c r="ZL45">
        <v>3</v>
      </c>
      <c r="ZM45">
        <v>30</v>
      </c>
      <c r="ZN45">
        <v>20</v>
      </c>
      <c r="ZO45">
        <v>2</v>
      </c>
      <c r="ZP45" s="1">
        <v>45062.606249999997</v>
      </c>
      <c r="ZQ45">
        <v>1</v>
      </c>
      <c r="ZR45">
        <v>1</v>
      </c>
      <c r="ZS45">
        <v>1</v>
      </c>
      <c r="ZT45">
        <v>0</v>
      </c>
      <c r="ZU45">
        <v>0</v>
      </c>
      <c r="ZV45">
        <v>1</v>
      </c>
      <c r="ZW45">
        <v>0</v>
      </c>
      <c r="ZX45">
        <v>0</v>
      </c>
      <c r="ZY45">
        <v>0</v>
      </c>
      <c r="ZZ45">
        <v>0</v>
      </c>
      <c r="AAA45">
        <v>1</v>
      </c>
      <c r="AAB45">
        <v>0</v>
      </c>
      <c r="AAC45">
        <v>3</v>
      </c>
      <c r="AAD45">
        <v>1</v>
      </c>
      <c r="AAE45">
        <v>0</v>
      </c>
      <c r="AAF45">
        <v>3</v>
      </c>
      <c r="AAG45">
        <v>0</v>
      </c>
      <c r="AAH45">
        <v>1</v>
      </c>
      <c r="AAI45">
        <v>7</v>
      </c>
      <c r="AAJ45">
        <v>3</v>
      </c>
      <c r="AAK45">
        <v>3</v>
      </c>
      <c r="AAL45">
        <v>13</v>
      </c>
      <c r="AAM45">
        <v>2</v>
      </c>
      <c r="AAN45" s="1">
        <v>45062.607638888891</v>
      </c>
      <c r="AAO45">
        <v>1</v>
      </c>
      <c r="AAP45">
        <v>10</v>
      </c>
      <c r="AAQ45">
        <v>10</v>
      </c>
      <c r="AAR45">
        <v>9</v>
      </c>
      <c r="AAS45">
        <v>9</v>
      </c>
      <c r="AAT45">
        <v>16</v>
      </c>
      <c r="AAU45">
        <v>8</v>
      </c>
      <c r="AAV45">
        <v>8</v>
      </c>
      <c r="AAW45">
        <v>9</v>
      </c>
      <c r="AAX45">
        <v>9</v>
      </c>
      <c r="AAY45">
        <v>9</v>
      </c>
      <c r="AAZ45">
        <v>10</v>
      </c>
      <c r="ABA45">
        <v>7</v>
      </c>
      <c r="ABB45">
        <v>8</v>
      </c>
      <c r="ABC45">
        <v>0</v>
      </c>
      <c r="ABD45">
        <v>10</v>
      </c>
      <c r="ABE45">
        <v>9</v>
      </c>
      <c r="ABF45">
        <v>2</v>
      </c>
      <c r="ABG45" s="1">
        <v>45062.609722222223</v>
      </c>
      <c r="AEG45">
        <v>1</v>
      </c>
      <c r="AEH45">
        <v>0</v>
      </c>
      <c r="AEI45">
        <v>2</v>
      </c>
      <c r="AEJ45">
        <v>1</v>
      </c>
      <c r="AEK45">
        <v>0</v>
      </c>
      <c r="AEL45">
        <v>1</v>
      </c>
      <c r="AEM45">
        <v>0</v>
      </c>
      <c r="AEN45">
        <v>1</v>
      </c>
      <c r="AEO45">
        <v>0</v>
      </c>
      <c r="AEP45">
        <v>1</v>
      </c>
      <c r="AEQ45">
        <v>1</v>
      </c>
      <c r="AER45">
        <v>1</v>
      </c>
      <c r="AES45">
        <v>3</v>
      </c>
      <c r="AET45">
        <v>0</v>
      </c>
      <c r="AEU45">
        <v>1</v>
      </c>
      <c r="AEV45">
        <v>0</v>
      </c>
      <c r="AEW45">
        <v>0</v>
      </c>
      <c r="AEX45">
        <v>0</v>
      </c>
      <c r="AEY45">
        <v>3</v>
      </c>
      <c r="AEZ45">
        <v>0</v>
      </c>
      <c r="AFA45">
        <v>0</v>
      </c>
      <c r="AFB45">
        <v>1</v>
      </c>
      <c r="AFC45">
        <v>0</v>
      </c>
      <c r="AFD45">
        <v>0</v>
      </c>
      <c r="AFE45">
        <v>0</v>
      </c>
      <c r="AFF45">
        <v>1</v>
      </c>
      <c r="AFG45">
        <v>2</v>
      </c>
      <c r="AFH45">
        <v>0</v>
      </c>
      <c r="AFI45">
        <v>1</v>
      </c>
      <c r="AFJ45">
        <v>1</v>
      </c>
      <c r="AFK45">
        <v>3</v>
      </c>
      <c r="AFL45">
        <v>2</v>
      </c>
      <c r="AFM45">
        <v>0</v>
      </c>
      <c r="AFN45">
        <v>9</v>
      </c>
      <c r="AFO45">
        <v>2</v>
      </c>
      <c r="AFP45">
        <v>6</v>
      </c>
      <c r="AFQ45">
        <v>10</v>
      </c>
      <c r="AFR45">
        <v>2</v>
      </c>
      <c r="AFS45" s="1">
        <v>45062.61041666667</v>
      </c>
      <c r="AFT45">
        <v>4</v>
      </c>
      <c r="AFU45">
        <v>4</v>
      </c>
      <c r="AFV45">
        <v>2</v>
      </c>
      <c r="AFW45">
        <v>1</v>
      </c>
      <c r="AFX45">
        <v>3</v>
      </c>
      <c r="AFY45">
        <v>1</v>
      </c>
      <c r="AFZ45">
        <v>2</v>
      </c>
      <c r="AGA45">
        <v>2</v>
      </c>
      <c r="AGB45">
        <v>1</v>
      </c>
      <c r="AGC45">
        <v>3</v>
      </c>
      <c r="AGD45">
        <v>4</v>
      </c>
      <c r="AGE45">
        <v>1</v>
      </c>
      <c r="AGF45">
        <v>1</v>
      </c>
      <c r="AGG45">
        <v>1</v>
      </c>
      <c r="AGH45">
        <v>3</v>
      </c>
      <c r="AGI45">
        <v>3</v>
      </c>
      <c r="AGJ45">
        <v>2</v>
      </c>
      <c r="AGK45">
        <v>1</v>
      </c>
      <c r="AGL45">
        <v>3</v>
      </c>
      <c r="AGM45">
        <v>4</v>
      </c>
      <c r="AGN45">
        <v>30</v>
      </c>
      <c r="AGO45">
        <v>2</v>
      </c>
      <c r="AGP45" s="1">
        <v>45062.611111111109</v>
      </c>
      <c r="AGQ45">
        <v>1</v>
      </c>
      <c r="AGR45" t="s">
        <v>295</v>
      </c>
      <c r="AGS45" t="s">
        <v>296</v>
      </c>
      <c r="AGT45">
        <v>20</v>
      </c>
      <c r="AGU45">
        <v>25</v>
      </c>
      <c r="AGV45">
        <v>1</v>
      </c>
      <c r="AGW45">
        <v>1</v>
      </c>
      <c r="AGX45">
        <v>0</v>
      </c>
      <c r="AGY45">
        <v>0</v>
      </c>
      <c r="AGZ45">
        <v>0</v>
      </c>
      <c r="AHB45">
        <v>2</v>
      </c>
      <c r="AHU45" t="s">
        <v>416</v>
      </c>
    </row>
    <row r="46" spans="1:905">
      <c r="AZ46" t="s">
        <v>468</v>
      </c>
      <c r="HC46" s="4"/>
      <c r="HD46" s="4"/>
      <c r="HE46" s="4"/>
      <c r="JN46" s="4"/>
      <c r="JO46" s="4"/>
      <c r="JP46" s="4"/>
      <c r="JV46" s="4"/>
      <c r="ZM46" s="4"/>
      <c r="ZN46" s="4"/>
      <c r="AAI46" s="4"/>
      <c r="AAJ46" s="4"/>
      <c r="AAK46" s="4"/>
      <c r="AAL46" s="4"/>
      <c r="ABD46" s="4"/>
      <c r="ABE46" s="4"/>
      <c r="AFK46" s="4"/>
      <c r="AFL46" s="4"/>
      <c r="AFM46" s="4"/>
      <c r="AFN46" s="4"/>
      <c r="AFO46" s="4"/>
      <c r="AFP46" s="4"/>
      <c r="AFQ46" s="4"/>
      <c r="AGN46" s="4"/>
    </row>
  </sheetData>
  <phoneticPr fontId="18"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X51"/>
  <sheetViews>
    <sheetView tabSelected="1" topLeftCell="CG1" zoomScale="82" workbookViewId="0">
      <selection activeCell="CY47" sqref="CY47"/>
    </sheetView>
  </sheetViews>
  <sheetFormatPr defaultColWidth="10.90625" defaultRowHeight="15"/>
  <sheetData>
    <row r="1" spans="1:830">
      <c r="A1" t="s">
        <v>0</v>
      </c>
      <c r="B1" t="s">
        <v>2</v>
      </c>
      <c r="C1" t="s">
        <v>3</v>
      </c>
      <c r="D1" t="s">
        <v>4</v>
      </c>
      <c r="E1" t="s">
        <v>5</v>
      </c>
      <c r="F1" t="s">
        <v>6</v>
      </c>
      <c r="G1" t="s">
        <v>7</v>
      </c>
      <c r="H1" t="s">
        <v>8</v>
      </c>
      <c r="I1" t="s">
        <v>9</v>
      </c>
      <c r="J1" t="s">
        <v>10</v>
      </c>
      <c r="K1" t="s">
        <v>11</v>
      </c>
      <c r="L1" t="s">
        <v>12</v>
      </c>
      <c r="M1" t="s">
        <v>495</v>
      </c>
      <c r="N1" t="s">
        <v>13</v>
      </c>
      <c r="O1" t="s">
        <v>14</v>
      </c>
      <c r="P1" t="s">
        <v>15</v>
      </c>
      <c r="Q1" t="s">
        <v>16</v>
      </c>
      <c r="R1" t="s">
        <v>17</v>
      </c>
      <c r="S1" t="s">
        <v>18</v>
      </c>
      <c r="T1" t="s">
        <v>19</v>
      </c>
      <c r="U1" t="s">
        <v>20</v>
      </c>
      <c r="V1" t="s">
        <v>21</v>
      </c>
      <c r="W1" t="s">
        <v>22</v>
      </c>
      <c r="X1" t="s">
        <v>23</v>
      </c>
      <c r="Y1" t="s">
        <v>24</v>
      </c>
      <c r="Z1" t="s">
        <v>25</v>
      </c>
      <c r="AA1" t="s">
        <v>26</v>
      </c>
      <c r="AB1" t="s">
        <v>27</v>
      </c>
      <c r="AC1" t="s">
        <v>28</v>
      </c>
      <c r="AD1" t="s">
        <v>496</v>
      </c>
      <c r="AE1" s="5" t="s">
        <v>29</v>
      </c>
      <c r="AF1" t="s">
        <v>1214</v>
      </c>
      <c r="AG1" t="s">
        <v>30</v>
      </c>
      <c r="AH1" s="5" t="s">
        <v>31</v>
      </c>
      <c r="AI1" t="s">
        <v>1214</v>
      </c>
      <c r="AJ1" t="s">
        <v>32</v>
      </c>
      <c r="AK1" t="s">
        <v>33</v>
      </c>
      <c r="AL1" s="5" t="s">
        <v>34</v>
      </c>
      <c r="AM1" t="s">
        <v>1214</v>
      </c>
      <c r="AN1" s="5" t="s">
        <v>35</v>
      </c>
      <c r="AO1" t="s">
        <v>1214</v>
      </c>
      <c r="AP1" t="s">
        <v>36</v>
      </c>
      <c r="AQ1" t="s">
        <v>37</v>
      </c>
      <c r="AR1" s="5" t="s">
        <v>38</v>
      </c>
      <c r="AS1" t="s">
        <v>1214</v>
      </c>
      <c r="AT1" t="s">
        <v>39</v>
      </c>
      <c r="AU1" t="s">
        <v>40</v>
      </c>
      <c r="AV1" s="5" t="s">
        <v>41</v>
      </c>
      <c r="AW1" t="s">
        <v>1214</v>
      </c>
      <c r="AX1" s="5" t="s">
        <v>42</v>
      </c>
      <c r="AY1" t="s">
        <v>1214</v>
      </c>
      <c r="AZ1" t="s">
        <v>43</v>
      </c>
      <c r="BA1" s="5" t="s">
        <v>44</v>
      </c>
      <c r="BB1" t="s">
        <v>1214</v>
      </c>
      <c r="BC1" t="s">
        <v>45</v>
      </c>
      <c r="BD1" t="s">
        <v>46</v>
      </c>
      <c r="BE1" s="5" t="s">
        <v>47</v>
      </c>
      <c r="BF1" t="s">
        <v>1214</v>
      </c>
      <c r="BG1" t="s">
        <v>48</v>
      </c>
      <c r="BH1" s="6" t="s">
        <v>49</v>
      </c>
      <c r="BI1" t="s">
        <v>50</v>
      </c>
      <c r="BJ1" t="s">
        <v>497</v>
      </c>
      <c r="BK1" t="s">
        <v>51</v>
      </c>
      <c r="BL1" t="s">
        <v>52</v>
      </c>
      <c r="BM1" t="s">
        <v>53</v>
      </c>
      <c r="BN1" t="s">
        <v>54</v>
      </c>
      <c r="BO1" t="s">
        <v>55</v>
      </c>
      <c r="BP1" t="s">
        <v>56</v>
      </c>
      <c r="BQ1" t="s">
        <v>57</v>
      </c>
      <c r="BR1" t="s">
        <v>58</v>
      </c>
      <c r="BS1" t="s">
        <v>59</v>
      </c>
      <c r="BT1" t="s">
        <v>60</v>
      </c>
      <c r="BU1" t="s">
        <v>61</v>
      </c>
      <c r="BV1" t="s">
        <v>62</v>
      </c>
      <c r="BW1" t="s">
        <v>63</v>
      </c>
      <c r="BX1" t="s">
        <v>73</v>
      </c>
      <c r="BY1" t="s">
        <v>498</v>
      </c>
      <c r="BZ1" t="s">
        <v>74</v>
      </c>
      <c r="CA1" t="s">
        <v>75</v>
      </c>
      <c r="CB1" t="s">
        <v>76</v>
      </c>
      <c r="CC1" t="s">
        <v>77</v>
      </c>
      <c r="CD1" t="s">
        <v>78</v>
      </c>
      <c r="CE1" t="s">
        <v>79</v>
      </c>
      <c r="CF1" t="s">
        <v>80</v>
      </c>
      <c r="CG1" t="s">
        <v>81</v>
      </c>
      <c r="CH1" t="s">
        <v>82</v>
      </c>
      <c r="CI1" t="s">
        <v>83</v>
      </c>
      <c r="CJ1" t="s">
        <v>84</v>
      </c>
      <c r="CK1" t="s">
        <v>85</v>
      </c>
      <c r="CL1" s="5" t="s">
        <v>86</v>
      </c>
      <c r="CM1" t="s">
        <v>1214</v>
      </c>
      <c r="CN1" t="s">
        <v>87</v>
      </c>
      <c r="CO1" t="s">
        <v>88</v>
      </c>
      <c r="CP1" t="s">
        <v>89</v>
      </c>
      <c r="CQ1" t="s">
        <v>90</v>
      </c>
      <c r="CR1" s="5" t="s">
        <v>91</v>
      </c>
      <c r="CS1" t="s">
        <v>1214</v>
      </c>
      <c r="CT1" t="s">
        <v>92</v>
      </c>
      <c r="CU1" t="s">
        <v>93</v>
      </c>
      <c r="CV1" s="6" t="s">
        <v>1217</v>
      </c>
      <c r="CW1" s="6" t="s">
        <v>1218</v>
      </c>
      <c r="CX1" s="6" t="s">
        <v>1219</v>
      </c>
      <c r="CY1" s="6" t="s">
        <v>1220</v>
      </c>
      <c r="CZ1" s="6" t="s">
        <v>1221</v>
      </c>
      <c r="DA1" t="s">
        <v>99</v>
      </c>
      <c r="DB1" t="s">
        <v>499</v>
      </c>
      <c r="DC1" t="s">
        <v>100</v>
      </c>
      <c r="DD1" t="s">
        <v>101</v>
      </c>
      <c r="DE1" t="s">
        <v>102</v>
      </c>
      <c r="DF1" t="s">
        <v>103</v>
      </c>
      <c r="DG1" t="s">
        <v>104</v>
      </c>
      <c r="DH1" t="s">
        <v>105</v>
      </c>
      <c r="DI1" t="s">
        <v>106</v>
      </c>
      <c r="DJ1" t="s">
        <v>107</v>
      </c>
      <c r="DK1" t="s">
        <v>108</v>
      </c>
      <c r="DL1" t="s">
        <v>109</v>
      </c>
      <c r="DM1" t="s">
        <v>110</v>
      </c>
      <c r="DN1" t="s">
        <v>111</v>
      </c>
      <c r="DO1" t="s">
        <v>112</v>
      </c>
      <c r="DP1" t="s">
        <v>113</v>
      </c>
      <c r="DQ1" t="s">
        <v>114</v>
      </c>
      <c r="DR1" t="s">
        <v>115</v>
      </c>
      <c r="DS1" t="s">
        <v>116</v>
      </c>
      <c r="DT1" t="s">
        <v>117</v>
      </c>
      <c r="DU1" t="s">
        <v>118</v>
      </c>
      <c r="DV1" t="s">
        <v>119</v>
      </c>
      <c r="DW1" t="s">
        <v>120</v>
      </c>
      <c r="DX1" t="s">
        <v>121</v>
      </c>
      <c r="DY1" t="s">
        <v>122</v>
      </c>
      <c r="DZ1" t="s">
        <v>123</v>
      </c>
      <c r="EA1" t="s">
        <v>124</v>
      </c>
      <c r="EB1" t="s">
        <v>125</v>
      </c>
      <c r="EC1" t="s">
        <v>126</v>
      </c>
      <c r="ED1" t="s">
        <v>127</v>
      </c>
      <c r="EE1" t="s">
        <v>128</v>
      </c>
      <c r="EF1" t="s">
        <v>129</v>
      </c>
      <c r="EG1" t="s">
        <v>130</v>
      </c>
      <c r="EH1" t="s">
        <v>131</v>
      </c>
      <c r="EI1" t="s">
        <v>132</v>
      </c>
      <c r="EJ1" t="s">
        <v>133</v>
      </c>
      <c r="EK1" t="s">
        <v>134</v>
      </c>
      <c r="EL1" t="s">
        <v>135</v>
      </c>
      <c r="EM1" t="s">
        <v>136</v>
      </c>
      <c r="EN1" t="s">
        <v>137</v>
      </c>
      <c r="EO1" t="s">
        <v>138</v>
      </c>
      <c r="EP1" t="s">
        <v>139</v>
      </c>
      <c r="EQ1" t="s">
        <v>140</v>
      </c>
      <c r="ER1" t="s">
        <v>141</v>
      </c>
      <c r="ES1" t="s">
        <v>142</v>
      </c>
      <c r="ET1" t="s">
        <v>143</v>
      </c>
      <c r="EU1" t="s">
        <v>144</v>
      </c>
      <c r="EV1" t="s">
        <v>145</v>
      </c>
      <c r="EW1" t="s">
        <v>146</v>
      </c>
      <c r="EX1" t="s">
        <v>147</v>
      </c>
      <c r="EY1" t="s">
        <v>148</v>
      </c>
      <c r="EZ1" t="s">
        <v>149</v>
      </c>
      <c r="FA1" t="s">
        <v>150</v>
      </c>
      <c r="FB1" t="s">
        <v>151</v>
      </c>
      <c r="FC1" t="s">
        <v>152</v>
      </c>
      <c r="FD1" t="s">
        <v>153</v>
      </c>
      <c r="FE1" t="s">
        <v>154</v>
      </c>
      <c r="FF1" t="s">
        <v>155</v>
      </c>
      <c r="FG1" t="s">
        <v>156</v>
      </c>
      <c r="FH1" t="s">
        <v>157</v>
      </c>
      <c r="FI1" t="s">
        <v>158</v>
      </c>
      <c r="FJ1" t="s">
        <v>159</v>
      </c>
      <c r="FK1" t="s">
        <v>160</v>
      </c>
      <c r="FL1" t="s">
        <v>161</v>
      </c>
      <c r="FM1" t="s">
        <v>162</v>
      </c>
      <c r="FN1" t="s">
        <v>163</v>
      </c>
      <c r="FO1" t="s">
        <v>164</v>
      </c>
      <c r="FP1" t="s">
        <v>165</v>
      </c>
      <c r="FQ1" t="s">
        <v>166</v>
      </c>
      <c r="FR1" t="s">
        <v>167</v>
      </c>
      <c r="FS1" t="s">
        <v>168</v>
      </c>
      <c r="FT1" t="s">
        <v>169</v>
      </c>
      <c r="FU1" t="s">
        <v>170</v>
      </c>
      <c r="FV1" t="s">
        <v>171</v>
      </c>
      <c r="FW1" t="s">
        <v>172</v>
      </c>
      <c r="FX1" t="s">
        <v>173</v>
      </c>
      <c r="FY1" t="s">
        <v>174</v>
      </c>
      <c r="FZ1" t="s">
        <v>175</v>
      </c>
      <c r="GA1" t="s">
        <v>176</v>
      </c>
      <c r="GB1" t="s">
        <v>177</v>
      </c>
      <c r="GC1" t="s">
        <v>178</v>
      </c>
      <c r="GD1" t="s">
        <v>179</v>
      </c>
      <c r="GE1" t="s">
        <v>180</v>
      </c>
      <c r="GF1" t="s">
        <v>181</v>
      </c>
      <c r="GG1" t="s">
        <v>182</v>
      </c>
      <c r="GH1" t="s">
        <v>183</v>
      </c>
      <c r="GI1" t="s">
        <v>184</v>
      </c>
      <c r="GJ1" s="6" t="s">
        <v>1222</v>
      </c>
      <c r="GK1" t="s">
        <v>185</v>
      </c>
      <c r="GL1" t="s">
        <v>500</v>
      </c>
      <c r="GM1" t="s">
        <v>469</v>
      </c>
      <c r="GN1" t="s">
        <v>470</v>
      </c>
      <c r="GO1" t="s">
        <v>471</v>
      </c>
      <c r="GP1" t="s">
        <v>472</v>
      </c>
      <c r="GQ1" s="5" t="s">
        <v>473</v>
      </c>
      <c r="GR1" t="s">
        <v>1214</v>
      </c>
      <c r="GS1" t="s">
        <v>474</v>
      </c>
      <c r="GT1" t="s">
        <v>475</v>
      </c>
      <c r="GU1" t="s">
        <v>476</v>
      </c>
      <c r="GV1" s="5" t="s">
        <v>477</v>
      </c>
      <c r="GW1" t="s">
        <v>1214</v>
      </c>
      <c r="GX1" t="s">
        <v>478</v>
      </c>
      <c r="GY1" t="s">
        <v>479</v>
      </c>
      <c r="GZ1" t="s">
        <v>480</v>
      </c>
      <c r="HA1" s="5" t="s">
        <v>481</v>
      </c>
      <c r="HB1" t="s">
        <v>1214</v>
      </c>
      <c r="HC1" t="s">
        <v>482</v>
      </c>
      <c r="HD1" t="s">
        <v>483</v>
      </c>
      <c r="HE1" t="s">
        <v>484</v>
      </c>
      <c r="HF1" s="5" t="s">
        <v>485</v>
      </c>
      <c r="HG1" t="s">
        <v>1214</v>
      </c>
      <c r="HH1" t="s">
        <v>486</v>
      </c>
      <c r="HI1" s="6" t="s">
        <v>488</v>
      </c>
      <c r="HJ1" s="6" t="s">
        <v>489</v>
      </c>
      <c r="HK1" s="6" t="s">
        <v>490</v>
      </c>
      <c r="HL1" t="s">
        <v>487</v>
      </c>
      <c r="HM1" t="s">
        <v>501</v>
      </c>
      <c r="HN1" t="s">
        <v>491</v>
      </c>
      <c r="HO1" t="s">
        <v>492</v>
      </c>
      <c r="HP1" t="s">
        <v>493</v>
      </c>
      <c r="HQ1" t="s">
        <v>494</v>
      </c>
      <c r="HR1" t="s">
        <v>502</v>
      </c>
      <c r="HS1" t="s">
        <v>503</v>
      </c>
      <c r="HT1" t="s">
        <v>504</v>
      </c>
      <c r="HU1" t="s">
        <v>505</v>
      </c>
      <c r="HV1" t="s">
        <v>506</v>
      </c>
      <c r="HW1" t="s">
        <v>507</v>
      </c>
      <c r="HX1" t="s">
        <v>508</v>
      </c>
      <c r="HY1" t="s">
        <v>509</v>
      </c>
      <c r="HZ1" t="s">
        <v>510</v>
      </c>
      <c r="IA1" t="s">
        <v>511</v>
      </c>
      <c r="IB1" t="s">
        <v>512</v>
      </c>
      <c r="IC1" t="s">
        <v>513</v>
      </c>
      <c r="ID1" t="s">
        <v>514</v>
      </c>
      <c r="IE1" t="s">
        <v>515</v>
      </c>
      <c r="IF1" t="s">
        <v>516</v>
      </c>
      <c r="IG1" t="s">
        <v>517</v>
      </c>
      <c r="IH1" t="s">
        <v>518</v>
      </c>
      <c r="II1" t="s">
        <v>519</v>
      </c>
      <c r="IJ1" t="s">
        <v>520</v>
      </c>
      <c r="IK1" t="s">
        <v>521</v>
      </c>
      <c r="IL1" t="s">
        <v>522</v>
      </c>
      <c r="IM1" t="s">
        <v>523</v>
      </c>
      <c r="IN1" s="6" t="s">
        <v>524</v>
      </c>
      <c r="IO1" t="s">
        <v>525</v>
      </c>
      <c r="IP1" t="s">
        <v>526</v>
      </c>
      <c r="IQ1" t="s">
        <v>527</v>
      </c>
      <c r="IR1" t="s">
        <v>528</v>
      </c>
      <c r="IS1" t="s">
        <v>529</v>
      </c>
      <c r="IT1" t="s">
        <v>530</v>
      </c>
      <c r="IU1" t="s">
        <v>531</v>
      </c>
      <c r="IV1" t="s">
        <v>532</v>
      </c>
      <c r="IW1" t="s">
        <v>533</v>
      </c>
      <c r="IX1" t="s">
        <v>534</v>
      </c>
      <c r="IY1" t="s">
        <v>535</v>
      </c>
      <c r="IZ1" t="s">
        <v>536</v>
      </c>
      <c r="JA1" t="s">
        <v>537</v>
      </c>
      <c r="JB1" t="s">
        <v>538</v>
      </c>
      <c r="JC1" t="s">
        <v>539</v>
      </c>
      <c r="JD1" t="s">
        <v>540</v>
      </c>
      <c r="JE1" t="s">
        <v>541</v>
      </c>
      <c r="JF1" t="s">
        <v>542</v>
      </c>
      <c r="JG1" t="s">
        <v>543</v>
      </c>
      <c r="JH1" t="s">
        <v>544</v>
      </c>
      <c r="JI1" t="s">
        <v>545</v>
      </c>
      <c r="JJ1" t="s">
        <v>546</v>
      </c>
      <c r="JK1" t="s">
        <v>547</v>
      </c>
      <c r="JL1" t="s">
        <v>548</v>
      </c>
      <c r="JM1" t="s">
        <v>549</v>
      </c>
      <c r="JN1" t="s">
        <v>550</v>
      </c>
      <c r="JO1" t="s">
        <v>551</v>
      </c>
      <c r="JP1" t="s">
        <v>552</v>
      </c>
      <c r="JQ1" t="s">
        <v>553</v>
      </c>
      <c r="JR1" t="s">
        <v>554</v>
      </c>
      <c r="JS1" t="s">
        <v>555</v>
      </c>
      <c r="JT1" s="6" t="s">
        <v>556</v>
      </c>
      <c r="JU1" s="6" t="s">
        <v>1223</v>
      </c>
      <c r="JV1" s="6" t="s">
        <v>557</v>
      </c>
      <c r="JW1" s="6" t="s">
        <v>558</v>
      </c>
      <c r="JX1" t="s">
        <v>559</v>
      </c>
      <c r="JY1" t="s">
        <v>560</v>
      </c>
      <c r="JZ1" t="s">
        <v>561</v>
      </c>
      <c r="KA1" t="s">
        <v>562</v>
      </c>
      <c r="KB1" t="s">
        <v>563</v>
      </c>
      <c r="KC1" s="6" t="s">
        <v>564</v>
      </c>
      <c r="KD1" t="s">
        <v>565</v>
      </c>
      <c r="KE1" t="s">
        <v>566</v>
      </c>
      <c r="KF1" t="s">
        <v>567</v>
      </c>
      <c r="KG1" t="s">
        <v>568</v>
      </c>
      <c r="KH1" t="s">
        <v>569</v>
      </c>
      <c r="KI1" t="s">
        <v>570</v>
      </c>
      <c r="KJ1" t="s">
        <v>571</v>
      </c>
      <c r="KK1" t="s">
        <v>572</v>
      </c>
      <c r="KL1" t="s">
        <v>573</v>
      </c>
      <c r="KM1" t="s">
        <v>574</v>
      </c>
      <c r="KN1" t="s">
        <v>575</v>
      </c>
      <c r="KO1" t="s">
        <v>576</v>
      </c>
      <c r="KP1" t="s">
        <v>577</v>
      </c>
      <c r="KQ1" t="s">
        <v>578</v>
      </c>
      <c r="KR1" t="s">
        <v>579</v>
      </c>
      <c r="KS1" t="s">
        <v>580</v>
      </c>
      <c r="KT1" t="s">
        <v>581</v>
      </c>
      <c r="KU1" t="s">
        <v>582</v>
      </c>
      <c r="KV1" t="s">
        <v>583</v>
      </c>
      <c r="KW1" t="s">
        <v>584</v>
      </c>
      <c r="KX1" t="s">
        <v>585</v>
      </c>
      <c r="KY1" t="s">
        <v>586</v>
      </c>
      <c r="KZ1" t="s">
        <v>587</v>
      </c>
      <c r="LA1" t="s">
        <v>588</v>
      </c>
      <c r="LB1" t="s">
        <v>589</v>
      </c>
      <c r="LC1" t="s">
        <v>590</v>
      </c>
      <c r="LD1" t="s">
        <v>591</v>
      </c>
      <c r="LE1" t="s">
        <v>592</v>
      </c>
      <c r="LF1" t="s">
        <v>593</v>
      </c>
      <c r="LG1" t="s">
        <v>594</v>
      </c>
      <c r="LH1" t="s">
        <v>595</v>
      </c>
      <c r="LI1" t="s">
        <v>596</v>
      </c>
      <c r="LJ1" t="s">
        <v>597</v>
      </c>
      <c r="LK1" t="s">
        <v>598</v>
      </c>
      <c r="LL1" t="s">
        <v>599</v>
      </c>
      <c r="LM1" t="s">
        <v>600</v>
      </c>
      <c r="LN1" t="s">
        <v>601</v>
      </c>
      <c r="LO1" t="s">
        <v>602</v>
      </c>
      <c r="LP1" t="s">
        <v>603</v>
      </c>
      <c r="LQ1" t="s">
        <v>604</v>
      </c>
      <c r="LR1" t="s">
        <v>605</v>
      </c>
      <c r="LS1" t="s">
        <v>606</v>
      </c>
      <c r="LT1" t="s">
        <v>607</v>
      </c>
      <c r="LU1" t="s">
        <v>608</v>
      </c>
      <c r="LV1" t="s">
        <v>609</v>
      </c>
      <c r="LW1" t="s">
        <v>610</v>
      </c>
      <c r="LX1" t="s">
        <v>611</v>
      </c>
      <c r="LY1" t="s">
        <v>612</v>
      </c>
      <c r="LZ1" t="s">
        <v>613</v>
      </c>
      <c r="MA1" t="s">
        <v>614</v>
      </c>
      <c r="MB1" t="s">
        <v>615</v>
      </c>
      <c r="MC1" t="s">
        <v>616</v>
      </c>
      <c r="MD1" t="s">
        <v>617</v>
      </c>
      <c r="ME1" t="s">
        <v>618</v>
      </c>
      <c r="MF1" t="s">
        <v>619</v>
      </c>
      <c r="MG1" t="s">
        <v>620</v>
      </c>
      <c r="MH1" t="s">
        <v>621</v>
      </c>
      <c r="MI1" t="s">
        <v>622</v>
      </c>
      <c r="MJ1" t="s">
        <v>623</v>
      </c>
      <c r="MK1" t="s">
        <v>624</v>
      </c>
      <c r="ML1" t="s">
        <v>625</v>
      </c>
      <c r="MM1" t="s">
        <v>626</v>
      </c>
      <c r="MN1" t="s">
        <v>627</v>
      </c>
      <c r="MO1" t="s">
        <v>628</v>
      </c>
      <c r="MP1" t="s">
        <v>629</v>
      </c>
      <c r="MQ1" t="s">
        <v>630</v>
      </c>
      <c r="MR1" t="s">
        <v>631</v>
      </c>
      <c r="MS1" t="s">
        <v>632</v>
      </c>
      <c r="MT1" t="s">
        <v>633</v>
      </c>
      <c r="MU1" t="s">
        <v>634</v>
      </c>
      <c r="MV1" t="s">
        <v>635</v>
      </c>
      <c r="MW1" t="s">
        <v>636</v>
      </c>
      <c r="MX1" t="s">
        <v>637</v>
      </c>
      <c r="MY1" t="s">
        <v>638</v>
      </c>
      <c r="MZ1" t="s">
        <v>639</v>
      </c>
      <c r="NA1" t="s">
        <v>640</v>
      </c>
      <c r="NB1" t="s">
        <v>641</v>
      </c>
      <c r="NC1" t="s">
        <v>642</v>
      </c>
      <c r="ND1" t="s">
        <v>643</v>
      </c>
      <c r="NE1" t="s">
        <v>644</v>
      </c>
      <c r="NF1" t="s">
        <v>645</v>
      </c>
      <c r="NG1" t="s">
        <v>646</v>
      </c>
      <c r="NH1" t="s">
        <v>647</v>
      </c>
      <c r="NI1" t="s">
        <v>648</v>
      </c>
      <c r="NJ1" t="s">
        <v>649</v>
      </c>
      <c r="NK1" t="s">
        <v>650</v>
      </c>
      <c r="NL1" t="s">
        <v>651</v>
      </c>
      <c r="NM1" t="s">
        <v>652</v>
      </c>
      <c r="NN1" t="s">
        <v>653</v>
      </c>
      <c r="NO1" t="s">
        <v>654</v>
      </c>
      <c r="NP1" t="s">
        <v>655</v>
      </c>
      <c r="NQ1" t="s">
        <v>656</v>
      </c>
      <c r="NR1" t="s">
        <v>657</v>
      </c>
      <c r="NS1" t="s">
        <v>658</v>
      </c>
      <c r="NT1" t="s">
        <v>659</v>
      </c>
      <c r="NU1" t="s">
        <v>660</v>
      </c>
      <c r="NV1" t="s">
        <v>661</v>
      </c>
      <c r="NW1" t="s">
        <v>662</v>
      </c>
      <c r="NX1" t="s">
        <v>663</v>
      </c>
      <c r="NY1" t="s">
        <v>664</v>
      </c>
      <c r="NZ1" t="s">
        <v>665</v>
      </c>
      <c r="OA1" t="s">
        <v>666</v>
      </c>
      <c r="OB1" t="s">
        <v>667</v>
      </c>
      <c r="OC1" t="s">
        <v>668</v>
      </c>
      <c r="OD1" t="s">
        <v>669</v>
      </c>
      <c r="OE1" t="s">
        <v>670</v>
      </c>
      <c r="OF1" t="s">
        <v>671</v>
      </c>
      <c r="OG1" t="s">
        <v>672</v>
      </c>
      <c r="OH1" t="s">
        <v>673</v>
      </c>
      <c r="OI1" t="s">
        <v>674</v>
      </c>
      <c r="OJ1" t="s">
        <v>675</v>
      </c>
      <c r="OK1" t="s">
        <v>676</v>
      </c>
      <c r="OL1" t="s">
        <v>677</v>
      </c>
      <c r="OM1" t="s">
        <v>678</v>
      </c>
      <c r="ON1" t="s">
        <v>679</v>
      </c>
      <c r="OO1" t="s">
        <v>680</v>
      </c>
      <c r="OP1" t="s">
        <v>681</v>
      </c>
      <c r="OQ1" t="s">
        <v>682</v>
      </c>
      <c r="OR1" t="s">
        <v>683</v>
      </c>
      <c r="OS1" t="s">
        <v>684</v>
      </c>
      <c r="OT1" t="s">
        <v>685</v>
      </c>
      <c r="OU1" t="s">
        <v>686</v>
      </c>
      <c r="OV1" t="s">
        <v>687</v>
      </c>
      <c r="OW1" t="s">
        <v>688</v>
      </c>
      <c r="OX1" t="s">
        <v>689</v>
      </c>
      <c r="OY1" t="s">
        <v>690</v>
      </c>
      <c r="OZ1" t="s">
        <v>691</v>
      </c>
      <c r="PA1" t="s">
        <v>692</v>
      </c>
      <c r="PB1" t="s">
        <v>693</v>
      </c>
      <c r="PC1" t="s">
        <v>694</v>
      </c>
      <c r="PD1" t="s">
        <v>695</v>
      </c>
      <c r="PE1" t="s">
        <v>696</v>
      </c>
      <c r="PF1" t="s">
        <v>697</v>
      </c>
      <c r="PG1" t="s">
        <v>698</v>
      </c>
      <c r="PH1" t="s">
        <v>699</v>
      </c>
      <c r="PI1" t="s">
        <v>700</v>
      </c>
      <c r="PJ1" t="s">
        <v>701</v>
      </c>
      <c r="PK1" t="s">
        <v>702</v>
      </c>
      <c r="PL1" t="s">
        <v>703</v>
      </c>
      <c r="PM1" t="s">
        <v>704</v>
      </c>
      <c r="PN1" t="s">
        <v>705</v>
      </c>
      <c r="PO1" t="s">
        <v>706</v>
      </c>
      <c r="PP1" t="s">
        <v>707</v>
      </c>
      <c r="PQ1" t="s">
        <v>708</v>
      </c>
      <c r="PR1" t="s">
        <v>709</v>
      </c>
      <c r="PS1" t="s">
        <v>710</v>
      </c>
      <c r="PT1" t="s">
        <v>711</v>
      </c>
      <c r="PU1" t="s">
        <v>712</v>
      </c>
      <c r="PV1" t="s">
        <v>713</v>
      </c>
      <c r="PW1" t="s">
        <v>714</v>
      </c>
      <c r="PX1" t="s">
        <v>715</v>
      </c>
      <c r="PY1" t="s">
        <v>716</v>
      </c>
      <c r="PZ1" t="s">
        <v>717</v>
      </c>
      <c r="QA1" t="s">
        <v>718</v>
      </c>
      <c r="QB1" t="s">
        <v>719</v>
      </c>
      <c r="QC1" t="s">
        <v>720</v>
      </c>
      <c r="QD1" t="s">
        <v>721</v>
      </c>
      <c r="QE1" t="s">
        <v>722</v>
      </c>
      <c r="QF1" t="s">
        <v>723</v>
      </c>
      <c r="QG1" t="s">
        <v>724</v>
      </c>
      <c r="QH1" t="s">
        <v>725</v>
      </c>
      <c r="QI1" t="s">
        <v>726</v>
      </c>
      <c r="QJ1" t="s">
        <v>727</v>
      </c>
      <c r="QK1" t="s">
        <v>728</v>
      </c>
      <c r="QL1" t="s">
        <v>729</v>
      </c>
      <c r="QM1" t="s">
        <v>730</v>
      </c>
      <c r="QN1" t="s">
        <v>731</v>
      </c>
      <c r="QO1" t="s">
        <v>732</v>
      </c>
      <c r="QP1" t="s">
        <v>733</v>
      </c>
      <c r="QQ1" t="s">
        <v>734</v>
      </c>
      <c r="QR1" t="s">
        <v>735</v>
      </c>
      <c r="QS1" t="s">
        <v>736</v>
      </c>
      <c r="QT1" t="s">
        <v>737</v>
      </c>
      <c r="QU1" t="s">
        <v>738</v>
      </c>
      <c r="QV1" t="s">
        <v>739</v>
      </c>
      <c r="QW1" t="s">
        <v>740</v>
      </c>
      <c r="QX1" t="s">
        <v>741</v>
      </c>
      <c r="QY1" t="s">
        <v>742</v>
      </c>
      <c r="QZ1" t="s">
        <v>743</v>
      </c>
      <c r="RA1" t="s">
        <v>744</v>
      </c>
      <c r="RB1" t="s">
        <v>745</v>
      </c>
      <c r="RC1" t="s">
        <v>746</v>
      </c>
      <c r="RD1" t="s">
        <v>747</v>
      </c>
      <c r="RE1" t="s">
        <v>748</v>
      </c>
      <c r="RF1" t="s">
        <v>749</v>
      </c>
      <c r="RG1" t="s">
        <v>750</v>
      </c>
      <c r="RH1" t="s">
        <v>751</v>
      </c>
      <c r="RI1" t="s">
        <v>752</v>
      </c>
      <c r="RJ1" t="s">
        <v>753</v>
      </c>
      <c r="RK1" t="s">
        <v>754</v>
      </c>
      <c r="RL1" t="s">
        <v>755</v>
      </c>
      <c r="RM1" t="s">
        <v>756</v>
      </c>
      <c r="RN1" t="s">
        <v>757</v>
      </c>
      <c r="RO1" t="s">
        <v>758</v>
      </c>
      <c r="RP1" t="s">
        <v>759</v>
      </c>
      <c r="RQ1" t="s">
        <v>760</v>
      </c>
      <c r="RR1" t="s">
        <v>761</v>
      </c>
      <c r="RS1" t="s">
        <v>762</v>
      </c>
      <c r="RT1" t="s">
        <v>763</v>
      </c>
      <c r="RU1" t="s">
        <v>764</v>
      </c>
      <c r="RV1" t="s">
        <v>765</v>
      </c>
      <c r="RW1" t="s">
        <v>766</v>
      </c>
      <c r="RX1" t="s">
        <v>767</v>
      </c>
      <c r="RY1" t="s">
        <v>768</v>
      </c>
      <c r="RZ1" t="s">
        <v>769</v>
      </c>
      <c r="SA1" t="s">
        <v>770</v>
      </c>
      <c r="SB1" t="s">
        <v>771</v>
      </c>
      <c r="SC1" t="s">
        <v>772</v>
      </c>
      <c r="SD1" t="s">
        <v>773</v>
      </c>
      <c r="SE1" t="s">
        <v>774</v>
      </c>
      <c r="SF1" t="s">
        <v>775</v>
      </c>
      <c r="SG1" t="s">
        <v>776</v>
      </c>
      <c r="SH1" t="s">
        <v>777</v>
      </c>
      <c r="SI1" t="s">
        <v>778</v>
      </c>
      <c r="SJ1" t="s">
        <v>779</v>
      </c>
      <c r="SK1" t="s">
        <v>780</v>
      </c>
      <c r="SL1" t="s">
        <v>781</v>
      </c>
      <c r="SM1" t="s">
        <v>782</v>
      </c>
      <c r="SN1" t="s">
        <v>783</v>
      </c>
      <c r="SO1" t="s">
        <v>784</v>
      </c>
      <c r="SP1" t="s">
        <v>785</v>
      </c>
      <c r="SQ1" t="s">
        <v>786</v>
      </c>
      <c r="SR1" t="s">
        <v>787</v>
      </c>
      <c r="SS1" t="s">
        <v>788</v>
      </c>
      <c r="ST1" t="s">
        <v>789</v>
      </c>
      <c r="SU1" t="s">
        <v>790</v>
      </c>
      <c r="SV1" t="s">
        <v>791</v>
      </c>
      <c r="SW1" t="s">
        <v>792</v>
      </c>
      <c r="SX1" t="s">
        <v>793</v>
      </c>
      <c r="SY1" t="s">
        <v>794</v>
      </c>
      <c r="SZ1" t="s">
        <v>795</v>
      </c>
      <c r="TA1" t="s">
        <v>796</v>
      </c>
      <c r="TB1" t="s">
        <v>797</v>
      </c>
      <c r="TC1" t="s">
        <v>798</v>
      </c>
      <c r="TD1" t="s">
        <v>799</v>
      </c>
      <c r="TE1" t="s">
        <v>800</v>
      </c>
      <c r="TF1" t="s">
        <v>801</v>
      </c>
      <c r="TG1" t="s">
        <v>802</v>
      </c>
      <c r="TH1" t="s">
        <v>803</v>
      </c>
      <c r="TI1" t="s">
        <v>804</v>
      </c>
      <c r="TJ1" t="s">
        <v>805</v>
      </c>
      <c r="TK1" t="s">
        <v>806</v>
      </c>
      <c r="TL1" t="s">
        <v>807</v>
      </c>
      <c r="TM1" t="s">
        <v>808</v>
      </c>
      <c r="TN1" t="s">
        <v>809</v>
      </c>
      <c r="TO1" t="s">
        <v>810</v>
      </c>
      <c r="TP1" t="s">
        <v>811</v>
      </c>
      <c r="TQ1" t="s">
        <v>812</v>
      </c>
      <c r="TR1" t="s">
        <v>813</v>
      </c>
      <c r="TS1" t="s">
        <v>814</v>
      </c>
      <c r="TT1" t="s">
        <v>815</v>
      </c>
      <c r="TU1" t="s">
        <v>816</v>
      </c>
      <c r="TV1" t="s">
        <v>817</v>
      </c>
      <c r="TW1" t="s">
        <v>818</v>
      </c>
      <c r="TX1" t="s">
        <v>819</v>
      </c>
      <c r="TY1" t="s">
        <v>820</v>
      </c>
      <c r="TZ1" t="s">
        <v>821</v>
      </c>
      <c r="UA1" t="s">
        <v>822</v>
      </c>
      <c r="UB1" t="s">
        <v>823</v>
      </c>
      <c r="UC1" t="s">
        <v>824</v>
      </c>
      <c r="UD1" t="s">
        <v>825</v>
      </c>
      <c r="UE1" t="s">
        <v>826</v>
      </c>
      <c r="UF1" t="s">
        <v>827</v>
      </c>
      <c r="UG1" t="s">
        <v>828</v>
      </c>
      <c r="UH1" t="s">
        <v>829</v>
      </c>
      <c r="UI1" t="s">
        <v>830</v>
      </c>
      <c r="UJ1" t="s">
        <v>831</v>
      </c>
      <c r="UK1" t="s">
        <v>832</v>
      </c>
      <c r="UL1" t="s">
        <v>833</v>
      </c>
      <c r="UM1" t="s">
        <v>834</v>
      </c>
      <c r="UN1" t="s">
        <v>835</v>
      </c>
      <c r="UO1" t="s">
        <v>836</v>
      </c>
      <c r="UP1" t="s">
        <v>837</v>
      </c>
      <c r="UQ1" t="s">
        <v>838</v>
      </c>
      <c r="UR1" t="s">
        <v>839</v>
      </c>
      <c r="US1" t="s">
        <v>840</v>
      </c>
      <c r="UT1" t="s">
        <v>841</v>
      </c>
      <c r="UU1" t="s">
        <v>842</v>
      </c>
      <c r="UV1" t="s">
        <v>843</v>
      </c>
      <c r="UW1" t="s">
        <v>844</v>
      </c>
      <c r="UX1" t="s">
        <v>845</v>
      </c>
      <c r="UY1" t="s">
        <v>846</v>
      </c>
      <c r="UZ1" t="s">
        <v>847</v>
      </c>
      <c r="VA1" t="s">
        <v>848</v>
      </c>
      <c r="VB1" t="s">
        <v>849</v>
      </c>
      <c r="VC1" t="s">
        <v>850</v>
      </c>
      <c r="VD1" t="s">
        <v>851</v>
      </c>
      <c r="VE1" t="s">
        <v>852</v>
      </c>
      <c r="VF1" t="s">
        <v>853</v>
      </c>
      <c r="VG1" t="s">
        <v>854</v>
      </c>
      <c r="VH1" t="s">
        <v>855</v>
      </c>
      <c r="VI1" t="s">
        <v>856</v>
      </c>
      <c r="VJ1" t="s">
        <v>857</v>
      </c>
      <c r="VK1" t="s">
        <v>858</v>
      </c>
      <c r="VL1" t="s">
        <v>859</v>
      </c>
      <c r="VM1" t="s">
        <v>860</v>
      </c>
      <c r="VN1" t="s">
        <v>861</v>
      </c>
      <c r="VO1" t="s">
        <v>862</v>
      </c>
      <c r="VP1" t="s">
        <v>863</v>
      </c>
      <c r="VQ1" t="s">
        <v>864</v>
      </c>
      <c r="VR1" t="s">
        <v>865</v>
      </c>
      <c r="VS1" t="s">
        <v>866</v>
      </c>
      <c r="VT1" t="s">
        <v>867</v>
      </c>
      <c r="VU1" t="s">
        <v>868</v>
      </c>
      <c r="VV1" t="s">
        <v>869</v>
      </c>
      <c r="VW1" t="s">
        <v>870</v>
      </c>
      <c r="VX1" t="s">
        <v>871</v>
      </c>
      <c r="VY1" t="s">
        <v>872</v>
      </c>
      <c r="VZ1" t="s">
        <v>873</v>
      </c>
      <c r="WA1" t="s">
        <v>874</v>
      </c>
      <c r="WB1" t="s">
        <v>875</v>
      </c>
      <c r="WC1" t="s">
        <v>876</v>
      </c>
      <c r="WD1" t="s">
        <v>877</v>
      </c>
      <c r="WE1" t="s">
        <v>878</v>
      </c>
      <c r="WF1" t="s">
        <v>879</v>
      </c>
      <c r="WG1" t="s">
        <v>880</v>
      </c>
      <c r="WH1" t="s">
        <v>881</v>
      </c>
      <c r="WI1" t="s">
        <v>882</v>
      </c>
      <c r="WJ1" t="s">
        <v>883</v>
      </c>
      <c r="WK1" t="s">
        <v>884</v>
      </c>
      <c r="WL1" t="s">
        <v>885</v>
      </c>
      <c r="WM1" t="s">
        <v>886</v>
      </c>
      <c r="WN1" t="s">
        <v>887</v>
      </c>
      <c r="WO1" t="s">
        <v>888</v>
      </c>
      <c r="WP1" t="s">
        <v>889</v>
      </c>
      <c r="WQ1" t="s">
        <v>890</v>
      </c>
      <c r="WR1" t="s">
        <v>891</v>
      </c>
      <c r="WS1" t="s">
        <v>892</v>
      </c>
      <c r="WT1" t="s">
        <v>893</v>
      </c>
      <c r="WU1" t="s">
        <v>894</v>
      </c>
      <c r="WV1" t="s">
        <v>895</v>
      </c>
      <c r="WW1" t="s">
        <v>896</v>
      </c>
      <c r="WX1" t="s">
        <v>897</v>
      </c>
      <c r="WY1" t="s">
        <v>898</v>
      </c>
      <c r="WZ1" t="s">
        <v>899</v>
      </c>
      <c r="XA1" t="s">
        <v>900</v>
      </c>
      <c r="XB1" t="s">
        <v>901</v>
      </c>
      <c r="XC1" t="s">
        <v>902</v>
      </c>
      <c r="XD1" t="s">
        <v>903</v>
      </c>
      <c r="XE1" t="s">
        <v>904</v>
      </c>
      <c r="XF1" t="s">
        <v>905</v>
      </c>
      <c r="XG1" t="s">
        <v>906</v>
      </c>
      <c r="XH1" t="s">
        <v>907</v>
      </c>
      <c r="XI1" t="s">
        <v>908</v>
      </c>
      <c r="XJ1" t="s">
        <v>909</v>
      </c>
      <c r="XK1" t="s">
        <v>910</v>
      </c>
      <c r="XL1" t="s">
        <v>911</v>
      </c>
      <c r="XM1" t="s">
        <v>912</v>
      </c>
      <c r="XN1" t="s">
        <v>913</v>
      </c>
      <c r="XO1" t="s">
        <v>914</v>
      </c>
      <c r="XP1" t="s">
        <v>915</v>
      </c>
      <c r="XQ1" t="s">
        <v>916</v>
      </c>
      <c r="XR1" t="s">
        <v>917</v>
      </c>
      <c r="XS1" t="s">
        <v>918</v>
      </c>
      <c r="XT1" t="s">
        <v>919</v>
      </c>
      <c r="XU1" t="s">
        <v>920</v>
      </c>
      <c r="XV1" t="s">
        <v>921</v>
      </c>
      <c r="XW1" t="s">
        <v>922</v>
      </c>
      <c r="XX1" t="s">
        <v>923</v>
      </c>
      <c r="XY1" t="s">
        <v>924</v>
      </c>
      <c r="XZ1" t="s">
        <v>925</v>
      </c>
      <c r="YA1" t="s">
        <v>926</v>
      </c>
      <c r="YB1" t="s">
        <v>927</v>
      </c>
      <c r="YC1" t="s">
        <v>928</v>
      </c>
      <c r="YD1" t="s">
        <v>929</v>
      </c>
      <c r="YE1" t="s">
        <v>930</v>
      </c>
      <c r="YF1" t="s">
        <v>931</v>
      </c>
      <c r="YG1" t="s">
        <v>932</v>
      </c>
      <c r="YH1" t="s">
        <v>933</v>
      </c>
      <c r="YI1" t="s">
        <v>934</v>
      </c>
      <c r="YJ1" t="s">
        <v>935</v>
      </c>
      <c r="YK1" t="s">
        <v>936</v>
      </c>
      <c r="YL1" t="s">
        <v>937</v>
      </c>
      <c r="YM1" t="s">
        <v>938</v>
      </c>
      <c r="YN1" t="s">
        <v>939</v>
      </c>
      <c r="YO1" t="s">
        <v>940</v>
      </c>
      <c r="YP1" t="s">
        <v>941</v>
      </c>
      <c r="YQ1" t="s">
        <v>942</v>
      </c>
      <c r="YR1" t="s">
        <v>943</v>
      </c>
      <c r="YS1" t="s">
        <v>944</v>
      </c>
      <c r="YT1" t="s">
        <v>945</v>
      </c>
      <c r="YU1" t="s">
        <v>946</v>
      </c>
      <c r="YV1" t="s">
        <v>947</v>
      </c>
      <c r="YW1" t="s">
        <v>948</v>
      </c>
      <c r="YX1" s="6" t="s">
        <v>1224</v>
      </c>
      <c r="YY1" s="6" t="s">
        <v>1225</v>
      </c>
      <c r="YZ1" s="6" t="s">
        <v>1226</v>
      </c>
      <c r="ZA1" s="6" t="s">
        <v>1227</v>
      </c>
      <c r="ZB1" t="s">
        <v>949</v>
      </c>
      <c r="ZC1" t="s">
        <v>950</v>
      </c>
      <c r="ZD1" t="s">
        <v>951</v>
      </c>
      <c r="ZE1" t="s">
        <v>952</v>
      </c>
      <c r="ZF1" t="s">
        <v>953</v>
      </c>
      <c r="ZG1" t="s">
        <v>954</v>
      </c>
      <c r="ZH1" t="s">
        <v>955</v>
      </c>
      <c r="ZI1" t="s">
        <v>956</v>
      </c>
      <c r="ZJ1" t="s">
        <v>957</v>
      </c>
      <c r="ZK1" t="s">
        <v>958</v>
      </c>
      <c r="ZL1" t="s">
        <v>959</v>
      </c>
      <c r="ZM1" t="s">
        <v>960</v>
      </c>
      <c r="ZN1" t="s">
        <v>961</v>
      </c>
      <c r="ZO1" t="s">
        <v>962</v>
      </c>
      <c r="ZP1" t="s">
        <v>963</v>
      </c>
      <c r="ZQ1" t="s">
        <v>964</v>
      </c>
      <c r="ZR1" t="s">
        <v>965</v>
      </c>
      <c r="ZS1" t="s">
        <v>966</v>
      </c>
      <c r="ZT1" t="s">
        <v>967</v>
      </c>
      <c r="ZU1" t="s">
        <v>968</v>
      </c>
      <c r="ZV1" t="s">
        <v>969</v>
      </c>
      <c r="ZW1" t="s">
        <v>970</v>
      </c>
      <c r="ZX1" s="6" t="s">
        <v>971</v>
      </c>
      <c r="ZY1" s="6" t="s">
        <v>972</v>
      </c>
      <c r="ZZ1" t="s">
        <v>973</v>
      </c>
      <c r="AAA1" t="s">
        <v>974</v>
      </c>
      <c r="AAB1" t="s">
        <v>975</v>
      </c>
      <c r="AAC1" t="s">
        <v>976</v>
      </c>
      <c r="AAD1" t="s">
        <v>977</v>
      </c>
      <c r="AAE1" t="s">
        <v>978</v>
      </c>
      <c r="AAF1" t="s">
        <v>979</v>
      </c>
      <c r="AAG1" t="s">
        <v>980</v>
      </c>
      <c r="AAH1" t="s">
        <v>981</v>
      </c>
      <c r="AAI1" t="s">
        <v>982</v>
      </c>
      <c r="AAJ1" t="s">
        <v>983</v>
      </c>
      <c r="AAK1" t="s">
        <v>984</v>
      </c>
      <c r="AAL1" t="s">
        <v>985</v>
      </c>
      <c r="AAM1" t="s">
        <v>986</v>
      </c>
      <c r="AAN1" t="s">
        <v>987</v>
      </c>
      <c r="AAO1" t="s">
        <v>988</v>
      </c>
      <c r="AAP1" t="s">
        <v>989</v>
      </c>
      <c r="AAQ1" t="s">
        <v>990</v>
      </c>
      <c r="AAR1" t="s">
        <v>991</v>
      </c>
      <c r="AAS1" t="s">
        <v>992</v>
      </c>
      <c r="AAT1" s="6" t="s">
        <v>993</v>
      </c>
      <c r="AAU1" s="6" t="s">
        <v>994</v>
      </c>
      <c r="AAV1" s="6" t="s">
        <v>995</v>
      </c>
      <c r="AAW1" s="6" t="s">
        <v>996</v>
      </c>
      <c r="AAX1" t="s">
        <v>997</v>
      </c>
      <c r="AAY1" t="s">
        <v>998</v>
      </c>
      <c r="AAZ1" t="s">
        <v>999</v>
      </c>
      <c r="ABA1" t="s">
        <v>1000</v>
      </c>
      <c r="ABB1" t="s">
        <v>1001</v>
      </c>
      <c r="ABC1" t="s">
        <v>1002</v>
      </c>
      <c r="ABD1" t="s">
        <v>1003</v>
      </c>
      <c r="ABE1" t="s">
        <v>1004</v>
      </c>
      <c r="ABF1" t="s">
        <v>1005</v>
      </c>
      <c r="ABG1" t="s">
        <v>1006</v>
      </c>
      <c r="ABH1" t="s">
        <v>1007</v>
      </c>
      <c r="ABI1" t="s">
        <v>1008</v>
      </c>
      <c r="ABJ1" t="s">
        <v>1009</v>
      </c>
      <c r="ABK1" t="s">
        <v>1010</v>
      </c>
      <c r="ABL1" t="s">
        <v>1011</v>
      </c>
      <c r="ABM1" t="s">
        <v>1012</v>
      </c>
      <c r="ABN1" t="s">
        <v>1013</v>
      </c>
      <c r="ABO1" s="6" t="s">
        <v>1014</v>
      </c>
      <c r="ABP1" s="6" t="s">
        <v>1015</v>
      </c>
      <c r="ABQ1" t="s">
        <v>1016</v>
      </c>
      <c r="ABR1" t="s">
        <v>1017</v>
      </c>
      <c r="ABS1" t="s">
        <v>1095</v>
      </c>
      <c r="ABT1" t="s">
        <v>1096</v>
      </c>
      <c r="ABU1" t="s">
        <v>1097</v>
      </c>
      <c r="ABV1" t="s">
        <v>1098</v>
      </c>
      <c r="ABW1" t="s">
        <v>1099</v>
      </c>
      <c r="ABX1" t="s">
        <v>1100</v>
      </c>
      <c r="ABY1" t="s">
        <v>1101</v>
      </c>
      <c r="ABZ1" t="s">
        <v>1102</v>
      </c>
      <c r="ACA1" t="s">
        <v>1103</v>
      </c>
      <c r="ACB1" t="s">
        <v>1104</v>
      </c>
      <c r="ACC1" t="s">
        <v>1105</v>
      </c>
      <c r="ACD1" t="s">
        <v>1106</v>
      </c>
      <c r="ACE1" t="s">
        <v>1107</v>
      </c>
      <c r="ACF1" t="s">
        <v>1108</v>
      </c>
      <c r="ACG1" t="s">
        <v>1109</v>
      </c>
      <c r="ACH1" t="s">
        <v>1110</v>
      </c>
      <c r="ACI1" t="s">
        <v>1111</v>
      </c>
      <c r="ACJ1" t="s">
        <v>1112</v>
      </c>
      <c r="ACK1" t="s">
        <v>1113</v>
      </c>
      <c r="ACL1" t="s">
        <v>1114</v>
      </c>
      <c r="ACM1" t="s">
        <v>1115</v>
      </c>
      <c r="ACN1" t="s">
        <v>1116</v>
      </c>
      <c r="ACO1" t="s">
        <v>1117</v>
      </c>
      <c r="ACP1" t="s">
        <v>1118</v>
      </c>
      <c r="ACQ1" t="s">
        <v>1119</v>
      </c>
      <c r="ACR1" t="s">
        <v>1120</v>
      </c>
      <c r="ACS1" t="s">
        <v>1121</v>
      </c>
      <c r="ACT1" t="s">
        <v>1122</v>
      </c>
      <c r="ACU1" t="s">
        <v>1123</v>
      </c>
      <c r="ACV1" t="s">
        <v>1124</v>
      </c>
      <c r="ACW1" s="6" t="s">
        <v>1125</v>
      </c>
      <c r="ACX1" s="6" t="s">
        <v>1126</v>
      </c>
      <c r="ACY1" s="6" t="s">
        <v>1127</v>
      </c>
      <c r="ACZ1" s="6" t="s">
        <v>1128</v>
      </c>
      <c r="ADA1" s="6" t="s">
        <v>1129</v>
      </c>
      <c r="ADB1" s="6" t="s">
        <v>1130</v>
      </c>
      <c r="ADC1" s="6" t="s">
        <v>1131</v>
      </c>
      <c r="ADD1" t="s">
        <v>1132</v>
      </c>
      <c r="ADE1" t="s">
        <v>1133</v>
      </c>
      <c r="ADF1" s="5" t="s">
        <v>1134</v>
      </c>
      <c r="ADG1" t="s">
        <v>1214</v>
      </c>
      <c r="ADH1" s="5" t="s">
        <v>1135</v>
      </c>
      <c r="ADI1" t="s">
        <v>1214</v>
      </c>
      <c r="ADJ1" t="s">
        <v>1136</v>
      </c>
      <c r="ADK1" t="s">
        <v>1137</v>
      </c>
      <c r="ADL1" s="5" t="s">
        <v>1138</v>
      </c>
      <c r="ADM1" t="s">
        <v>1214</v>
      </c>
      <c r="ADN1" t="s">
        <v>1139</v>
      </c>
      <c r="ADO1" t="s">
        <v>1140</v>
      </c>
      <c r="ADP1" s="5" t="s">
        <v>1141</v>
      </c>
      <c r="ADQ1" t="s">
        <v>1214</v>
      </c>
      <c r="ADR1" t="s">
        <v>1142</v>
      </c>
      <c r="ADS1" s="5" t="s">
        <v>1143</v>
      </c>
      <c r="ADT1" t="s">
        <v>1214</v>
      </c>
      <c r="ADU1" s="5" t="s">
        <v>1144</v>
      </c>
      <c r="ADV1" t="s">
        <v>1214</v>
      </c>
      <c r="ADW1" t="s">
        <v>1145</v>
      </c>
      <c r="ADX1" t="s">
        <v>1146</v>
      </c>
      <c r="ADY1" t="s">
        <v>1147</v>
      </c>
      <c r="ADZ1" s="5" t="s">
        <v>1148</v>
      </c>
      <c r="AEA1" t="s">
        <v>1214</v>
      </c>
      <c r="AEB1" s="5" t="s">
        <v>1149</v>
      </c>
      <c r="AEC1" t="s">
        <v>1214</v>
      </c>
      <c r="AED1" t="s">
        <v>1150</v>
      </c>
      <c r="AEE1" t="s">
        <v>1151</v>
      </c>
      <c r="AEF1" s="5" t="s">
        <v>1152</v>
      </c>
      <c r="AEG1" t="s">
        <v>1214</v>
      </c>
      <c r="AEH1" s="5" t="s">
        <v>1153</v>
      </c>
      <c r="AEI1" t="s">
        <v>1214</v>
      </c>
      <c r="AEJ1" s="6" t="s">
        <v>1154</v>
      </c>
      <c r="AEK1" t="s">
        <v>1155</v>
      </c>
      <c r="AEL1" t="s">
        <v>1156</v>
      </c>
      <c r="AEM1" t="s">
        <v>1157</v>
      </c>
      <c r="AEN1" t="s">
        <v>1158</v>
      </c>
      <c r="AEO1" t="s">
        <v>1159</v>
      </c>
      <c r="AEP1" t="s">
        <v>1160</v>
      </c>
      <c r="AEQ1" t="s">
        <v>1161</v>
      </c>
      <c r="AER1" t="s">
        <v>1162</v>
      </c>
      <c r="AES1" t="s">
        <v>1163</v>
      </c>
      <c r="AET1" t="s">
        <v>1164</v>
      </c>
      <c r="AEU1" t="s">
        <v>1165</v>
      </c>
      <c r="AEV1" t="s">
        <v>1166</v>
      </c>
      <c r="AEW1" t="s">
        <v>1167</v>
      </c>
      <c r="AEX1" t="s">
        <v>1168</v>
      </c>
    </row>
    <row r="2" spans="1:830">
      <c r="A2">
        <v>183</v>
      </c>
      <c r="B2" t="s">
        <v>1199</v>
      </c>
      <c r="C2">
        <v>2</v>
      </c>
      <c r="D2">
        <v>2</v>
      </c>
      <c r="E2">
        <v>51</v>
      </c>
      <c r="F2">
        <v>68</v>
      </c>
      <c r="G2">
        <v>196</v>
      </c>
      <c r="H2">
        <v>0</v>
      </c>
      <c r="I2">
        <v>3</v>
      </c>
      <c r="K2" t="s">
        <v>421</v>
      </c>
      <c r="L2">
        <v>2</v>
      </c>
      <c r="M2" s="1">
        <v>45034.513888888891</v>
      </c>
      <c r="N2">
        <v>7</v>
      </c>
      <c r="O2">
        <v>0</v>
      </c>
      <c r="Q2">
        <v>0</v>
      </c>
      <c r="R2">
        <v>0</v>
      </c>
      <c r="S2">
        <v>0</v>
      </c>
      <c r="T2">
        <v>0</v>
      </c>
      <c r="U2">
        <v>0</v>
      </c>
      <c r="V2">
        <v>0</v>
      </c>
      <c r="W2">
        <v>0</v>
      </c>
      <c r="X2">
        <v>0</v>
      </c>
      <c r="Y2">
        <v>1</v>
      </c>
      <c r="Z2">
        <v>0</v>
      </c>
      <c r="AA2">
        <v>0</v>
      </c>
      <c r="AB2">
        <v>3</v>
      </c>
      <c r="AC2">
        <v>2</v>
      </c>
      <c r="AD2" s="1">
        <v>45034.51458333333</v>
      </c>
      <c r="AE2" s="5">
        <v>4</v>
      </c>
      <c r="AF2">
        <f>INDEX($AD$48:$AE$51, MATCH(AE2, $AD$48:$AD$51, 0), 2)</f>
        <v>1</v>
      </c>
      <c r="AG2">
        <v>2</v>
      </c>
      <c r="AH2" s="5">
        <v>4</v>
      </c>
      <c r="AI2">
        <f>INDEX($AD$48:$AE$51, MATCH(AH2, $AD$48:$AD$51, 0), 2)</f>
        <v>1</v>
      </c>
      <c r="AJ2">
        <v>1</v>
      </c>
      <c r="AK2">
        <v>1</v>
      </c>
      <c r="AL2" s="5">
        <v>4</v>
      </c>
      <c r="AM2">
        <f>INDEX($AD$48:$AE$51, MATCH(AL2, $AD$48:$AD$51, 0), 2)</f>
        <v>1</v>
      </c>
      <c r="AN2" s="5">
        <v>4</v>
      </c>
      <c r="AO2">
        <f>INDEX($AD$48:$AE$51, MATCH(AN2, $AD$48:$AD$51, 0), 2)</f>
        <v>1</v>
      </c>
      <c r="AP2">
        <v>1</v>
      </c>
      <c r="AQ2">
        <v>1</v>
      </c>
      <c r="AR2" s="5">
        <v>4</v>
      </c>
      <c r="AS2">
        <f>INDEX($AD$48:$AE$51, MATCH(AR2, $AD$48:$AD$51, 0), 2)</f>
        <v>1</v>
      </c>
      <c r="AT2">
        <v>1</v>
      </c>
      <c r="AU2">
        <v>2</v>
      </c>
      <c r="AV2" s="5">
        <v>4</v>
      </c>
      <c r="AW2">
        <f>INDEX($AD$48:$AE$51, MATCH(AV2, $AD$48:$AD$51, 0), 2)</f>
        <v>1</v>
      </c>
      <c r="AX2" s="5">
        <v>1</v>
      </c>
      <c r="AY2">
        <f>INDEX($AD$48:$AE$51, MATCH(AX2, $AD$48:$AD$51, 0), 2)</f>
        <v>4</v>
      </c>
      <c r="AZ2">
        <v>1</v>
      </c>
      <c r="BA2" s="5">
        <v>4</v>
      </c>
      <c r="BB2">
        <f>INDEX($AD$48:$AE$51, MATCH(BA2, $AD$48:$AD$51, 0), 2)</f>
        <v>1</v>
      </c>
      <c r="BC2">
        <v>1</v>
      </c>
      <c r="BD2">
        <v>1</v>
      </c>
      <c r="BE2" s="5">
        <v>4</v>
      </c>
      <c r="BF2">
        <f>INDEX($AD$48:$AE$51, MATCH(BE2, $AD$48:$AD$51, 0), 2)</f>
        <v>1</v>
      </c>
      <c r="BG2">
        <v>1</v>
      </c>
      <c r="BH2" s="6">
        <f>SUM(AF2:AG2,AI2:AK2,AM2,AO2:AQ2,AS2:AU2,AW2,AY2:AZ2,BB2:BD2,BF2:BG2)</f>
        <v>25</v>
      </c>
      <c r="BI2">
        <v>2</v>
      </c>
      <c r="BJ2" s="1">
        <v>45034.515972222223</v>
      </c>
      <c r="BK2">
        <v>12</v>
      </c>
      <c r="BL2">
        <v>2</v>
      </c>
      <c r="BM2">
        <v>4</v>
      </c>
      <c r="BQ2" s="2">
        <v>43831</v>
      </c>
      <c r="BR2">
        <v>5</v>
      </c>
      <c r="BS2">
        <v>1</v>
      </c>
      <c r="BT2">
        <v>4</v>
      </c>
      <c r="BU2">
        <v>25</v>
      </c>
      <c r="BV2">
        <v>5</v>
      </c>
      <c r="BW2">
        <v>1</v>
      </c>
      <c r="BX2">
        <v>2</v>
      </c>
      <c r="BY2" s="1">
        <v>45034.517361111109</v>
      </c>
      <c r="BZ2">
        <v>3</v>
      </c>
      <c r="CA2">
        <v>2</v>
      </c>
      <c r="CB2">
        <v>2</v>
      </c>
      <c r="CC2">
        <v>3</v>
      </c>
      <c r="CD2">
        <v>3</v>
      </c>
      <c r="CE2">
        <v>2</v>
      </c>
      <c r="CF2">
        <v>2</v>
      </c>
      <c r="CG2">
        <v>3</v>
      </c>
      <c r="CH2">
        <v>1</v>
      </c>
      <c r="CI2">
        <v>2</v>
      </c>
      <c r="CJ2">
        <v>1</v>
      </c>
      <c r="CK2">
        <v>2</v>
      </c>
      <c r="CL2" s="5">
        <v>2</v>
      </c>
      <c r="CM2">
        <f>INDEX($AD$48:$AE$51, MATCH(CL2, $AD$48:$AD$51, 0), 2)</f>
        <v>3</v>
      </c>
      <c r="CN2">
        <v>1</v>
      </c>
      <c r="CO2">
        <v>3</v>
      </c>
      <c r="CP2">
        <v>2</v>
      </c>
      <c r="CQ2">
        <v>1</v>
      </c>
      <c r="CR2" s="5">
        <v>1</v>
      </c>
      <c r="CS2">
        <f>INDEX($AD$48:$AE$51, MATCH(CR2, $AD$48:$AD$51, 0), 2)</f>
        <v>4</v>
      </c>
      <c r="CT2">
        <v>3</v>
      </c>
      <c r="CU2">
        <v>2</v>
      </c>
      <c r="CV2" s="6">
        <f>SUM(CB2,CE2,CN2,CQ2)</f>
        <v>6</v>
      </c>
      <c r="CW2" s="6">
        <f>SUM(CD2,CH2,CJ2,CP2)</f>
        <v>7</v>
      </c>
      <c r="CX2" s="6">
        <f>SUM(BZ2,CG2,CK2,CT2,CU2)</f>
        <v>13</v>
      </c>
      <c r="CY2" s="6">
        <f>SUM(CV2:CX2)</f>
        <v>26</v>
      </c>
      <c r="CZ2" s="6">
        <f>SUM(CA2,CC2,CF2,CI2,CM2,CO2,CS2)</f>
        <v>19</v>
      </c>
      <c r="DA2">
        <v>2</v>
      </c>
      <c r="DB2" s="1">
        <v>45034.518055555556</v>
      </c>
      <c r="DC2">
        <v>1</v>
      </c>
      <c r="DD2">
        <v>0</v>
      </c>
      <c r="DE2">
        <v>0</v>
      </c>
      <c r="DF2">
        <v>0</v>
      </c>
      <c r="DG2">
        <v>0</v>
      </c>
      <c r="DH2">
        <v>0</v>
      </c>
      <c r="DI2">
        <v>0</v>
      </c>
      <c r="DJ2">
        <v>1</v>
      </c>
      <c r="DK2">
        <v>0</v>
      </c>
      <c r="DL2">
        <v>0</v>
      </c>
      <c r="DM2">
        <v>1</v>
      </c>
      <c r="DN2">
        <v>0</v>
      </c>
      <c r="DO2">
        <v>0</v>
      </c>
      <c r="DP2">
        <v>0</v>
      </c>
      <c r="DQ2">
        <v>0</v>
      </c>
      <c r="DR2">
        <v>0</v>
      </c>
      <c r="DS2">
        <v>0</v>
      </c>
      <c r="DT2">
        <v>0</v>
      </c>
      <c r="DU2">
        <v>0</v>
      </c>
      <c r="DV2">
        <v>1</v>
      </c>
      <c r="DW2">
        <v>0</v>
      </c>
      <c r="DX2">
        <v>0</v>
      </c>
      <c r="DY2">
        <v>0</v>
      </c>
      <c r="DZ2">
        <v>0</v>
      </c>
      <c r="EA2">
        <v>1</v>
      </c>
      <c r="EB2">
        <v>1</v>
      </c>
      <c r="EC2">
        <v>0</v>
      </c>
      <c r="ED2">
        <v>0</v>
      </c>
      <c r="EE2">
        <v>0</v>
      </c>
      <c r="EF2">
        <v>0</v>
      </c>
      <c r="EG2">
        <v>0</v>
      </c>
      <c r="EH2">
        <v>0</v>
      </c>
      <c r="EI2">
        <v>0</v>
      </c>
      <c r="EJ2">
        <v>0</v>
      </c>
      <c r="EK2">
        <v>1</v>
      </c>
      <c r="EL2">
        <v>1</v>
      </c>
      <c r="EM2">
        <v>0</v>
      </c>
      <c r="EN2">
        <v>0</v>
      </c>
      <c r="EO2">
        <v>0</v>
      </c>
      <c r="EP2">
        <v>0</v>
      </c>
      <c r="EQ2">
        <v>1</v>
      </c>
      <c r="ER2">
        <v>0</v>
      </c>
      <c r="ES2">
        <v>0</v>
      </c>
      <c r="ET2">
        <v>0</v>
      </c>
      <c r="EU2">
        <v>0</v>
      </c>
      <c r="EV2">
        <v>0</v>
      </c>
      <c r="EW2">
        <v>0</v>
      </c>
      <c r="EX2">
        <v>0</v>
      </c>
      <c r="EY2">
        <v>0</v>
      </c>
      <c r="EZ2">
        <v>1</v>
      </c>
      <c r="FA2">
        <v>0</v>
      </c>
      <c r="FB2">
        <v>0</v>
      </c>
      <c r="FC2">
        <v>0</v>
      </c>
      <c r="FD2">
        <v>0</v>
      </c>
      <c r="FE2">
        <v>1</v>
      </c>
      <c r="FF2">
        <v>1</v>
      </c>
      <c r="FG2">
        <v>0</v>
      </c>
      <c r="FH2">
        <v>0</v>
      </c>
      <c r="FI2">
        <v>0</v>
      </c>
      <c r="FJ2">
        <v>0</v>
      </c>
      <c r="FK2">
        <v>0</v>
      </c>
      <c r="FL2">
        <v>0</v>
      </c>
      <c r="FM2">
        <v>0</v>
      </c>
      <c r="FN2">
        <v>0</v>
      </c>
      <c r="FO2">
        <v>1</v>
      </c>
      <c r="FP2">
        <v>1</v>
      </c>
      <c r="FQ2">
        <v>0</v>
      </c>
      <c r="FR2">
        <v>0</v>
      </c>
      <c r="FS2">
        <v>0</v>
      </c>
      <c r="FT2">
        <v>0</v>
      </c>
      <c r="FU2">
        <v>1</v>
      </c>
      <c r="FV2">
        <v>0</v>
      </c>
      <c r="FW2">
        <v>0</v>
      </c>
      <c r="FX2">
        <v>0</v>
      </c>
      <c r="FY2">
        <v>0</v>
      </c>
      <c r="FZ2">
        <v>0</v>
      </c>
      <c r="GA2">
        <v>0</v>
      </c>
      <c r="GB2">
        <v>0</v>
      </c>
      <c r="GC2">
        <v>0</v>
      </c>
      <c r="GD2">
        <v>1</v>
      </c>
      <c r="GE2">
        <v>1</v>
      </c>
      <c r="GF2">
        <v>0</v>
      </c>
      <c r="GG2">
        <v>0</v>
      </c>
      <c r="GH2">
        <v>0</v>
      </c>
      <c r="GI2">
        <v>0</v>
      </c>
      <c r="GJ2" s="6">
        <f>SUM(DC2:GI2)</f>
        <v>17</v>
      </c>
      <c r="GK2">
        <v>2</v>
      </c>
      <c r="GL2" s="1">
        <v>45034.519444444442</v>
      </c>
      <c r="GM2">
        <v>1</v>
      </c>
      <c r="GN2">
        <v>3</v>
      </c>
      <c r="GO2">
        <v>3</v>
      </c>
      <c r="GP2">
        <v>2</v>
      </c>
      <c r="GQ2" s="5">
        <v>2</v>
      </c>
      <c r="GR2">
        <f>INDEX($AD$48:$AE$51, MATCH(GQ2, $AD$48:$AD$51, 0), 2)</f>
        <v>3</v>
      </c>
      <c r="GS2">
        <v>2</v>
      </c>
      <c r="GT2">
        <v>3</v>
      </c>
      <c r="GU2">
        <v>2</v>
      </c>
      <c r="GV2" s="5">
        <v>3</v>
      </c>
      <c r="GW2">
        <f t="shared" ref="GW2:GW22" si="0">INDEX($AD$48:$AE$51, MATCH(GV2, $AD$48:$AD$51, 0), 2)</f>
        <v>2</v>
      </c>
      <c r="GX2">
        <v>2</v>
      </c>
      <c r="GY2">
        <v>2</v>
      </c>
      <c r="GZ2">
        <v>2</v>
      </c>
      <c r="HA2" s="5">
        <v>3</v>
      </c>
      <c r="HB2">
        <f t="shared" ref="HB2:HB22" si="1">INDEX($AD$48:$AE$51, MATCH(HA2, $AD$48:$AD$51, 0), 2)</f>
        <v>2</v>
      </c>
      <c r="HC2">
        <v>3</v>
      </c>
      <c r="HD2">
        <v>2</v>
      </c>
      <c r="HE2">
        <v>3</v>
      </c>
      <c r="HF2" s="5">
        <v>2</v>
      </c>
      <c r="HG2">
        <f t="shared" ref="HG2:HG22" si="2">INDEX($AD$48:$AE$51, MATCH(HF2, $AD$48:$AD$51, 0), 2)</f>
        <v>3</v>
      </c>
      <c r="HH2">
        <v>3</v>
      </c>
      <c r="HI2" s="6">
        <f>SUM(GN2,GO2,GU2,GX2,GY2,GZ2,HB2)</f>
        <v>16</v>
      </c>
      <c r="HJ2" s="6">
        <f>SUM(GP2,GR2,GS2,GT2,GW2)</f>
        <v>12</v>
      </c>
      <c r="HK2" s="6">
        <f>SUM(GN2:GP2,GR2:GU2,GW2:GZ2,HB2:HE2,HG2:HH2)</f>
        <v>42</v>
      </c>
      <c r="HL2">
        <v>2</v>
      </c>
      <c r="HM2" s="1">
        <v>45034.520138888889</v>
      </c>
      <c r="HN2">
        <v>3</v>
      </c>
      <c r="HO2">
        <v>4</v>
      </c>
      <c r="HP2">
        <v>1</v>
      </c>
      <c r="HQ2">
        <v>2</v>
      </c>
      <c r="HR2" s="1">
        <v>45040.709027777775</v>
      </c>
      <c r="HS2">
        <v>0</v>
      </c>
      <c r="HT2">
        <v>0</v>
      </c>
      <c r="HU2">
        <v>0</v>
      </c>
      <c r="HV2">
        <v>1</v>
      </c>
      <c r="HW2">
        <v>0</v>
      </c>
      <c r="HX2">
        <v>0</v>
      </c>
      <c r="HY2">
        <v>1</v>
      </c>
      <c r="HZ2">
        <v>1</v>
      </c>
      <c r="IA2">
        <v>0</v>
      </c>
      <c r="IB2">
        <v>0</v>
      </c>
      <c r="IC2">
        <v>1</v>
      </c>
      <c r="ID2">
        <v>0</v>
      </c>
      <c r="IE2">
        <v>1</v>
      </c>
      <c r="IF2">
        <v>0</v>
      </c>
      <c r="IG2">
        <v>1</v>
      </c>
      <c r="IH2">
        <v>2</v>
      </c>
      <c r="II2">
        <v>0</v>
      </c>
      <c r="IJ2">
        <v>2</v>
      </c>
      <c r="IK2">
        <v>1</v>
      </c>
      <c r="IL2">
        <v>2</v>
      </c>
      <c r="IM2">
        <v>3</v>
      </c>
      <c r="IN2" s="6">
        <f>SUM(HS2:IM2)</f>
        <v>16</v>
      </c>
      <c r="IO2">
        <v>2</v>
      </c>
      <c r="IP2" s="1">
        <v>45040.710416666669</v>
      </c>
      <c r="IQ2">
        <v>1</v>
      </c>
      <c r="IR2">
        <v>1</v>
      </c>
      <c r="IS2">
        <v>1</v>
      </c>
      <c r="IT2">
        <v>1</v>
      </c>
      <c r="IU2">
        <v>1</v>
      </c>
      <c r="IV2">
        <v>1</v>
      </c>
      <c r="IW2">
        <v>1</v>
      </c>
      <c r="IX2">
        <v>1</v>
      </c>
      <c r="IY2">
        <v>1</v>
      </c>
      <c r="IZ2">
        <v>1</v>
      </c>
      <c r="JA2">
        <v>1</v>
      </c>
      <c r="JB2">
        <v>1</v>
      </c>
      <c r="JC2">
        <v>0</v>
      </c>
      <c r="JD2">
        <v>1</v>
      </c>
      <c r="JE2">
        <v>0</v>
      </c>
      <c r="JF2">
        <v>0</v>
      </c>
      <c r="JG2">
        <v>1</v>
      </c>
      <c r="JH2">
        <v>1</v>
      </c>
      <c r="JI2">
        <v>1</v>
      </c>
      <c r="JJ2">
        <v>0</v>
      </c>
      <c r="JK2" t="s">
        <v>422</v>
      </c>
      <c r="JL2">
        <v>2</v>
      </c>
      <c r="JM2">
        <v>3</v>
      </c>
      <c r="JN2">
        <v>2</v>
      </c>
      <c r="JO2">
        <v>0</v>
      </c>
      <c r="JP2">
        <v>1</v>
      </c>
      <c r="JQ2">
        <v>1</v>
      </c>
      <c r="JR2" t="s">
        <v>227</v>
      </c>
      <c r="JS2" t="s">
        <v>210</v>
      </c>
      <c r="JT2" s="6">
        <f>SUM(IQ2:JI2)</f>
        <v>16</v>
      </c>
      <c r="JU2" s="6">
        <v>3</v>
      </c>
      <c r="JV2" s="6">
        <f>SUM(JL2:JN2)</f>
        <v>7</v>
      </c>
      <c r="JW2" s="6">
        <f>SUM(JO2:JQ2)</f>
        <v>2</v>
      </c>
      <c r="JX2">
        <v>2</v>
      </c>
      <c r="JY2" s="1">
        <v>45040.710416666669</v>
      </c>
      <c r="JZ2">
        <v>0</v>
      </c>
      <c r="KA2">
        <v>0</v>
      </c>
      <c r="KB2">
        <v>0</v>
      </c>
      <c r="KC2" s="6">
        <f>SUM(JZ2:KB2)</f>
        <v>0</v>
      </c>
      <c r="KD2">
        <v>2</v>
      </c>
      <c r="KE2" s="1">
        <v>45040.710416666669</v>
      </c>
      <c r="KF2" s="6">
        <v>66.7</v>
      </c>
      <c r="KG2" s="6">
        <v>2.2999999999999998</v>
      </c>
      <c r="KP2">
        <v>5</v>
      </c>
      <c r="UH2">
        <v>4</v>
      </c>
      <c r="UX2">
        <v>4</v>
      </c>
      <c r="XN2" s="6">
        <v>4</v>
      </c>
      <c r="YX2">
        <v>4</v>
      </c>
      <c r="YY2" s="6">
        <v>66.7</v>
      </c>
      <c r="YZ2" s="6">
        <v>2.2999999999999998</v>
      </c>
      <c r="ZB2">
        <v>2</v>
      </c>
      <c r="ZC2" s="1">
        <v>45040.711805555555</v>
      </c>
      <c r="ZD2">
        <v>2</v>
      </c>
      <c r="ZE2">
        <v>1</v>
      </c>
      <c r="ZF2">
        <v>1</v>
      </c>
      <c r="ZG2">
        <v>1</v>
      </c>
      <c r="ZH2">
        <v>2</v>
      </c>
      <c r="ZI2">
        <v>1</v>
      </c>
      <c r="ZJ2">
        <v>1</v>
      </c>
      <c r="ZK2">
        <v>3</v>
      </c>
      <c r="ZL2">
        <v>1</v>
      </c>
      <c r="ZM2">
        <v>1</v>
      </c>
      <c r="ZN2">
        <v>3</v>
      </c>
      <c r="ZO2">
        <v>1</v>
      </c>
      <c r="ZP2">
        <v>1</v>
      </c>
      <c r="ZQ2">
        <v>1</v>
      </c>
      <c r="ZR2">
        <v>1</v>
      </c>
      <c r="ZS2">
        <v>1</v>
      </c>
      <c r="ZT2">
        <v>3</v>
      </c>
      <c r="ZU2">
        <v>1</v>
      </c>
      <c r="ZV2">
        <v>1</v>
      </c>
      <c r="ZW2">
        <v>1</v>
      </c>
      <c r="ZX2" s="6">
        <f>SUM(ZD2,ZF2,ZH2,ZL2,ZM2,ZO2,ZQ2,ZS2,ZT2,ZV2)</f>
        <v>14</v>
      </c>
      <c r="ZY2" s="6">
        <f>SUM(ZE2,ZG2,ZI2,ZJ2,ZK2,ZN2,ZP2,ZR2,ZU2,ZW2)</f>
        <v>14</v>
      </c>
      <c r="ZZ2">
        <v>2</v>
      </c>
      <c r="AAA2" s="1">
        <v>45040.711805555555</v>
      </c>
      <c r="AAB2">
        <v>1</v>
      </c>
      <c r="AAC2">
        <v>2</v>
      </c>
      <c r="AAD2">
        <v>0</v>
      </c>
      <c r="AAE2">
        <v>1</v>
      </c>
      <c r="AAF2">
        <v>1</v>
      </c>
      <c r="AAG2">
        <v>0</v>
      </c>
      <c r="AAH2">
        <v>1</v>
      </c>
      <c r="AAI2">
        <v>1</v>
      </c>
      <c r="AAJ2">
        <v>0</v>
      </c>
      <c r="AAK2">
        <v>1</v>
      </c>
      <c r="AAL2">
        <v>0</v>
      </c>
      <c r="AAM2">
        <v>1</v>
      </c>
      <c r="AAN2">
        <v>2</v>
      </c>
      <c r="AAO2">
        <v>0</v>
      </c>
      <c r="AAP2">
        <v>0</v>
      </c>
      <c r="AAQ2">
        <v>2</v>
      </c>
      <c r="AAR2">
        <v>0</v>
      </c>
      <c r="AAS2">
        <v>0</v>
      </c>
      <c r="AAT2" s="6">
        <f>SUM(AAB2,AAE2,AAH2,AAK2,AAN2,AAQ2)</f>
        <v>8</v>
      </c>
      <c r="AAU2" s="6">
        <f>SUM(AAC2,AAF2,AAI2,AAL2,AAO2,AAR2)</f>
        <v>4</v>
      </c>
      <c r="AAV2" s="6">
        <f>SUM(AAD2,AAG2,AAJ2,AAM2,AAP2,AAS2)</f>
        <v>1</v>
      </c>
      <c r="AAW2" s="6">
        <f>SUM(AAB2:AAS2)</f>
        <v>13</v>
      </c>
      <c r="AAX2">
        <v>2</v>
      </c>
      <c r="AAY2" s="1">
        <v>45040.713194444441</v>
      </c>
      <c r="AAZ2">
        <v>1</v>
      </c>
      <c r="ABA2">
        <v>7</v>
      </c>
      <c r="ABB2">
        <v>3</v>
      </c>
      <c r="ABC2">
        <v>5</v>
      </c>
      <c r="ABD2">
        <v>5</v>
      </c>
      <c r="ABE2">
        <v>14</v>
      </c>
      <c r="ABF2">
        <v>7</v>
      </c>
      <c r="ABG2">
        <v>7</v>
      </c>
      <c r="ABH2">
        <v>5</v>
      </c>
      <c r="ABI2">
        <v>6</v>
      </c>
      <c r="ABJ2">
        <v>4</v>
      </c>
      <c r="ABK2">
        <v>7</v>
      </c>
      <c r="ABL2">
        <v>5</v>
      </c>
      <c r="ABM2">
        <v>5</v>
      </c>
      <c r="ABN2">
        <v>0</v>
      </c>
      <c r="ABO2" s="6">
        <f>AVERAGE(ABA2:ABD2)</f>
        <v>5</v>
      </c>
      <c r="ABP2" s="6">
        <f>AVERAGE(ABF2:ABL2)</f>
        <v>5.8571428571428568</v>
      </c>
      <c r="ABQ2">
        <v>2</v>
      </c>
      <c r="ABS2">
        <v>0</v>
      </c>
      <c r="ABT2">
        <v>0</v>
      </c>
      <c r="ABU2">
        <v>3</v>
      </c>
      <c r="ABV2">
        <v>0</v>
      </c>
      <c r="ABW2">
        <v>3</v>
      </c>
      <c r="ABX2">
        <v>1</v>
      </c>
      <c r="ABY2">
        <v>1</v>
      </c>
      <c r="ABZ2">
        <v>0</v>
      </c>
      <c r="ACA2">
        <v>1</v>
      </c>
      <c r="ACB2">
        <v>0</v>
      </c>
      <c r="ACC2">
        <v>0</v>
      </c>
      <c r="ACD2">
        <v>0</v>
      </c>
      <c r="ACE2">
        <v>3</v>
      </c>
      <c r="ACF2">
        <v>1</v>
      </c>
      <c r="ACG2">
        <v>1</v>
      </c>
      <c r="ACH2">
        <v>0</v>
      </c>
      <c r="ACI2">
        <v>0</v>
      </c>
      <c r="ACJ2">
        <v>2</v>
      </c>
      <c r="ACK2">
        <v>3</v>
      </c>
      <c r="ACL2">
        <v>0</v>
      </c>
      <c r="ACM2">
        <v>0</v>
      </c>
      <c r="ACN2">
        <v>3</v>
      </c>
      <c r="ACO2">
        <v>3</v>
      </c>
      <c r="ACP2">
        <v>0</v>
      </c>
      <c r="ACQ2">
        <v>0</v>
      </c>
      <c r="ACR2">
        <v>2</v>
      </c>
      <c r="ACS2">
        <v>0</v>
      </c>
      <c r="ACT2">
        <v>0</v>
      </c>
      <c r="ACU2">
        <v>3</v>
      </c>
      <c r="ACV2">
        <v>0</v>
      </c>
      <c r="ACW2" s="6">
        <f>SUM(ABS2,ABX2,ACD2,ACH2,ACL2)</f>
        <v>1</v>
      </c>
      <c r="ACX2" s="6">
        <f>SUM(ABY2,ACC2,ACG2,ACI2,ACM2)</f>
        <v>2</v>
      </c>
      <c r="ACY2" s="6">
        <f>SUM(ABT2,ACA2,ACF2,ACQ2,ACT2)</f>
        <v>2</v>
      </c>
      <c r="ACZ2" s="6">
        <f>SUM(ABU2,ACE2,ACK2,ACN2,ACO2)</f>
        <v>15</v>
      </c>
      <c r="ADA2" s="6">
        <f>SUM(ABW2,ACJ2,ACP2,ACR2,ACU2)</f>
        <v>10</v>
      </c>
      <c r="ADB2" s="6">
        <f>SUM(ABV2,ABZ2,ACB2,ACS2,ACV2)</f>
        <v>0</v>
      </c>
      <c r="ADC2" s="6">
        <f>ACW2+ACX2+ACY2+ACZ2+ADA2-ADB2</f>
        <v>30</v>
      </c>
      <c r="ADD2">
        <v>2</v>
      </c>
      <c r="ADE2" s="1">
        <v>45040.714583333334</v>
      </c>
      <c r="ADF2" s="5">
        <v>3</v>
      </c>
      <c r="ADG2">
        <f>INDEX($AD$48:$AE$51, MATCH(ADF2, $AD$48:$AD$51, 0), 2)</f>
        <v>2</v>
      </c>
      <c r="ADH2" s="5">
        <v>2</v>
      </c>
      <c r="ADI2">
        <f>INDEX($AD$48:$AE$51, MATCH(ADH2, $AD$48:$AD$51, 0), 2)</f>
        <v>3</v>
      </c>
      <c r="ADJ2">
        <v>1</v>
      </c>
      <c r="ADK2">
        <v>1</v>
      </c>
      <c r="ADL2" s="5">
        <v>2</v>
      </c>
      <c r="ADM2">
        <f t="shared" ref="ADM2:ADM45" si="3">INDEX($AD$48:$AE$51, MATCH(ADL2, $AD$48:$AD$51, 0), 2)</f>
        <v>3</v>
      </c>
      <c r="ADN2">
        <v>1</v>
      </c>
      <c r="ADO2">
        <v>1</v>
      </c>
      <c r="ADP2" s="5">
        <v>2</v>
      </c>
      <c r="ADQ2">
        <f t="shared" ref="ADQ2:ADQ45" si="4">INDEX($AD$48:$AE$51, MATCH(ADP2, $AD$48:$AD$51, 0), 2)</f>
        <v>3</v>
      </c>
      <c r="ADR2">
        <v>1</v>
      </c>
      <c r="ADS2" s="5">
        <v>2</v>
      </c>
      <c r="ADT2">
        <f t="shared" ref="ADT2:ADV45" si="5">INDEX($AD$48:$AE$51, MATCH(ADS2, $AD$48:$AD$51, 0), 2)</f>
        <v>3</v>
      </c>
      <c r="ADU2" s="5">
        <v>2</v>
      </c>
      <c r="ADV2">
        <f t="shared" si="5"/>
        <v>3</v>
      </c>
      <c r="ADW2">
        <v>1</v>
      </c>
      <c r="ADX2">
        <v>1</v>
      </c>
      <c r="ADY2">
        <v>2</v>
      </c>
      <c r="ADZ2" s="5">
        <v>2</v>
      </c>
      <c r="AEA2">
        <f t="shared" ref="AEA2:AEC45" si="6">INDEX($AD$48:$AE$51, MATCH(ADZ2, $AD$48:$AD$51, 0), 2)</f>
        <v>3</v>
      </c>
      <c r="AEB2" s="5">
        <v>2</v>
      </c>
      <c r="AEC2">
        <f t="shared" si="6"/>
        <v>3</v>
      </c>
      <c r="AED2">
        <v>2</v>
      </c>
      <c r="AEE2">
        <v>3</v>
      </c>
      <c r="AEF2" s="5">
        <v>2</v>
      </c>
      <c r="AEG2">
        <f t="shared" ref="AEG2:AEG45" si="7">INDEX($AD$48:$AE$51, MATCH(AEF2, $AD$48:$AD$51, 0), 2)</f>
        <v>3</v>
      </c>
      <c r="AEH2" s="5">
        <v>2</v>
      </c>
      <c r="AEI2">
        <f t="shared" ref="AEI2:AEI45" si="8">INDEX($AD$48:$AE$51, MATCH(AEH2, $AD$48:$AD$51, 0), 2)</f>
        <v>3</v>
      </c>
      <c r="AEJ2" s="6">
        <f>SUM(ADG2,ADI2:ADK2,ADM2:ADO2,ADQ2:ADR2,ADT2,ADV2:ADY2,AEA2,AEA2,AEC2:AEE2,AEG2,AEI2)</f>
        <v>46</v>
      </c>
      <c r="AEK2">
        <v>2</v>
      </c>
      <c r="AEL2" s="1">
        <v>45040.714583333334</v>
      </c>
      <c r="AEM2">
        <v>0</v>
      </c>
      <c r="AER2">
        <v>0</v>
      </c>
      <c r="AES2">
        <v>0</v>
      </c>
      <c r="AET2">
        <v>0</v>
      </c>
      <c r="AEU2">
        <v>0</v>
      </c>
      <c r="AEV2">
        <v>0</v>
      </c>
      <c r="AEX2">
        <v>2</v>
      </c>
    </row>
    <row r="3" spans="1:830">
      <c r="A3">
        <v>191</v>
      </c>
      <c r="B3" t="s">
        <v>1202</v>
      </c>
      <c r="C3">
        <v>2</v>
      </c>
      <c r="D3">
        <v>2</v>
      </c>
      <c r="E3">
        <v>41</v>
      </c>
      <c r="F3">
        <v>68</v>
      </c>
      <c r="G3">
        <v>220</v>
      </c>
      <c r="H3">
        <v>0</v>
      </c>
      <c r="I3">
        <v>3</v>
      </c>
      <c r="K3" t="s">
        <v>429</v>
      </c>
      <c r="L3">
        <v>2</v>
      </c>
      <c r="M3" s="1">
        <v>45059.994444444441</v>
      </c>
      <c r="N3">
        <v>7</v>
      </c>
      <c r="O3">
        <v>0</v>
      </c>
      <c r="Q3">
        <v>0</v>
      </c>
      <c r="R3">
        <v>0</v>
      </c>
      <c r="S3">
        <v>0</v>
      </c>
      <c r="T3">
        <v>0</v>
      </c>
      <c r="U3">
        <v>1</v>
      </c>
      <c r="V3">
        <v>0</v>
      </c>
      <c r="W3">
        <v>0</v>
      </c>
      <c r="X3">
        <v>0</v>
      </c>
      <c r="Y3">
        <v>0</v>
      </c>
      <c r="Z3">
        <v>0</v>
      </c>
      <c r="AA3">
        <v>0</v>
      </c>
      <c r="AB3">
        <v>2</v>
      </c>
      <c r="AC3">
        <v>2</v>
      </c>
      <c r="AD3" s="1">
        <v>45060.003472222219</v>
      </c>
      <c r="AE3" s="5">
        <v>3</v>
      </c>
      <c r="AF3">
        <f t="shared" ref="AF3:AF45" si="9">INDEX($AD$48:$AE$51, MATCH(AE3, $AD$48:$AD$51, 0), 2)</f>
        <v>2</v>
      </c>
      <c r="AG3">
        <v>2</v>
      </c>
      <c r="AH3" s="5">
        <v>3</v>
      </c>
      <c r="AI3">
        <f t="shared" ref="AI3:AI45" si="10">INDEX($AD$48:$AE$51, MATCH(AH3, $AD$48:$AD$51, 0), 2)</f>
        <v>2</v>
      </c>
      <c r="AJ3">
        <v>2</v>
      </c>
      <c r="AK3">
        <v>2</v>
      </c>
      <c r="AL3" s="5">
        <v>2</v>
      </c>
      <c r="AM3">
        <f t="shared" ref="AM3:AM45" si="11">INDEX($AD$48:$AE$51, MATCH(AL3, $AD$48:$AD$51, 0), 2)</f>
        <v>3</v>
      </c>
      <c r="AN3" s="5">
        <v>4</v>
      </c>
      <c r="AO3">
        <f t="shared" ref="AO3:AO45" si="12">INDEX($AD$48:$AE$51, MATCH(AN3, $AD$48:$AD$51, 0), 2)</f>
        <v>1</v>
      </c>
      <c r="AP3">
        <v>1</v>
      </c>
      <c r="AQ3">
        <v>2</v>
      </c>
      <c r="AR3" s="5">
        <v>3</v>
      </c>
      <c r="AS3">
        <f t="shared" ref="AS3:AS45" si="13">INDEX($AD$48:$AE$51, MATCH(AR3, $AD$48:$AD$51, 0), 2)</f>
        <v>2</v>
      </c>
      <c r="AT3">
        <v>1</v>
      </c>
      <c r="AU3">
        <v>2</v>
      </c>
      <c r="AV3" s="5">
        <v>3</v>
      </c>
      <c r="AW3">
        <f t="shared" ref="AW3:AW45" si="14">INDEX($AD$48:$AE$51, MATCH(AV3, $AD$48:$AD$51, 0), 2)</f>
        <v>2</v>
      </c>
      <c r="AX3" s="5">
        <v>2</v>
      </c>
      <c r="AY3">
        <f t="shared" ref="AY3:AY45" si="15">INDEX($AD$48:$AE$51, MATCH(AX3, $AD$48:$AD$51, 0), 2)</f>
        <v>3</v>
      </c>
      <c r="AZ3">
        <v>1</v>
      </c>
      <c r="BA3" s="5">
        <v>3</v>
      </c>
      <c r="BB3">
        <f t="shared" ref="BB3:BB45" si="16">INDEX($AD$48:$AE$51, MATCH(BA3, $AD$48:$AD$51, 0), 2)</f>
        <v>2</v>
      </c>
      <c r="BC3">
        <v>2</v>
      </c>
      <c r="BD3">
        <v>1</v>
      </c>
      <c r="BE3" s="5">
        <v>3</v>
      </c>
      <c r="BF3">
        <f t="shared" ref="BF3:BF45" si="17">INDEX($AD$48:$AE$51, MATCH(BE3, $AD$48:$AD$51, 0), 2)</f>
        <v>2</v>
      </c>
      <c r="BG3">
        <v>1</v>
      </c>
      <c r="BH3" s="6">
        <f t="shared" ref="BH3:BH45" si="18">SUM(AF3:AG3,AI3:AK3,AM3,AO3:AQ3,AS3:AU3,AW3,AY3:AZ3,BB3:BD3,BF3:BG3)</f>
        <v>36</v>
      </c>
      <c r="BI3">
        <v>2</v>
      </c>
      <c r="BJ3" s="1">
        <v>45060.006944444445</v>
      </c>
      <c r="BK3">
        <v>13</v>
      </c>
      <c r="BL3">
        <v>6</v>
      </c>
      <c r="BM3">
        <v>1</v>
      </c>
      <c r="BQ3" s="2">
        <v>45035</v>
      </c>
      <c r="BU3">
        <v>28</v>
      </c>
      <c r="BV3">
        <v>4</v>
      </c>
      <c r="BW3">
        <v>1</v>
      </c>
      <c r="BX3">
        <v>2</v>
      </c>
      <c r="BY3" s="1">
        <v>45060.018750000003</v>
      </c>
      <c r="BZ3">
        <v>3</v>
      </c>
      <c r="CA3">
        <v>2</v>
      </c>
      <c r="CB3">
        <v>3</v>
      </c>
      <c r="CC3">
        <v>2</v>
      </c>
      <c r="CD3">
        <v>4</v>
      </c>
      <c r="CE3">
        <v>3</v>
      </c>
      <c r="CF3">
        <v>3</v>
      </c>
      <c r="CG3">
        <v>4</v>
      </c>
      <c r="CH3">
        <v>4</v>
      </c>
      <c r="CI3">
        <v>3</v>
      </c>
      <c r="CJ3">
        <v>3</v>
      </c>
      <c r="CK3">
        <v>3</v>
      </c>
      <c r="CL3" s="5">
        <v>3</v>
      </c>
      <c r="CM3">
        <f t="shared" ref="CM3:CM45" si="19">INDEX($AD$48:$AE$51, MATCH(CL3, $AD$48:$AD$51, 0), 2)</f>
        <v>2</v>
      </c>
      <c r="CN3">
        <v>2</v>
      </c>
      <c r="CO3">
        <v>4</v>
      </c>
      <c r="CP3">
        <v>3</v>
      </c>
      <c r="CQ3">
        <v>2</v>
      </c>
      <c r="CR3" s="5">
        <v>2</v>
      </c>
      <c r="CS3">
        <f t="shared" ref="CS3:CS45" si="20">INDEX($AD$48:$AE$51, MATCH(CR3, $AD$48:$AD$51, 0), 2)</f>
        <v>3</v>
      </c>
      <c r="CT3">
        <v>2</v>
      </c>
      <c r="CU3">
        <v>2</v>
      </c>
      <c r="CV3" s="6">
        <f t="shared" ref="CV3:CV45" si="21">SUM(CB3,CE3,CN3,CQ3)</f>
        <v>10</v>
      </c>
      <c r="CW3" s="6">
        <f t="shared" ref="CW3:CW45" si="22">SUM(CD3,CH3,CJ3,CP3)</f>
        <v>14</v>
      </c>
      <c r="CX3" s="6">
        <f t="shared" ref="CX3:CX45" si="23">SUM(BZ3,CG3,CK3,CT3,CU3)</f>
        <v>14</v>
      </c>
      <c r="CY3" s="6">
        <f t="shared" ref="CY3:CY45" si="24">SUM(CV3:CX3)</f>
        <v>38</v>
      </c>
      <c r="CZ3" s="6">
        <f t="shared" ref="CZ3:CZ45" si="25">SUM(CA3,CC3,CF3,CI3,CM3,CO3,CS3)</f>
        <v>19</v>
      </c>
      <c r="DA3">
        <v>2</v>
      </c>
      <c r="DB3" s="1">
        <v>45060.040277777778</v>
      </c>
      <c r="DC3">
        <v>1</v>
      </c>
      <c r="DD3">
        <v>0</v>
      </c>
      <c r="DE3">
        <v>0</v>
      </c>
      <c r="DF3">
        <v>0</v>
      </c>
      <c r="DG3">
        <v>0</v>
      </c>
      <c r="DH3">
        <v>0</v>
      </c>
      <c r="DI3">
        <v>1</v>
      </c>
      <c r="DJ3">
        <v>1</v>
      </c>
      <c r="DK3">
        <v>0</v>
      </c>
      <c r="DL3">
        <v>0</v>
      </c>
      <c r="DM3">
        <v>1</v>
      </c>
      <c r="DN3">
        <v>0</v>
      </c>
      <c r="DO3">
        <v>1</v>
      </c>
      <c r="DP3">
        <v>0</v>
      </c>
      <c r="DQ3">
        <v>0</v>
      </c>
      <c r="DR3">
        <v>0</v>
      </c>
      <c r="DS3">
        <v>0</v>
      </c>
      <c r="DT3">
        <v>0</v>
      </c>
      <c r="DU3">
        <v>0</v>
      </c>
      <c r="DV3">
        <v>1</v>
      </c>
      <c r="DW3">
        <v>0</v>
      </c>
      <c r="DX3">
        <v>0</v>
      </c>
      <c r="DY3">
        <v>1</v>
      </c>
      <c r="DZ3">
        <v>0</v>
      </c>
      <c r="EA3">
        <v>0</v>
      </c>
      <c r="EB3">
        <v>0</v>
      </c>
      <c r="EC3">
        <v>0</v>
      </c>
      <c r="ED3">
        <v>0</v>
      </c>
      <c r="EE3">
        <v>0</v>
      </c>
      <c r="EF3">
        <v>1</v>
      </c>
      <c r="EG3">
        <v>0</v>
      </c>
      <c r="EH3">
        <v>0</v>
      </c>
      <c r="EI3">
        <v>0</v>
      </c>
      <c r="EJ3">
        <v>0</v>
      </c>
      <c r="EK3">
        <v>1</v>
      </c>
      <c r="EL3">
        <v>0</v>
      </c>
      <c r="EM3">
        <v>0</v>
      </c>
      <c r="EN3">
        <v>1</v>
      </c>
      <c r="EO3">
        <v>0</v>
      </c>
      <c r="EP3">
        <v>0</v>
      </c>
      <c r="EQ3">
        <v>1</v>
      </c>
      <c r="ER3">
        <v>0</v>
      </c>
      <c r="ES3">
        <v>0</v>
      </c>
      <c r="ET3">
        <v>0</v>
      </c>
      <c r="EU3">
        <v>0</v>
      </c>
      <c r="EV3">
        <v>0</v>
      </c>
      <c r="EW3">
        <v>0</v>
      </c>
      <c r="EX3">
        <v>0</v>
      </c>
      <c r="EY3">
        <v>0</v>
      </c>
      <c r="EZ3">
        <v>1</v>
      </c>
      <c r="FA3">
        <v>0</v>
      </c>
      <c r="FB3">
        <v>0</v>
      </c>
      <c r="FC3">
        <v>0</v>
      </c>
      <c r="FD3">
        <v>0</v>
      </c>
      <c r="FE3">
        <v>1</v>
      </c>
      <c r="FF3">
        <v>0</v>
      </c>
      <c r="FG3">
        <v>1</v>
      </c>
      <c r="FH3">
        <v>1</v>
      </c>
      <c r="FI3">
        <v>0</v>
      </c>
      <c r="FJ3">
        <v>0</v>
      </c>
      <c r="FK3">
        <v>0</v>
      </c>
      <c r="FL3">
        <v>0</v>
      </c>
      <c r="FM3">
        <v>0</v>
      </c>
      <c r="FN3">
        <v>1</v>
      </c>
      <c r="FO3">
        <v>0</v>
      </c>
      <c r="FP3">
        <v>0</v>
      </c>
      <c r="FQ3">
        <v>0</v>
      </c>
      <c r="FR3">
        <v>1</v>
      </c>
      <c r="FS3">
        <v>0</v>
      </c>
      <c r="FT3">
        <v>0</v>
      </c>
      <c r="FU3">
        <v>0</v>
      </c>
      <c r="FV3">
        <v>0</v>
      </c>
      <c r="FW3">
        <v>0</v>
      </c>
      <c r="FX3">
        <v>0</v>
      </c>
      <c r="FY3">
        <v>1</v>
      </c>
      <c r="FZ3">
        <v>0</v>
      </c>
      <c r="GA3">
        <v>0</v>
      </c>
      <c r="GB3">
        <v>0</v>
      </c>
      <c r="GC3">
        <v>0</v>
      </c>
      <c r="GD3">
        <v>1</v>
      </c>
      <c r="GE3">
        <v>1</v>
      </c>
      <c r="GF3">
        <v>1</v>
      </c>
      <c r="GG3">
        <v>0</v>
      </c>
      <c r="GH3">
        <v>0</v>
      </c>
      <c r="GI3">
        <v>0</v>
      </c>
      <c r="GJ3" s="6">
        <f t="shared" ref="GJ3:GJ45" si="26">SUM(DC3:GI3)</f>
        <v>21</v>
      </c>
      <c r="GK3">
        <v>2</v>
      </c>
      <c r="GL3" s="1">
        <v>45060.043055555558</v>
      </c>
      <c r="GM3">
        <v>1</v>
      </c>
      <c r="GN3">
        <v>3</v>
      </c>
      <c r="GO3">
        <v>2</v>
      </c>
      <c r="GP3">
        <v>2</v>
      </c>
      <c r="GQ3" s="5">
        <v>3</v>
      </c>
      <c r="GR3">
        <f t="shared" ref="GR3:GR22" si="27">INDEX($AD$48:$AE$51, MATCH(GQ3, $AD$48:$AD$51, 0), 2)</f>
        <v>2</v>
      </c>
      <c r="GS3">
        <v>2</v>
      </c>
      <c r="GT3">
        <v>2</v>
      </c>
      <c r="GU3">
        <v>1</v>
      </c>
      <c r="GV3" s="5">
        <v>3</v>
      </c>
      <c r="GW3">
        <f t="shared" si="0"/>
        <v>2</v>
      </c>
      <c r="GX3">
        <v>3</v>
      </c>
      <c r="GY3">
        <v>2</v>
      </c>
      <c r="GZ3">
        <v>2</v>
      </c>
      <c r="HA3" s="5">
        <v>3</v>
      </c>
      <c r="HB3">
        <f t="shared" si="1"/>
        <v>2</v>
      </c>
      <c r="HC3">
        <v>2</v>
      </c>
      <c r="HD3">
        <v>2</v>
      </c>
      <c r="HE3">
        <v>2</v>
      </c>
      <c r="HF3" s="5">
        <v>2</v>
      </c>
      <c r="HG3">
        <f t="shared" si="2"/>
        <v>3</v>
      </c>
      <c r="HH3">
        <v>2</v>
      </c>
      <c r="HI3" s="6">
        <f t="shared" ref="HI3:HI22" si="28">SUM(GN3,GO3,GU3,GX3,GY3,GZ3,HB3)</f>
        <v>15</v>
      </c>
      <c r="HJ3" s="6">
        <f t="shared" ref="HJ3:HJ22" si="29">SUM(GP3,GR3,GS3,GT3,GW3)</f>
        <v>10</v>
      </c>
      <c r="HK3" s="6">
        <f t="shared" ref="HK3:HK22" si="30">SUM(GN3:GP3,GR3:GU3,GW3:GZ3,HB3:HE3,HG3:HH3)</f>
        <v>36</v>
      </c>
      <c r="HL3">
        <v>2</v>
      </c>
      <c r="HM3" s="1">
        <v>45060.045138888891</v>
      </c>
      <c r="HN3">
        <v>8</v>
      </c>
      <c r="HO3">
        <v>14</v>
      </c>
      <c r="HP3">
        <v>13</v>
      </c>
      <c r="HQ3">
        <v>2</v>
      </c>
      <c r="HR3" s="1">
        <v>45071.678472222222</v>
      </c>
      <c r="HS3">
        <v>0</v>
      </c>
      <c r="HT3">
        <v>0</v>
      </c>
      <c r="HU3">
        <v>1</v>
      </c>
      <c r="HV3">
        <v>1</v>
      </c>
      <c r="HW3">
        <v>2</v>
      </c>
      <c r="HX3">
        <v>0</v>
      </c>
      <c r="HY3">
        <v>0</v>
      </c>
      <c r="HZ3">
        <v>2</v>
      </c>
      <c r="IA3">
        <v>0</v>
      </c>
      <c r="IB3">
        <v>0</v>
      </c>
      <c r="IC3">
        <v>0</v>
      </c>
      <c r="ID3">
        <v>1</v>
      </c>
      <c r="IE3">
        <v>1</v>
      </c>
      <c r="IF3">
        <v>1</v>
      </c>
      <c r="IG3">
        <v>1</v>
      </c>
      <c r="IH3">
        <v>1</v>
      </c>
      <c r="II3">
        <v>0</v>
      </c>
      <c r="IJ3">
        <v>0</v>
      </c>
      <c r="IK3">
        <v>1</v>
      </c>
      <c r="IL3">
        <v>2</v>
      </c>
      <c r="IM3">
        <v>1</v>
      </c>
      <c r="IN3" s="6">
        <f t="shared" ref="IN3:IN45" si="31">SUM(HS3:IM3)</f>
        <v>15</v>
      </c>
      <c r="IO3">
        <v>2</v>
      </c>
      <c r="IP3" s="1">
        <v>45071.682638888888</v>
      </c>
      <c r="IQ3">
        <v>1</v>
      </c>
      <c r="IR3">
        <v>1</v>
      </c>
      <c r="IS3">
        <v>0</v>
      </c>
      <c r="IT3">
        <v>0</v>
      </c>
      <c r="IU3">
        <v>0</v>
      </c>
      <c r="IV3">
        <v>1</v>
      </c>
      <c r="IW3">
        <v>1</v>
      </c>
      <c r="IX3">
        <v>1</v>
      </c>
      <c r="IY3">
        <v>1</v>
      </c>
      <c r="IZ3">
        <v>0</v>
      </c>
      <c r="JA3">
        <v>1</v>
      </c>
      <c r="JB3">
        <v>1</v>
      </c>
      <c r="JC3">
        <v>0</v>
      </c>
      <c r="JD3">
        <v>0</v>
      </c>
      <c r="JE3">
        <v>0</v>
      </c>
      <c r="JF3">
        <v>1</v>
      </c>
      <c r="JG3">
        <v>1</v>
      </c>
      <c r="JH3">
        <v>1</v>
      </c>
      <c r="JI3">
        <v>1</v>
      </c>
      <c r="JJ3">
        <v>0</v>
      </c>
      <c r="JK3">
        <v>10</v>
      </c>
      <c r="JL3">
        <v>1</v>
      </c>
      <c r="JM3">
        <v>2</v>
      </c>
      <c r="JN3">
        <v>2</v>
      </c>
      <c r="JO3">
        <v>1</v>
      </c>
      <c r="JP3">
        <v>1</v>
      </c>
      <c r="JQ3">
        <v>1</v>
      </c>
      <c r="JR3" t="s">
        <v>227</v>
      </c>
      <c r="JS3" t="s">
        <v>430</v>
      </c>
      <c r="JT3" s="6">
        <f t="shared" ref="JT3:JT45" si="32">SUM(IQ3:JI3)</f>
        <v>12</v>
      </c>
      <c r="JU3" s="6">
        <v>10</v>
      </c>
      <c r="JV3" s="6">
        <f t="shared" ref="JV3:JV23" si="33">SUM(JL3:JN3)</f>
        <v>5</v>
      </c>
      <c r="JW3" s="6">
        <f t="shared" ref="JW3:JW23" si="34">SUM(JO3:JQ3)</f>
        <v>3</v>
      </c>
      <c r="JX3">
        <v>2</v>
      </c>
      <c r="JY3" s="1">
        <v>45071.683333333334</v>
      </c>
      <c r="JZ3">
        <v>0</v>
      </c>
      <c r="KA3">
        <v>0</v>
      </c>
      <c r="KB3">
        <v>0</v>
      </c>
      <c r="KC3" s="6">
        <f t="shared" ref="KC3:KC45" si="35">SUM(JZ3:KB3)</f>
        <v>0</v>
      </c>
      <c r="KD3">
        <v>2</v>
      </c>
      <c r="KE3" s="1">
        <v>45071.684027777781</v>
      </c>
      <c r="KF3" s="6">
        <v>60.5</v>
      </c>
      <c r="KG3" s="6">
        <v>2.2999999999999998</v>
      </c>
      <c r="KP3">
        <v>3</v>
      </c>
      <c r="UH3">
        <v>3</v>
      </c>
      <c r="UX3">
        <v>4</v>
      </c>
      <c r="XN3" s="6">
        <v>4</v>
      </c>
      <c r="YX3">
        <v>4</v>
      </c>
      <c r="YY3" s="6">
        <v>60.5</v>
      </c>
      <c r="YZ3" s="6">
        <v>2.2999999999999998</v>
      </c>
      <c r="ZB3">
        <v>2</v>
      </c>
      <c r="ZC3" s="1">
        <v>45071.68472222222</v>
      </c>
      <c r="ZD3">
        <v>3</v>
      </c>
      <c r="ZE3">
        <v>4</v>
      </c>
      <c r="ZF3">
        <v>1</v>
      </c>
      <c r="ZG3">
        <v>1</v>
      </c>
      <c r="ZH3">
        <v>2</v>
      </c>
      <c r="ZI3">
        <v>2</v>
      </c>
      <c r="ZJ3">
        <v>2</v>
      </c>
      <c r="ZK3">
        <v>1</v>
      </c>
      <c r="ZL3">
        <v>2</v>
      </c>
      <c r="ZM3">
        <v>2</v>
      </c>
      <c r="ZN3">
        <v>2</v>
      </c>
      <c r="ZO3">
        <v>4</v>
      </c>
      <c r="ZP3">
        <v>1</v>
      </c>
      <c r="ZQ3">
        <v>2</v>
      </c>
      <c r="ZR3">
        <v>3</v>
      </c>
      <c r="ZS3">
        <v>3</v>
      </c>
      <c r="ZT3">
        <v>4</v>
      </c>
      <c r="ZU3">
        <v>3</v>
      </c>
      <c r="ZV3">
        <v>2</v>
      </c>
      <c r="ZW3">
        <v>1</v>
      </c>
      <c r="ZX3" s="6">
        <f t="shared" ref="ZX3:ZX45" si="36">SUM(ZD3,ZF3,ZH3,ZL3,ZM3,ZO3,ZQ3,ZS3,ZT3,ZV3)</f>
        <v>25</v>
      </c>
      <c r="ZY3" s="6">
        <f t="shared" ref="ZY3:ZY45" si="37">SUM(ZE3,ZG3,ZI3,ZJ3,ZK3,ZN3,ZP3,ZR3,ZU3,ZW3)</f>
        <v>20</v>
      </c>
      <c r="ZZ3">
        <v>2</v>
      </c>
      <c r="AAA3" s="1">
        <v>45071.686111111114</v>
      </c>
      <c r="AAB3">
        <v>2</v>
      </c>
      <c r="AAC3">
        <v>1</v>
      </c>
      <c r="AAD3">
        <v>1</v>
      </c>
      <c r="AAE3">
        <v>0</v>
      </c>
      <c r="AAF3">
        <v>1</v>
      </c>
      <c r="AAG3">
        <v>3</v>
      </c>
      <c r="AAH3">
        <v>1</v>
      </c>
      <c r="AAI3">
        <v>0</v>
      </c>
      <c r="AAJ3">
        <v>0</v>
      </c>
      <c r="AAK3">
        <v>1</v>
      </c>
      <c r="AAL3">
        <v>0</v>
      </c>
      <c r="AAM3">
        <v>1</v>
      </c>
      <c r="AAN3">
        <v>1</v>
      </c>
      <c r="AAO3">
        <v>1</v>
      </c>
      <c r="AAP3">
        <v>0</v>
      </c>
      <c r="AAQ3">
        <v>0</v>
      </c>
      <c r="AAR3">
        <v>0</v>
      </c>
      <c r="AAS3">
        <v>0</v>
      </c>
      <c r="AAT3" s="6">
        <f t="shared" ref="AAT3:AAT45" si="38">SUM(AAB3,AAE3,AAH3,AAK3,AAN3,AAQ3)</f>
        <v>5</v>
      </c>
      <c r="AAU3" s="6">
        <f t="shared" ref="AAU3:AAU45" si="39">SUM(AAC3,AAF3,AAI3,AAL3,AAO3,AAR3)</f>
        <v>3</v>
      </c>
      <c r="AAV3" s="6">
        <f t="shared" ref="AAV3:AAV45" si="40">SUM(AAD3,AAG3,AAJ3,AAM3,AAP3,AAS3)</f>
        <v>5</v>
      </c>
      <c r="AAW3" s="6">
        <f t="shared" ref="AAW3:AAW45" si="41">SUM(AAB3:AAS3)</f>
        <v>13</v>
      </c>
      <c r="AAX3">
        <v>2</v>
      </c>
      <c r="AAY3" s="1">
        <v>45071.688194444447</v>
      </c>
      <c r="AAZ3">
        <v>1</v>
      </c>
      <c r="ABA3">
        <v>7</v>
      </c>
      <c r="ABB3">
        <v>2</v>
      </c>
      <c r="ABC3">
        <v>4</v>
      </c>
      <c r="ABD3">
        <v>3</v>
      </c>
      <c r="ABE3">
        <v>18</v>
      </c>
      <c r="ABF3">
        <v>6</v>
      </c>
      <c r="ABG3">
        <v>4</v>
      </c>
      <c r="ABH3">
        <v>5</v>
      </c>
      <c r="ABI3">
        <v>6</v>
      </c>
      <c r="ABJ3">
        <v>2</v>
      </c>
      <c r="ABK3">
        <v>4</v>
      </c>
      <c r="ABL3">
        <v>3</v>
      </c>
      <c r="ABM3">
        <v>3</v>
      </c>
      <c r="ABN3">
        <v>2</v>
      </c>
      <c r="ABO3" s="6">
        <f t="shared" ref="ABO3:ABO22" si="42">AVERAGE(ABA3:ABD3)</f>
        <v>4</v>
      </c>
      <c r="ABP3" s="6">
        <f t="shared" ref="ABP3:ABP22" si="43">AVERAGE(ABF3:ABL3)</f>
        <v>4.2857142857142856</v>
      </c>
      <c r="ABQ3">
        <v>2</v>
      </c>
      <c r="ABS3">
        <v>2</v>
      </c>
      <c r="ABT3">
        <v>1</v>
      </c>
      <c r="ABU3">
        <v>2</v>
      </c>
      <c r="ABV3">
        <v>0</v>
      </c>
      <c r="ABW3">
        <v>0</v>
      </c>
      <c r="ABX3">
        <v>1</v>
      </c>
      <c r="ABY3">
        <v>0</v>
      </c>
      <c r="ABZ3">
        <v>0</v>
      </c>
      <c r="ACA3">
        <v>0</v>
      </c>
      <c r="ACB3">
        <v>0</v>
      </c>
      <c r="ACC3">
        <v>0</v>
      </c>
      <c r="ACD3">
        <v>1</v>
      </c>
      <c r="ACE3">
        <v>2</v>
      </c>
      <c r="ACF3">
        <v>0</v>
      </c>
      <c r="ACG3">
        <v>2</v>
      </c>
      <c r="ACH3">
        <v>1</v>
      </c>
      <c r="ACI3">
        <v>1</v>
      </c>
      <c r="ACJ3">
        <v>1</v>
      </c>
      <c r="ACK3">
        <v>2</v>
      </c>
      <c r="ACL3">
        <v>2</v>
      </c>
      <c r="ACM3">
        <v>1</v>
      </c>
      <c r="ACN3">
        <v>2</v>
      </c>
      <c r="ACO3">
        <v>4</v>
      </c>
      <c r="ACP3">
        <v>0</v>
      </c>
      <c r="ACQ3">
        <v>0</v>
      </c>
      <c r="ACR3">
        <v>0</v>
      </c>
      <c r="ACS3">
        <v>0</v>
      </c>
      <c r="ACT3">
        <v>0</v>
      </c>
      <c r="ACU3">
        <v>0</v>
      </c>
      <c r="ACV3">
        <v>0</v>
      </c>
      <c r="ACW3" s="6">
        <f t="shared" ref="ACW3:ACW45" si="44">SUM(ABS3,ABX3,ACD3,ACH3,ACL3)</f>
        <v>7</v>
      </c>
      <c r="ACX3" s="6">
        <f t="shared" ref="ACX3:ACX45" si="45">SUM(ABY3,ACC3,ACG3,ACI3,ACM3)</f>
        <v>4</v>
      </c>
      <c r="ACY3" s="6">
        <f t="shared" ref="ACY3:ACY45" si="46">SUM(ABT3,ACA3,ACF3,ACQ3,ACT3)</f>
        <v>1</v>
      </c>
      <c r="ACZ3" s="6">
        <f t="shared" ref="ACZ3:ACZ45" si="47">SUM(ABU3,ACE3,ACK3,ACN3,ACO3)</f>
        <v>12</v>
      </c>
      <c r="ADA3" s="6">
        <f t="shared" ref="ADA3:ADA45" si="48">SUM(ABW3,ACJ3,ACP3,ACR3,ACU3)</f>
        <v>1</v>
      </c>
      <c r="ADB3" s="6">
        <f t="shared" ref="ADB3:ADB45" si="49">SUM(ABV3,ABZ3,ACB3,ACS3,ACV3)</f>
        <v>0</v>
      </c>
      <c r="ADC3" s="6">
        <f t="shared" ref="ADC3:ADC45" si="50">ACW3+ACX3+ACY3+ACZ3+ADA3-ADB3</f>
        <v>25</v>
      </c>
      <c r="ADD3">
        <v>2</v>
      </c>
      <c r="ADE3" s="1">
        <v>45071.69027777778</v>
      </c>
      <c r="ADF3" s="5">
        <v>3</v>
      </c>
      <c r="ADG3">
        <f t="shared" ref="ADG3:ADG45" si="51">INDEX($AD$48:$AE$51, MATCH(ADF3, $AD$48:$AD$51, 0), 2)</f>
        <v>2</v>
      </c>
      <c r="ADH3" s="5">
        <v>3</v>
      </c>
      <c r="ADI3">
        <f t="shared" ref="ADI3:ADI45" si="52">INDEX($AD$48:$AE$51, MATCH(ADH3, $AD$48:$AD$51, 0), 2)</f>
        <v>2</v>
      </c>
      <c r="ADJ3">
        <v>4</v>
      </c>
      <c r="ADK3">
        <v>2</v>
      </c>
      <c r="ADL3" s="5">
        <v>2</v>
      </c>
      <c r="ADM3">
        <f t="shared" si="3"/>
        <v>3</v>
      </c>
      <c r="ADN3">
        <v>1</v>
      </c>
      <c r="ADO3">
        <v>2</v>
      </c>
      <c r="ADP3" s="5">
        <v>2</v>
      </c>
      <c r="ADQ3">
        <f t="shared" si="4"/>
        <v>3</v>
      </c>
      <c r="ADR3">
        <v>1</v>
      </c>
      <c r="ADS3" s="5">
        <v>2</v>
      </c>
      <c r="ADT3">
        <f t="shared" si="5"/>
        <v>3</v>
      </c>
      <c r="ADU3" s="5">
        <v>2</v>
      </c>
      <c r="ADV3">
        <f t="shared" ref="ADV3" si="53">INDEX($AD$48:$AE$51, MATCH(ADU3, $AD$48:$AD$51, 0), 2)</f>
        <v>3</v>
      </c>
      <c r="ADW3">
        <v>2</v>
      </c>
      <c r="ADX3">
        <v>2</v>
      </c>
      <c r="ADY3">
        <v>3</v>
      </c>
      <c r="ADZ3" s="5">
        <v>2</v>
      </c>
      <c r="AEA3">
        <f t="shared" si="6"/>
        <v>3</v>
      </c>
      <c r="AEB3" s="5">
        <v>3</v>
      </c>
      <c r="AEC3">
        <f t="shared" ref="AEC3" si="54">INDEX($AD$48:$AE$51, MATCH(AEB3, $AD$48:$AD$51, 0), 2)</f>
        <v>2</v>
      </c>
      <c r="AED3">
        <v>3</v>
      </c>
      <c r="AEE3">
        <v>1</v>
      </c>
      <c r="AEF3" s="5">
        <v>2</v>
      </c>
      <c r="AEG3">
        <f t="shared" si="7"/>
        <v>3</v>
      </c>
      <c r="AEH3" s="5">
        <v>3</v>
      </c>
      <c r="AEI3">
        <f t="shared" si="8"/>
        <v>2</v>
      </c>
      <c r="AEJ3" s="6">
        <f t="shared" ref="AEJ3:AEJ45" si="55">SUM(ADG3,ADI3:ADK3,ADM3:ADO3,ADQ3:ADR3,ADT3,ADV3:ADY3,AEA3,AEA3,AEC3:AEE3,AEG3,AEI3)</f>
        <v>50</v>
      </c>
      <c r="AEK3">
        <v>2</v>
      </c>
      <c r="AEL3" s="1">
        <v>45071.690972222219</v>
      </c>
      <c r="AEM3">
        <v>0</v>
      </c>
      <c r="AER3">
        <v>0</v>
      </c>
      <c r="AES3">
        <v>0</v>
      </c>
      <c r="AET3">
        <v>0</v>
      </c>
      <c r="AEU3">
        <v>0</v>
      </c>
      <c r="AEV3">
        <v>0</v>
      </c>
      <c r="AEX3">
        <v>2</v>
      </c>
    </row>
    <row r="4" spans="1:830">
      <c r="A4">
        <v>194</v>
      </c>
      <c r="B4" t="s">
        <v>1205</v>
      </c>
      <c r="C4">
        <v>2</v>
      </c>
      <c r="D4">
        <v>2</v>
      </c>
      <c r="E4">
        <v>41</v>
      </c>
      <c r="F4">
        <v>64</v>
      </c>
      <c r="G4">
        <v>128</v>
      </c>
      <c r="H4">
        <v>0</v>
      </c>
      <c r="I4">
        <v>3</v>
      </c>
      <c r="K4" t="s">
        <v>435</v>
      </c>
      <c r="L4">
        <v>2</v>
      </c>
      <c r="M4" s="1">
        <v>45047.440972222219</v>
      </c>
      <c r="N4">
        <v>5</v>
      </c>
      <c r="O4">
        <v>0</v>
      </c>
      <c r="Q4">
        <v>0</v>
      </c>
      <c r="R4">
        <v>0</v>
      </c>
      <c r="S4">
        <v>0</v>
      </c>
      <c r="T4">
        <v>0</v>
      </c>
      <c r="U4">
        <v>0</v>
      </c>
      <c r="V4">
        <v>0</v>
      </c>
      <c r="W4">
        <v>1</v>
      </c>
      <c r="X4">
        <v>0</v>
      </c>
      <c r="Y4">
        <v>0</v>
      </c>
      <c r="Z4">
        <v>0</v>
      </c>
      <c r="AA4">
        <v>0</v>
      </c>
      <c r="AB4">
        <v>2</v>
      </c>
      <c r="AC4">
        <v>2</v>
      </c>
      <c r="AD4" s="1">
        <v>45047.447916666664</v>
      </c>
      <c r="AE4" s="5">
        <v>2</v>
      </c>
      <c r="AF4">
        <f t="shared" si="9"/>
        <v>3</v>
      </c>
      <c r="AG4">
        <v>3</v>
      </c>
      <c r="AH4" s="5">
        <v>3</v>
      </c>
      <c r="AI4">
        <f t="shared" si="10"/>
        <v>2</v>
      </c>
      <c r="AJ4">
        <v>3</v>
      </c>
      <c r="AK4">
        <v>2</v>
      </c>
      <c r="AL4" s="5">
        <v>1</v>
      </c>
      <c r="AM4">
        <f t="shared" si="11"/>
        <v>4</v>
      </c>
      <c r="AN4" s="5">
        <v>3</v>
      </c>
      <c r="AO4">
        <f t="shared" si="12"/>
        <v>2</v>
      </c>
      <c r="AP4">
        <v>3</v>
      </c>
      <c r="AQ4">
        <v>3</v>
      </c>
      <c r="AR4" s="5">
        <v>2</v>
      </c>
      <c r="AS4">
        <f t="shared" si="13"/>
        <v>3</v>
      </c>
      <c r="AT4">
        <v>2</v>
      </c>
      <c r="AU4">
        <v>1</v>
      </c>
      <c r="AV4" s="5">
        <v>2</v>
      </c>
      <c r="AW4">
        <f t="shared" si="14"/>
        <v>3</v>
      </c>
      <c r="AX4" s="5">
        <v>3</v>
      </c>
      <c r="AY4">
        <f t="shared" si="15"/>
        <v>2</v>
      </c>
      <c r="AZ4">
        <v>2</v>
      </c>
      <c r="BA4" s="5">
        <v>3</v>
      </c>
      <c r="BB4">
        <f t="shared" si="16"/>
        <v>2</v>
      </c>
      <c r="BC4">
        <v>3</v>
      </c>
      <c r="BD4">
        <v>2</v>
      </c>
      <c r="BE4" s="5">
        <v>4</v>
      </c>
      <c r="BF4">
        <f t="shared" si="17"/>
        <v>1</v>
      </c>
      <c r="BG4">
        <v>2</v>
      </c>
      <c r="BH4" s="6">
        <f t="shared" si="18"/>
        <v>48</v>
      </c>
      <c r="BI4">
        <v>2</v>
      </c>
      <c r="BJ4" s="1">
        <v>45047.449305555558</v>
      </c>
      <c r="BK4">
        <v>13</v>
      </c>
      <c r="BL4">
        <v>3</v>
      </c>
      <c r="BM4">
        <v>1</v>
      </c>
      <c r="BQ4" s="2">
        <v>45027</v>
      </c>
      <c r="BU4">
        <v>28</v>
      </c>
      <c r="BV4">
        <v>3</v>
      </c>
      <c r="BW4">
        <v>1</v>
      </c>
      <c r="BX4">
        <v>2</v>
      </c>
      <c r="BY4" s="1">
        <v>45047.45208333333</v>
      </c>
      <c r="BZ4">
        <v>3</v>
      </c>
      <c r="CA4">
        <v>3</v>
      </c>
      <c r="CB4">
        <v>2</v>
      </c>
      <c r="CC4">
        <v>3</v>
      </c>
      <c r="CD4">
        <v>2</v>
      </c>
      <c r="CE4">
        <v>1</v>
      </c>
      <c r="CF4">
        <v>2</v>
      </c>
      <c r="CG4">
        <v>3</v>
      </c>
      <c r="CH4">
        <v>1</v>
      </c>
      <c r="CI4">
        <v>1</v>
      </c>
      <c r="CJ4">
        <v>1</v>
      </c>
      <c r="CK4">
        <v>3</v>
      </c>
      <c r="CL4" s="5">
        <v>1</v>
      </c>
      <c r="CM4">
        <f t="shared" si="19"/>
        <v>4</v>
      </c>
      <c r="CN4">
        <v>1</v>
      </c>
      <c r="CO4">
        <v>3</v>
      </c>
      <c r="CP4">
        <v>1</v>
      </c>
      <c r="CQ4">
        <v>1</v>
      </c>
      <c r="CR4" s="5">
        <v>2</v>
      </c>
      <c r="CS4">
        <f t="shared" si="20"/>
        <v>3</v>
      </c>
      <c r="CT4">
        <v>3</v>
      </c>
      <c r="CU4">
        <v>3</v>
      </c>
      <c r="CV4" s="6">
        <f t="shared" si="21"/>
        <v>5</v>
      </c>
      <c r="CW4" s="6">
        <f t="shared" si="22"/>
        <v>5</v>
      </c>
      <c r="CX4" s="6">
        <f t="shared" si="23"/>
        <v>15</v>
      </c>
      <c r="CY4" s="6">
        <f t="shared" si="24"/>
        <v>25</v>
      </c>
      <c r="CZ4" s="6">
        <f t="shared" si="25"/>
        <v>19</v>
      </c>
      <c r="DA4">
        <v>2</v>
      </c>
      <c r="DB4" s="1">
        <v>45047.454861111109</v>
      </c>
      <c r="DC4">
        <v>1</v>
      </c>
      <c r="DD4">
        <v>1</v>
      </c>
      <c r="DE4">
        <v>0</v>
      </c>
      <c r="DF4">
        <v>0</v>
      </c>
      <c r="DG4">
        <v>0</v>
      </c>
      <c r="DH4">
        <v>0</v>
      </c>
      <c r="DI4">
        <v>0</v>
      </c>
      <c r="DJ4">
        <v>0</v>
      </c>
      <c r="DK4">
        <v>0</v>
      </c>
      <c r="DL4">
        <v>1</v>
      </c>
      <c r="DM4">
        <v>1</v>
      </c>
      <c r="DN4">
        <v>1</v>
      </c>
      <c r="DO4">
        <v>0</v>
      </c>
      <c r="DP4">
        <v>0</v>
      </c>
      <c r="DQ4">
        <v>0</v>
      </c>
      <c r="DR4">
        <v>1</v>
      </c>
      <c r="DS4">
        <v>1</v>
      </c>
      <c r="DT4">
        <v>0</v>
      </c>
      <c r="DU4">
        <v>0</v>
      </c>
      <c r="DV4">
        <v>0</v>
      </c>
      <c r="DW4">
        <v>0</v>
      </c>
      <c r="DX4">
        <v>0</v>
      </c>
      <c r="DY4">
        <v>0</v>
      </c>
      <c r="DZ4">
        <v>0</v>
      </c>
      <c r="EA4">
        <v>1</v>
      </c>
      <c r="EB4">
        <v>1</v>
      </c>
      <c r="EC4">
        <v>1</v>
      </c>
      <c r="ED4">
        <v>0</v>
      </c>
      <c r="EE4">
        <v>0</v>
      </c>
      <c r="EF4">
        <v>0</v>
      </c>
      <c r="EG4">
        <v>1</v>
      </c>
      <c r="EH4">
        <v>0</v>
      </c>
      <c r="EI4">
        <v>0</v>
      </c>
      <c r="EJ4">
        <v>0</v>
      </c>
      <c r="EK4">
        <v>0</v>
      </c>
      <c r="EL4">
        <v>1</v>
      </c>
      <c r="EM4">
        <v>0</v>
      </c>
      <c r="EN4">
        <v>1</v>
      </c>
      <c r="EO4">
        <v>0</v>
      </c>
      <c r="EP4">
        <v>0</v>
      </c>
      <c r="EQ4">
        <v>1</v>
      </c>
      <c r="ER4">
        <v>1</v>
      </c>
      <c r="ES4">
        <v>1</v>
      </c>
      <c r="ET4">
        <v>0</v>
      </c>
      <c r="EU4">
        <v>0</v>
      </c>
      <c r="EV4">
        <v>0</v>
      </c>
      <c r="EW4">
        <v>0</v>
      </c>
      <c r="EX4">
        <v>0</v>
      </c>
      <c r="EY4">
        <v>0</v>
      </c>
      <c r="EZ4">
        <v>1</v>
      </c>
      <c r="FA4">
        <v>0</v>
      </c>
      <c r="FB4">
        <v>0</v>
      </c>
      <c r="FC4">
        <v>0</v>
      </c>
      <c r="FD4">
        <v>0</v>
      </c>
      <c r="FE4">
        <v>1</v>
      </c>
      <c r="FF4">
        <v>0</v>
      </c>
      <c r="FG4">
        <v>1</v>
      </c>
      <c r="FH4">
        <v>0</v>
      </c>
      <c r="FI4">
        <v>0</v>
      </c>
      <c r="FJ4">
        <v>0</v>
      </c>
      <c r="FK4">
        <v>0</v>
      </c>
      <c r="FL4">
        <v>0</v>
      </c>
      <c r="FM4">
        <v>0</v>
      </c>
      <c r="FN4">
        <v>0</v>
      </c>
      <c r="FO4">
        <v>1</v>
      </c>
      <c r="FP4">
        <v>0</v>
      </c>
      <c r="FQ4">
        <v>0</v>
      </c>
      <c r="FR4">
        <v>0</v>
      </c>
      <c r="FS4">
        <v>0</v>
      </c>
      <c r="FT4">
        <v>1</v>
      </c>
      <c r="FU4">
        <v>1</v>
      </c>
      <c r="FV4">
        <v>1</v>
      </c>
      <c r="FW4">
        <v>0</v>
      </c>
      <c r="FX4">
        <v>0</v>
      </c>
      <c r="FY4">
        <v>0</v>
      </c>
      <c r="FZ4">
        <v>0</v>
      </c>
      <c r="GA4">
        <v>0</v>
      </c>
      <c r="GB4">
        <v>0</v>
      </c>
      <c r="GC4">
        <v>0</v>
      </c>
      <c r="GD4">
        <v>1</v>
      </c>
      <c r="GE4">
        <v>1</v>
      </c>
      <c r="GF4">
        <v>1</v>
      </c>
      <c r="GG4">
        <v>0</v>
      </c>
      <c r="GH4">
        <v>0</v>
      </c>
      <c r="GI4">
        <v>0</v>
      </c>
      <c r="GJ4" s="6">
        <f t="shared" si="26"/>
        <v>26</v>
      </c>
      <c r="GK4">
        <v>2</v>
      </c>
      <c r="GL4" s="1">
        <v>45047.456944444442</v>
      </c>
      <c r="GM4">
        <v>1</v>
      </c>
      <c r="GN4">
        <v>3</v>
      </c>
      <c r="GO4">
        <v>3</v>
      </c>
      <c r="GP4">
        <v>2</v>
      </c>
      <c r="GQ4" s="5">
        <v>1</v>
      </c>
      <c r="GR4">
        <f t="shared" si="27"/>
        <v>4</v>
      </c>
      <c r="GS4">
        <v>2</v>
      </c>
      <c r="GT4">
        <v>3</v>
      </c>
      <c r="GU4">
        <v>1</v>
      </c>
      <c r="GV4" s="5">
        <v>3</v>
      </c>
      <c r="GW4">
        <f t="shared" si="0"/>
        <v>2</v>
      </c>
      <c r="GX4">
        <v>3</v>
      </c>
      <c r="GY4">
        <v>1</v>
      </c>
      <c r="GZ4">
        <v>2</v>
      </c>
      <c r="HA4" s="5">
        <v>3</v>
      </c>
      <c r="HB4">
        <f t="shared" si="1"/>
        <v>2</v>
      </c>
      <c r="HC4">
        <v>3</v>
      </c>
      <c r="HD4">
        <v>2</v>
      </c>
      <c r="HE4">
        <v>3</v>
      </c>
      <c r="HF4" s="5">
        <v>3</v>
      </c>
      <c r="HG4">
        <f t="shared" si="2"/>
        <v>2</v>
      </c>
      <c r="HH4">
        <v>3</v>
      </c>
      <c r="HI4" s="6">
        <f t="shared" si="28"/>
        <v>15</v>
      </c>
      <c r="HJ4" s="6">
        <f t="shared" si="29"/>
        <v>13</v>
      </c>
      <c r="HK4" s="6">
        <f t="shared" si="30"/>
        <v>41</v>
      </c>
      <c r="HL4">
        <v>2</v>
      </c>
      <c r="HM4" s="1">
        <v>45047.456944444442</v>
      </c>
      <c r="HN4">
        <v>2</v>
      </c>
      <c r="HO4">
        <v>12</v>
      </c>
      <c r="HP4">
        <v>11</v>
      </c>
      <c r="HQ4">
        <v>2</v>
      </c>
      <c r="HR4" s="1">
        <v>45076.640972222223</v>
      </c>
      <c r="HS4">
        <v>1</v>
      </c>
      <c r="HT4">
        <v>1</v>
      </c>
      <c r="HU4">
        <v>0</v>
      </c>
      <c r="HV4">
        <v>1</v>
      </c>
      <c r="HW4">
        <v>0</v>
      </c>
      <c r="HX4">
        <v>0</v>
      </c>
      <c r="HY4">
        <v>0</v>
      </c>
      <c r="HZ4">
        <v>0</v>
      </c>
      <c r="IA4">
        <v>0</v>
      </c>
      <c r="IB4">
        <v>0</v>
      </c>
      <c r="IC4">
        <v>1</v>
      </c>
      <c r="ID4">
        <v>2</v>
      </c>
      <c r="IE4">
        <v>0</v>
      </c>
      <c r="IF4">
        <v>0</v>
      </c>
      <c r="IG4">
        <v>2</v>
      </c>
      <c r="IH4">
        <v>2</v>
      </c>
      <c r="II4">
        <v>2</v>
      </c>
      <c r="IJ4">
        <v>0</v>
      </c>
      <c r="IK4">
        <v>1</v>
      </c>
      <c r="IL4">
        <v>3</v>
      </c>
      <c r="IM4">
        <v>3</v>
      </c>
      <c r="IN4" s="6">
        <f t="shared" si="31"/>
        <v>19</v>
      </c>
      <c r="IO4">
        <v>2</v>
      </c>
      <c r="IP4" s="1">
        <v>45076.643055555556</v>
      </c>
      <c r="IQ4">
        <v>1</v>
      </c>
      <c r="IR4">
        <v>1</v>
      </c>
      <c r="IS4">
        <v>0</v>
      </c>
      <c r="IT4">
        <v>0</v>
      </c>
      <c r="IU4">
        <v>0</v>
      </c>
      <c r="IV4">
        <v>0</v>
      </c>
      <c r="IW4">
        <v>0</v>
      </c>
      <c r="IX4">
        <v>1</v>
      </c>
      <c r="IY4">
        <v>0</v>
      </c>
      <c r="IZ4">
        <v>0</v>
      </c>
      <c r="JA4">
        <v>0</v>
      </c>
      <c r="JB4">
        <v>0</v>
      </c>
      <c r="JC4">
        <v>0</v>
      </c>
      <c r="JD4">
        <v>1</v>
      </c>
      <c r="JE4">
        <v>0</v>
      </c>
      <c r="JF4">
        <v>0</v>
      </c>
      <c r="JG4">
        <v>1</v>
      </c>
      <c r="JH4">
        <v>0</v>
      </c>
      <c r="JI4">
        <v>1</v>
      </c>
      <c r="JJ4">
        <v>0</v>
      </c>
      <c r="JK4">
        <v>10</v>
      </c>
      <c r="JL4">
        <v>3</v>
      </c>
      <c r="JM4">
        <v>2</v>
      </c>
      <c r="JN4">
        <v>3</v>
      </c>
      <c r="JO4">
        <v>1</v>
      </c>
      <c r="JP4">
        <v>1</v>
      </c>
      <c r="JQ4">
        <v>1</v>
      </c>
      <c r="JR4" t="s">
        <v>436</v>
      </c>
      <c r="JS4" t="s">
        <v>437</v>
      </c>
      <c r="JT4" s="6">
        <f t="shared" si="32"/>
        <v>6</v>
      </c>
      <c r="JU4" s="6">
        <v>10</v>
      </c>
      <c r="JV4" s="6">
        <f t="shared" si="33"/>
        <v>8</v>
      </c>
      <c r="JW4" s="6">
        <f t="shared" si="34"/>
        <v>3</v>
      </c>
      <c r="JX4">
        <v>2</v>
      </c>
      <c r="JY4" s="1">
        <v>45076.643750000003</v>
      </c>
      <c r="JZ4">
        <v>0</v>
      </c>
      <c r="KA4">
        <v>0</v>
      </c>
      <c r="KB4">
        <v>0</v>
      </c>
      <c r="KC4" s="6">
        <f t="shared" si="35"/>
        <v>0</v>
      </c>
      <c r="KD4">
        <v>2</v>
      </c>
      <c r="KE4" s="1">
        <v>45076.644444444442</v>
      </c>
      <c r="KF4" s="6">
        <v>74.3</v>
      </c>
      <c r="KG4" s="6">
        <v>2.9</v>
      </c>
      <c r="KP4">
        <v>5</v>
      </c>
      <c r="ML4">
        <v>3</v>
      </c>
      <c r="UT4">
        <v>5</v>
      </c>
      <c r="UX4">
        <v>5</v>
      </c>
      <c r="WT4" s="6" t="s">
        <v>335</v>
      </c>
      <c r="YX4">
        <v>5</v>
      </c>
      <c r="YY4" s="6">
        <v>74.3</v>
      </c>
      <c r="YZ4" s="6">
        <v>2.9</v>
      </c>
      <c r="ZB4">
        <v>2</v>
      </c>
      <c r="ZC4" s="1">
        <v>45076.645138888889</v>
      </c>
      <c r="ZD4">
        <v>3</v>
      </c>
      <c r="ZE4">
        <v>4</v>
      </c>
      <c r="ZF4">
        <v>1</v>
      </c>
      <c r="ZG4">
        <v>3</v>
      </c>
      <c r="ZH4">
        <v>1</v>
      </c>
      <c r="ZI4">
        <v>1</v>
      </c>
      <c r="ZJ4">
        <v>1</v>
      </c>
      <c r="ZK4">
        <v>2</v>
      </c>
      <c r="ZL4">
        <v>1</v>
      </c>
      <c r="ZM4">
        <v>3</v>
      </c>
      <c r="ZN4">
        <v>4</v>
      </c>
      <c r="ZO4">
        <v>3</v>
      </c>
      <c r="ZP4">
        <v>1</v>
      </c>
      <c r="ZQ4">
        <v>1</v>
      </c>
      <c r="ZR4">
        <v>3</v>
      </c>
      <c r="ZS4">
        <v>2</v>
      </c>
      <c r="ZT4">
        <v>3</v>
      </c>
      <c r="ZU4">
        <v>2</v>
      </c>
      <c r="ZV4">
        <v>1</v>
      </c>
      <c r="ZW4">
        <v>1</v>
      </c>
      <c r="ZX4" s="6">
        <f t="shared" si="36"/>
        <v>19</v>
      </c>
      <c r="ZY4" s="6">
        <f t="shared" si="37"/>
        <v>22</v>
      </c>
      <c r="ZZ4">
        <v>2</v>
      </c>
      <c r="AAA4" s="1">
        <v>45076.645833333336</v>
      </c>
      <c r="AAB4">
        <v>4</v>
      </c>
      <c r="AAC4">
        <v>4</v>
      </c>
      <c r="AAD4">
        <v>1</v>
      </c>
      <c r="AAE4">
        <v>2</v>
      </c>
      <c r="AAF4">
        <v>0</v>
      </c>
      <c r="AAG4">
        <v>3</v>
      </c>
      <c r="AAH4">
        <v>2</v>
      </c>
      <c r="AAI4">
        <v>4</v>
      </c>
      <c r="AAJ4">
        <v>0</v>
      </c>
      <c r="AAK4">
        <v>1</v>
      </c>
      <c r="AAL4">
        <v>0</v>
      </c>
      <c r="AAM4">
        <v>1</v>
      </c>
      <c r="AAN4">
        <v>2</v>
      </c>
      <c r="AAO4">
        <v>0</v>
      </c>
      <c r="AAP4">
        <v>1</v>
      </c>
      <c r="AAQ4">
        <v>3</v>
      </c>
      <c r="AAR4">
        <v>0</v>
      </c>
      <c r="AAS4">
        <v>0</v>
      </c>
      <c r="AAT4" s="6">
        <f t="shared" si="38"/>
        <v>14</v>
      </c>
      <c r="AAU4" s="6">
        <f t="shared" si="39"/>
        <v>8</v>
      </c>
      <c r="AAV4" s="6">
        <f t="shared" si="40"/>
        <v>6</v>
      </c>
      <c r="AAW4" s="6">
        <f t="shared" si="41"/>
        <v>28</v>
      </c>
      <c r="AAX4">
        <v>2</v>
      </c>
      <c r="AAY4" s="1">
        <v>45076.647222222222</v>
      </c>
      <c r="AAZ4">
        <v>1</v>
      </c>
      <c r="ABA4">
        <v>8</v>
      </c>
      <c r="ABB4">
        <v>5</v>
      </c>
      <c r="ABC4">
        <v>6</v>
      </c>
      <c r="ABD4">
        <v>7</v>
      </c>
      <c r="ABE4">
        <v>12</v>
      </c>
      <c r="ABF4">
        <v>9</v>
      </c>
      <c r="ABG4">
        <v>10</v>
      </c>
      <c r="ABH4">
        <v>8</v>
      </c>
      <c r="ABI4">
        <v>10</v>
      </c>
      <c r="ABJ4">
        <v>8</v>
      </c>
      <c r="ABK4">
        <v>10</v>
      </c>
      <c r="ABL4">
        <v>8</v>
      </c>
      <c r="ABM4">
        <v>5</v>
      </c>
      <c r="ABN4">
        <v>4</v>
      </c>
      <c r="ABO4" s="6">
        <f t="shared" si="42"/>
        <v>6.5</v>
      </c>
      <c r="ABP4" s="6">
        <f t="shared" si="43"/>
        <v>9</v>
      </c>
      <c r="ABQ4">
        <v>2</v>
      </c>
      <c r="ABS4">
        <v>3</v>
      </c>
      <c r="ABT4">
        <v>0</v>
      </c>
      <c r="ABU4">
        <v>3</v>
      </c>
      <c r="ABV4">
        <v>0</v>
      </c>
      <c r="ABW4">
        <v>0</v>
      </c>
      <c r="ABX4">
        <v>0</v>
      </c>
      <c r="ABY4">
        <v>0</v>
      </c>
      <c r="ABZ4">
        <v>0</v>
      </c>
      <c r="ACA4">
        <v>1</v>
      </c>
      <c r="ACB4">
        <v>0</v>
      </c>
      <c r="ACC4">
        <v>0</v>
      </c>
      <c r="ACD4">
        <v>0</v>
      </c>
      <c r="ACE4">
        <v>4</v>
      </c>
      <c r="ACF4">
        <v>0</v>
      </c>
      <c r="ACG4">
        <v>0</v>
      </c>
      <c r="ACH4">
        <v>0</v>
      </c>
      <c r="ACI4">
        <v>0</v>
      </c>
      <c r="ACJ4">
        <v>0</v>
      </c>
      <c r="ACK4">
        <v>4</v>
      </c>
      <c r="ACL4">
        <v>1</v>
      </c>
      <c r="ACM4">
        <v>0</v>
      </c>
      <c r="ACN4">
        <v>4</v>
      </c>
      <c r="ACO4">
        <v>0</v>
      </c>
      <c r="ACP4">
        <v>0</v>
      </c>
      <c r="ACQ4">
        <v>0</v>
      </c>
      <c r="ACR4">
        <v>0</v>
      </c>
      <c r="ACS4">
        <v>0</v>
      </c>
      <c r="ACT4">
        <v>1</v>
      </c>
      <c r="ACU4">
        <v>2</v>
      </c>
      <c r="ACV4">
        <v>0</v>
      </c>
      <c r="ACW4" s="6">
        <f t="shared" si="44"/>
        <v>4</v>
      </c>
      <c r="ACX4" s="6">
        <f t="shared" si="45"/>
        <v>0</v>
      </c>
      <c r="ACY4" s="6">
        <f>SUM(ABT4,ACA4,ACF4,ACQ4,ACT4)</f>
        <v>2</v>
      </c>
      <c r="ACZ4" s="6">
        <f t="shared" si="47"/>
        <v>15</v>
      </c>
      <c r="ADA4" s="6">
        <f t="shared" si="48"/>
        <v>2</v>
      </c>
      <c r="ADB4" s="6">
        <f t="shared" si="49"/>
        <v>0</v>
      </c>
      <c r="ADC4" s="6">
        <f t="shared" si="50"/>
        <v>23</v>
      </c>
      <c r="ADD4">
        <v>2</v>
      </c>
      <c r="ADE4" s="1">
        <v>45076.649305555555</v>
      </c>
      <c r="ADF4" s="5">
        <v>4</v>
      </c>
      <c r="ADG4">
        <f t="shared" si="51"/>
        <v>1</v>
      </c>
      <c r="ADH4" s="5">
        <v>3</v>
      </c>
      <c r="ADI4">
        <f t="shared" si="52"/>
        <v>2</v>
      </c>
      <c r="ADJ4">
        <v>2</v>
      </c>
      <c r="ADK4">
        <v>2</v>
      </c>
      <c r="ADL4" s="5">
        <v>2</v>
      </c>
      <c r="ADM4">
        <f t="shared" si="3"/>
        <v>3</v>
      </c>
      <c r="ADN4">
        <v>1</v>
      </c>
      <c r="ADO4">
        <v>1</v>
      </c>
      <c r="ADP4" s="5">
        <v>3</v>
      </c>
      <c r="ADQ4">
        <f t="shared" si="4"/>
        <v>2</v>
      </c>
      <c r="ADR4">
        <v>1</v>
      </c>
      <c r="ADS4" s="5">
        <v>2</v>
      </c>
      <c r="ADT4">
        <f t="shared" si="5"/>
        <v>3</v>
      </c>
      <c r="ADU4" s="5">
        <v>4</v>
      </c>
      <c r="ADV4">
        <f t="shared" ref="ADV4" si="56">INDEX($AD$48:$AE$51, MATCH(ADU4, $AD$48:$AD$51, 0), 2)</f>
        <v>1</v>
      </c>
      <c r="ADW4">
        <v>2</v>
      </c>
      <c r="ADX4">
        <v>1</v>
      </c>
      <c r="ADY4">
        <v>1</v>
      </c>
      <c r="ADZ4" s="5">
        <v>2</v>
      </c>
      <c r="AEA4">
        <f t="shared" si="6"/>
        <v>3</v>
      </c>
      <c r="AEB4" s="5">
        <v>3</v>
      </c>
      <c r="AEC4">
        <f t="shared" ref="AEC4" si="57">INDEX($AD$48:$AE$51, MATCH(AEB4, $AD$48:$AD$51, 0), 2)</f>
        <v>2</v>
      </c>
      <c r="AED4">
        <v>2</v>
      </c>
      <c r="AEE4">
        <v>1</v>
      </c>
      <c r="AEF4" s="5">
        <v>3</v>
      </c>
      <c r="AEG4">
        <f t="shared" si="7"/>
        <v>2</v>
      </c>
      <c r="AEH4" s="5">
        <v>2</v>
      </c>
      <c r="AEI4">
        <f t="shared" si="8"/>
        <v>3</v>
      </c>
      <c r="AEJ4" s="6">
        <f t="shared" si="55"/>
        <v>39</v>
      </c>
      <c r="AEK4">
        <v>2</v>
      </c>
      <c r="AEL4" s="1">
        <v>45076.649305555555</v>
      </c>
      <c r="AEM4">
        <v>1</v>
      </c>
      <c r="AEN4" t="s">
        <v>295</v>
      </c>
      <c r="AEO4" t="s">
        <v>296</v>
      </c>
      <c r="AEP4">
        <v>20</v>
      </c>
      <c r="AEQ4">
        <v>20</v>
      </c>
      <c r="AER4">
        <v>1</v>
      </c>
      <c r="AES4">
        <v>0</v>
      </c>
      <c r="AET4">
        <v>0</v>
      </c>
      <c r="AEU4">
        <v>0</v>
      </c>
      <c r="AEV4">
        <v>0</v>
      </c>
      <c r="AEX4">
        <v>2</v>
      </c>
    </row>
    <row r="5" spans="1:830">
      <c r="A5">
        <v>196</v>
      </c>
      <c r="B5" t="s">
        <v>1207</v>
      </c>
      <c r="C5">
        <v>2</v>
      </c>
      <c r="D5">
        <v>1</v>
      </c>
      <c r="E5">
        <v>37</v>
      </c>
      <c r="F5">
        <v>64</v>
      </c>
      <c r="G5">
        <v>174</v>
      </c>
      <c r="H5">
        <v>1</v>
      </c>
      <c r="I5">
        <v>6</v>
      </c>
      <c r="J5" t="s">
        <v>443</v>
      </c>
      <c r="K5" t="s">
        <v>444</v>
      </c>
      <c r="L5">
        <v>2</v>
      </c>
      <c r="M5" s="1">
        <v>45077.711111111108</v>
      </c>
      <c r="N5">
        <v>5</v>
      </c>
      <c r="O5">
        <v>0</v>
      </c>
      <c r="Q5">
        <v>0</v>
      </c>
      <c r="R5">
        <v>1</v>
      </c>
      <c r="S5">
        <v>0</v>
      </c>
      <c r="T5">
        <v>0</v>
      </c>
      <c r="U5">
        <v>0</v>
      </c>
      <c r="V5">
        <v>0</v>
      </c>
      <c r="W5">
        <v>0</v>
      </c>
      <c r="X5">
        <v>0</v>
      </c>
      <c r="Y5">
        <v>0</v>
      </c>
      <c r="Z5">
        <v>0</v>
      </c>
      <c r="AA5">
        <v>0</v>
      </c>
      <c r="AB5">
        <v>1</v>
      </c>
      <c r="AC5">
        <v>2</v>
      </c>
      <c r="AD5" s="1">
        <v>45077.712500000001</v>
      </c>
      <c r="AE5" s="5">
        <v>3</v>
      </c>
      <c r="AF5">
        <f t="shared" si="9"/>
        <v>2</v>
      </c>
      <c r="AG5">
        <v>3</v>
      </c>
      <c r="AH5" s="5">
        <v>3</v>
      </c>
      <c r="AI5">
        <f t="shared" si="10"/>
        <v>2</v>
      </c>
      <c r="AJ5">
        <v>3</v>
      </c>
      <c r="AK5">
        <v>2</v>
      </c>
      <c r="AL5" s="5">
        <v>1</v>
      </c>
      <c r="AM5">
        <f t="shared" si="11"/>
        <v>4</v>
      </c>
      <c r="AN5" s="5">
        <v>3</v>
      </c>
      <c r="AO5">
        <f t="shared" si="12"/>
        <v>2</v>
      </c>
      <c r="AP5">
        <v>2</v>
      </c>
      <c r="AQ5">
        <v>1</v>
      </c>
      <c r="AR5" s="5">
        <v>1</v>
      </c>
      <c r="AS5">
        <f t="shared" si="13"/>
        <v>4</v>
      </c>
      <c r="AT5">
        <v>1</v>
      </c>
      <c r="AU5">
        <v>2</v>
      </c>
      <c r="AV5" s="5">
        <v>3</v>
      </c>
      <c r="AW5">
        <f t="shared" si="14"/>
        <v>2</v>
      </c>
      <c r="AX5" s="5">
        <v>3</v>
      </c>
      <c r="AY5">
        <f t="shared" si="15"/>
        <v>2</v>
      </c>
      <c r="AZ5">
        <v>1</v>
      </c>
      <c r="BA5" s="5">
        <v>1</v>
      </c>
      <c r="BB5">
        <f t="shared" si="16"/>
        <v>4</v>
      </c>
      <c r="BC5">
        <v>1</v>
      </c>
      <c r="BD5">
        <v>1</v>
      </c>
      <c r="BE5" s="5">
        <v>3</v>
      </c>
      <c r="BF5">
        <f t="shared" si="17"/>
        <v>2</v>
      </c>
      <c r="BG5">
        <v>2</v>
      </c>
      <c r="BH5" s="6">
        <f t="shared" si="18"/>
        <v>43</v>
      </c>
      <c r="BI5">
        <v>2</v>
      </c>
      <c r="BJ5" s="1">
        <v>45077.713888888888</v>
      </c>
      <c r="BK5">
        <v>13</v>
      </c>
      <c r="BL5">
        <v>3</v>
      </c>
      <c r="BM5">
        <v>1</v>
      </c>
      <c r="BQ5" s="2">
        <v>45075</v>
      </c>
      <c r="BU5">
        <v>28</v>
      </c>
      <c r="BV5">
        <v>5</v>
      </c>
      <c r="BW5">
        <v>1</v>
      </c>
      <c r="BX5">
        <v>2</v>
      </c>
      <c r="BY5" s="1">
        <v>45077.71597222222</v>
      </c>
      <c r="BZ5">
        <v>4</v>
      </c>
      <c r="CA5">
        <v>3</v>
      </c>
      <c r="CB5">
        <v>4</v>
      </c>
      <c r="CC5">
        <v>2</v>
      </c>
      <c r="CD5">
        <v>3</v>
      </c>
      <c r="CE5">
        <v>3</v>
      </c>
      <c r="CF5">
        <v>1</v>
      </c>
      <c r="CG5">
        <v>3</v>
      </c>
      <c r="CH5">
        <v>2</v>
      </c>
      <c r="CI5">
        <v>2</v>
      </c>
      <c r="CJ5">
        <v>1</v>
      </c>
      <c r="CK5">
        <v>4</v>
      </c>
      <c r="CL5" s="5">
        <v>1</v>
      </c>
      <c r="CM5">
        <f t="shared" si="19"/>
        <v>4</v>
      </c>
      <c r="CN5">
        <v>4</v>
      </c>
      <c r="CO5">
        <v>3</v>
      </c>
      <c r="CP5">
        <v>2</v>
      </c>
      <c r="CQ5">
        <v>1</v>
      </c>
      <c r="CR5" s="5">
        <v>1</v>
      </c>
      <c r="CS5">
        <f t="shared" si="20"/>
        <v>4</v>
      </c>
      <c r="CT5">
        <v>3</v>
      </c>
      <c r="CU5">
        <v>4</v>
      </c>
      <c r="CV5" s="6">
        <f t="shared" si="21"/>
        <v>12</v>
      </c>
      <c r="CW5" s="6">
        <f t="shared" si="22"/>
        <v>8</v>
      </c>
      <c r="CX5" s="6">
        <f t="shared" si="23"/>
        <v>18</v>
      </c>
      <c r="CY5" s="6">
        <f t="shared" si="24"/>
        <v>38</v>
      </c>
      <c r="CZ5" s="6">
        <f t="shared" si="25"/>
        <v>19</v>
      </c>
      <c r="DA5">
        <v>2</v>
      </c>
      <c r="DB5" s="1">
        <v>45077.718055555553</v>
      </c>
      <c r="DC5">
        <v>0</v>
      </c>
      <c r="DD5">
        <v>0</v>
      </c>
      <c r="DE5">
        <v>0</v>
      </c>
      <c r="DF5">
        <v>0</v>
      </c>
      <c r="DG5">
        <v>1</v>
      </c>
      <c r="DH5">
        <v>0</v>
      </c>
      <c r="DI5">
        <v>0</v>
      </c>
      <c r="DJ5">
        <v>0</v>
      </c>
      <c r="DK5">
        <v>0</v>
      </c>
      <c r="DL5">
        <v>1</v>
      </c>
      <c r="DM5">
        <v>1</v>
      </c>
      <c r="DN5">
        <v>0</v>
      </c>
      <c r="DO5">
        <v>1</v>
      </c>
      <c r="DP5">
        <v>0</v>
      </c>
      <c r="DQ5">
        <v>0</v>
      </c>
      <c r="DR5">
        <v>0</v>
      </c>
      <c r="DS5">
        <v>0</v>
      </c>
      <c r="DT5">
        <v>0</v>
      </c>
      <c r="DU5">
        <v>0</v>
      </c>
      <c r="DV5">
        <v>1</v>
      </c>
      <c r="DW5">
        <v>0</v>
      </c>
      <c r="DX5">
        <v>0</v>
      </c>
      <c r="DY5">
        <v>0</v>
      </c>
      <c r="DZ5">
        <v>0</v>
      </c>
      <c r="EA5">
        <v>1</v>
      </c>
      <c r="EB5">
        <v>1</v>
      </c>
      <c r="EC5">
        <v>1</v>
      </c>
      <c r="ED5">
        <v>0</v>
      </c>
      <c r="EE5">
        <v>0</v>
      </c>
      <c r="EF5">
        <v>0</v>
      </c>
      <c r="EG5">
        <v>0</v>
      </c>
      <c r="EH5">
        <v>0</v>
      </c>
      <c r="EI5">
        <v>1</v>
      </c>
      <c r="EJ5">
        <v>0</v>
      </c>
      <c r="EK5">
        <v>0</v>
      </c>
      <c r="EL5">
        <v>1</v>
      </c>
      <c r="EM5">
        <v>0</v>
      </c>
      <c r="EN5">
        <v>1</v>
      </c>
      <c r="EO5">
        <v>0</v>
      </c>
      <c r="EP5">
        <v>0</v>
      </c>
      <c r="EQ5">
        <v>0</v>
      </c>
      <c r="ER5">
        <v>0</v>
      </c>
      <c r="ES5">
        <v>0</v>
      </c>
      <c r="ET5">
        <v>1</v>
      </c>
      <c r="EU5">
        <v>0</v>
      </c>
      <c r="EV5">
        <v>0</v>
      </c>
      <c r="EW5">
        <v>0</v>
      </c>
      <c r="EX5">
        <v>0</v>
      </c>
      <c r="EY5">
        <v>0</v>
      </c>
      <c r="EZ5">
        <v>1</v>
      </c>
      <c r="FA5">
        <v>0</v>
      </c>
      <c r="FB5">
        <v>0</v>
      </c>
      <c r="FC5">
        <v>0</v>
      </c>
      <c r="FD5">
        <v>0</v>
      </c>
      <c r="FE5">
        <v>1</v>
      </c>
      <c r="FF5">
        <v>0</v>
      </c>
      <c r="FG5">
        <v>0</v>
      </c>
      <c r="FH5">
        <v>0</v>
      </c>
      <c r="FI5">
        <v>0</v>
      </c>
      <c r="FJ5">
        <v>1</v>
      </c>
      <c r="FK5">
        <v>0</v>
      </c>
      <c r="FL5">
        <v>0</v>
      </c>
      <c r="FM5">
        <v>0</v>
      </c>
      <c r="FN5">
        <v>0</v>
      </c>
      <c r="FO5">
        <v>1</v>
      </c>
      <c r="FP5">
        <v>0</v>
      </c>
      <c r="FQ5">
        <v>0</v>
      </c>
      <c r="FR5">
        <v>1</v>
      </c>
      <c r="FS5">
        <v>0</v>
      </c>
      <c r="FT5">
        <v>0</v>
      </c>
      <c r="FU5">
        <v>0</v>
      </c>
      <c r="FV5">
        <v>0</v>
      </c>
      <c r="FW5">
        <v>1</v>
      </c>
      <c r="FX5">
        <v>0</v>
      </c>
      <c r="FY5">
        <v>0</v>
      </c>
      <c r="FZ5">
        <v>0</v>
      </c>
      <c r="GA5">
        <v>0</v>
      </c>
      <c r="GB5">
        <v>0</v>
      </c>
      <c r="GC5">
        <v>0</v>
      </c>
      <c r="GD5">
        <v>1</v>
      </c>
      <c r="GE5">
        <v>0</v>
      </c>
      <c r="GF5">
        <v>0</v>
      </c>
      <c r="GG5">
        <v>0</v>
      </c>
      <c r="GH5">
        <v>1</v>
      </c>
      <c r="GI5">
        <v>0</v>
      </c>
      <c r="GJ5" s="6">
        <f t="shared" si="26"/>
        <v>20</v>
      </c>
      <c r="GK5">
        <v>2</v>
      </c>
      <c r="GL5" s="1">
        <v>45077.720833333333</v>
      </c>
      <c r="GM5">
        <v>1</v>
      </c>
      <c r="GN5">
        <v>1</v>
      </c>
      <c r="GO5">
        <v>4</v>
      </c>
      <c r="GP5">
        <v>2</v>
      </c>
      <c r="GQ5" s="5">
        <v>1</v>
      </c>
      <c r="GR5">
        <f t="shared" si="27"/>
        <v>4</v>
      </c>
      <c r="GS5">
        <v>3</v>
      </c>
      <c r="GT5">
        <v>3</v>
      </c>
      <c r="GU5">
        <v>1</v>
      </c>
      <c r="GV5" s="5">
        <v>3</v>
      </c>
      <c r="GW5">
        <f t="shared" si="0"/>
        <v>2</v>
      </c>
      <c r="GX5">
        <v>1</v>
      </c>
      <c r="GY5">
        <v>4</v>
      </c>
      <c r="GZ5">
        <v>2</v>
      </c>
      <c r="HA5" s="5">
        <v>2</v>
      </c>
      <c r="HB5">
        <f t="shared" si="1"/>
        <v>3</v>
      </c>
      <c r="HC5">
        <v>1</v>
      </c>
      <c r="HD5">
        <v>1</v>
      </c>
      <c r="HE5">
        <v>1</v>
      </c>
      <c r="HF5" s="5">
        <v>2</v>
      </c>
      <c r="HG5">
        <f t="shared" si="2"/>
        <v>3</v>
      </c>
      <c r="HH5">
        <v>3</v>
      </c>
      <c r="HI5" s="6">
        <f t="shared" si="28"/>
        <v>16</v>
      </c>
      <c r="HJ5" s="6">
        <f t="shared" si="29"/>
        <v>14</v>
      </c>
      <c r="HK5" s="6">
        <f t="shared" si="30"/>
        <v>39</v>
      </c>
      <c r="HL5">
        <v>2</v>
      </c>
      <c r="HM5" s="1">
        <v>45077.722916666666</v>
      </c>
      <c r="HN5">
        <v>2</v>
      </c>
      <c r="HO5">
        <v>1</v>
      </c>
      <c r="HP5">
        <v>1</v>
      </c>
      <c r="HQ5">
        <v>2</v>
      </c>
      <c r="HR5" s="1">
        <v>45078.654861111114</v>
      </c>
      <c r="HS5">
        <v>1</v>
      </c>
      <c r="HT5">
        <v>1</v>
      </c>
      <c r="HU5">
        <v>0</v>
      </c>
      <c r="HV5">
        <v>1</v>
      </c>
      <c r="HW5">
        <v>0</v>
      </c>
      <c r="HX5">
        <v>0</v>
      </c>
      <c r="HY5">
        <v>1</v>
      </c>
      <c r="HZ5">
        <v>1</v>
      </c>
      <c r="IA5">
        <v>0</v>
      </c>
      <c r="IB5">
        <v>0</v>
      </c>
      <c r="IC5">
        <v>1</v>
      </c>
      <c r="ID5">
        <v>1</v>
      </c>
      <c r="IE5">
        <v>0</v>
      </c>
      <c r="IF5">
        <v>0</v>
      </c>
      <c r="IG5">
        <v>1</v>
      </c>
      <c r="IH5">
        <v>2</v>
      </c>
      <c r="II5">
        <v>2</v>
      </c>
      <c r="IJ5">
        <v>2</v>
      </c>
      <c r="IK5">
        <v>2</v>
      </c>
      <c r="IL5">
        <v>2</v>
      </c>
      <c r="IM5">
        <v>2</v>
      </c>
      <c r="IN5" s="6">
        <f t="shared" si="31"/>
        <v>20</v>
      </c>
      <c r="IO5">
        <v>2</v>
      </c>
      <c r="IP5" s="1">
        <v>45078.658333333333</v>
      </c>
      <c r="IQ5">
        <v>1</v>
      </c>
      <c r="IR5">
        <v>1</v>
      </c>
      <c r="IS5">
        <v>1</v>
      </c>
      <c r="IT5">
        <v>1</v>
      </c>
      <c r="IU5">
        <v>1</v>
      </c>
      <c r="IV5">
        <v>1</v>
      </c>
      <c r="IW5">
        <v>1</v>
      </c>
      <c r="IX5">
        <v>1</v>
      </c>
      <c r="IY5">
        <v>1</v>
      </c>
      <c r="IZ5">
        <v>1</v>
      </c>
      <c r="JA5">
        <v>1</v>
      </c>
      <c r="JB5">
        <v>1</v>
      </c>
      <c r="JC5">
        <v>1</v>
      </c>
      <c r="JD5">
        <v>1</v>
      </c>
      <c r="JE5">
        <v>0</v>
      </c>
      <c r="JF5">
        <v>1</v>
      </c>
      <c r="JG5">
        <v>1</v>
      </c>
      <c r="JH5">
        <v>1</v>
      </c>
      <c r="JI5">
        <v>1</v>
      </c>
      <c r="JJ5">
        <v>0</v>
      </c>
      <c r="JK5" t="s">
        <v>445</v>
      </c>
      <c r="JL5">
        <v>3</v>
      </c>
      <c r="JM5">
        <v>2</v>
      </c>
      <c r="JN5">
        <v>3</v>
      </c>
      <c r="JO5">
        <v>1</v>
      </c>
      <c r="JP5">
        <v>1</v>
      </c>
      <c r="JQ5">
        <v>1</v>
      </c>
      <c r="JR5" t="s">
        <v>446</v>
      </c>
      <c r="JS5" t="s">
        <v>447</v>
      </c>
      <c r="JT5" s="6">
        <f t="shared" si="32"/>
        <v>18</v>
      </c>
      <c r="JU5" s="6">
        <v>12</v>
      </c>
      <c r="JV5" s="6">
        <f t="shared" si="33"/>
        <v>8</v>
      </c>
      <c r="JW5" s="6">
        <f>SUM(JO5:JQ5)</f>
        <v>3</v>
      </c>
      <c r="JX5">
        <v>2</v>
      </c>
      <c r="JY5" s="1">
        <v>45078.659722222219</v>
      </c>
      <c r="JZ5">
        <v>0</v>
      </c>
      <c r="KA5">
        <v>0</v>
      </c>
      <c r="KB5">
        <v>0</v>
      </c>
      <c r="KC5" s="6">
        <f t="shared" si="35"/>
        <v>0</v>
      </c>
      <c r="KD5">
        <v>2</v>
      </c>
      <c r="KE5" s="1">
        <v>45078.659722222219</v>
      </c>
      <c r="KF5" s="6">
        <v>74.3</v>
      </c>
      <c r="KG5" s="6">
        <v>2.9</v>
      </c>
      <c r="KP5">
        <v>5</v>
      </c>
      <c r="ML5">
        <v>3</v>
      </c>
      <c r="UT5">
        <v>5</v>
      </c>
      <c r="UX5">
        <v>5</v>
      </c>
      <c r="WT5" s="6" t="s">
        <v>335</v>
      </c>
      <c r="YX5">
        <v>5</v>
      </c>
      <c r="YY5" s="6">
        <v>74.3</v>
      </c>
      <c r="YZ5" s="6">
        <v>2.9</v>
      </c>
      <c r="ZB5">
        <v>2</v>
      </c>
      <c r="ZC5" s="1">
        <v>45078.661111111112</v>
      </c>
      <c r="ZD5">
        <v>3</v>
      </c>
      <c r="ZE5">
        <v>4</v>
      </c>
      <c r="ZF5">
        <v>2</v>
      </c>
      <c r="ZG5">
        <v>3</v>
      </c>
      <c r="ZH5">
        <v>3</v>
      </c>
      <c r="ZI5">
        <v>2</v>
      </c>
      <c r="ZJ5">
        <v>1</v>
      </c>
      <c r="ZK5">
        <v>1</v>
      </c>
      <c r="ZL5">
        <v>2</v>
      </c>
      <c r="ZM5">
        <v>4</v>
      </c>
      <c r="ZN5">
        <v>2</v>
      </c>
      <c r="ZO5">
        <v>2</v>
      </c>
      <c r="ZP5">
        <v>1</v>
      </c>
      <c r="ZQ5">
        <v>4</v>
      </c>
      <c r="ZR5">
        <v>1</v>
      </c>
      <c r="ZS5">
        <v>3</v>
      </c>
      <c r="ZT5">
        <v>3</v>
      </c>
      <c r="ZU5">
        <v>2</v>
      </c>
      <c r="ZV5">
        <v>3</v>
      </c>
      <c r="ZW5">
        <v>1</v>
      </c>
      <c r="ZX5" s="6">
        <f t="shared" si="36"/>
        <v>29</v>
      </c>
      <c r="ZY5" s="6">
        <f t="shared" si="37"/>
        <v>18</v>
      </c>
      <c r="ZZ5">
        <v>2</v>
      </c>
      <c r="AAA5" s="1">
        <v>45078.661805555559</v>
      </c>
      <c r="AAB5">
        <v>0</v>
      </c>
      <c r="AAC5">
        <v>1</v>
      </c>
      <c r="AAD5">
        <v>0</v>
      </c>
      <c r="AAE5">
        <v>0</v>
      </c>
      <c r="AAF5">
        <v>0</v>
      </c>
      <c r="AAG5">
        <v>1</v>
      </c>
      <c r="AAH5">
        <v>2</v>
      </c>
      <c r="AAI5">
        <v>1</v>
      </c>
      <c r="AAJ5">
        <v>0</v>
      </c>
      <c r="AAK5">
        <v>0</v>
      </c>
      <c r="AAL5">
        <v>0</v>
      </c>
      <c r="AAM5">
        <v>0</v>
      </c>
      <c r="AAN5">
        <v>3</v>
      </c>
      <c r="AAO5">
        <v>0</v>
      </c>
      <c r="AAP5">
        <v>1</v>
      </c>
      <c r="AAQ5">
        <v>1</v>
      </c>
      <c r="AAR5">
        <v>0</v>
      </c>
      <c r="AAS5">
        <v>0</v>
      </c>
      <c r="AAT5" s="6">
        <f t="shared" si="38"/>
        <v>6</v>
      </c>
      <c r="AAU5" s="6">
        <f t="shared" si="39"/>
        <v>2</v>
      </c>
      <c r="AAV5" s="6">
        <f t="shared" si="40"/>
        <v>2</v>
      </c>
      <c r="AAW5" s="6">
        <f t="shared" si="41"/>
        <v>10</v>
      </c>
      <c r="AAX5">
        <v>2</v>
      </c>
      <c r="AAY5" s="1">
        <v>45078.663194444445</v>
      </c>
      <c r="AAZ5">
        <v>1</v>
      </c>
      <c r="ABA5">
        <v>9</v>
      </c>
      <c r="ABB5">
        <v>9</v>
      </c>
      <c r="ABC5">
        <v>7</v>
      </c>
      <c r="ABD5">
        <v>6</v>
      </c>
      <c r="ABE5">
        <v>13</v>
      </c>
      <c r="ABF5">
        <v>7</v>
      </c>
      <c r="ABG5">
        <v>7</v>
      </c>
      <c r="ABH5">
        <v>7</v>
      </c>
      <c r="ABI5">
        <v>6</v>
      </c>
      <c r="ABJ5">
        <v>5</v>
      </c>
      <c r="ABK5">
        <v>10</v>
      </c>
      <c r="ABL5">
        <v>10</v>
      </c>
      <c r="ABM5">
        <v>6</v>
      </c>
      <c r="ABN5">
        <v>7</v>
      </c>
      <c r="ABO5" s="6">
        <f t="shared" si="42"/>
        <v>7.75</v>
      </c>
      <c r="ABP5" s="6">
        <f t="shared" si="43"/>
        <v>7.4285714285714288</v>
      </c>
      <c r="ABQ5">
        <v>2</v>
      </c>
      <c r="ABS5">
        <v>0</v>
      </c>
      <c r="ABT5">
        <v>0</v>
      </c>
      <c r="ABU5">
        <v>2</v>
      </c>
      <c r="ABV5">
        <v>0</v>
      </c>
      <c r="ABW5">
        <v>0</v>
      </c>
      <c r="ABX5">
        <v>0</v>
      </c>
      <c r="ABY5">
        <v>0</v>
      </c>
      <c r="ABZ5">
        <v>0</v>
      </c>
      <c r="ACA5">
        <v>0</v>
      </c>
      <c r="ACB5">
        <v>0</v>
      </c>
      <c r="ACC5">
        <v>0</v>
      </c>
      <c r="ACD5">
        <v>0</v>
      </c>
      <c r="ACE5">
        <v>3</v>
      </c>
      <c r="ACF5">
        <v>0</v>
      </c>
      <c r="ACG5">
        <v>0</v>
      </c>
      <c r="ACH5">
        <v>0</v>
      </c>
      <c r="ACI5">
        <v>0</v>
      </c>
      <c r="ACJ5">
        <v>0</v>
      </c>
      <c r="ACK5">
        <v>3</v>
      </c>
      <c r="ACL5">
        <v>0</v>
      </c>
      <c r="ACM5">
        <v>0</v>
      </c>
      <c r="ACN5">
        <v>2</v>
      </c>
      <c r="ACO5">
        <v>0</v>
      </c>
      <c r="ACP5">
        <v>0</v>
      </c>
      <c r="ACQ5">
        <v>0</v>
      </c>
      <c r="ACR5">
        <v>0</v>
      </c>
      <c r="ACS5">
        <v>0</v>
      </c>
      <c r="ACT5">
        <v>0</v>
      </c>
      <c r="ACU5">
        <v>1</v>
      </c>
      <c r="ACV5">
        <v>0</v>
      </c>
      <c r="ACW5" s="6">
        <f t="shared" si="44"/>
        <v>0</v>
      </c>
      <c r="ACX5" s="6">
        <f t="shared" si="45"/>
        <v>0</v>
      </c>
      <c r="ACY5" s="6">
        <f t="shared" si="46"/>
        <v>0</v>
      </c>
      <c r="ACZ5" s="6">
        <f t="shared" si="47"/>
        <v>10</v>
      </c>
      <c r="ADA5" s="6">
        <f t="shared" si="48"/>
        <v>1</v>
      </c>
      <c r="ADB5" s="6">
        <f t="shared" si="49"/>
        <v>0</v>
      </c>
      <c r="ADC5" s="6">
        <f t="shared" si="50"/>
        <v>11</v>
      </c>
      <c r="ADD5">
        <v>2</v>
      </c>
      <c r="ADE5" s="1">
        <v>45078.664583333331</v>
      </c>
      <c r="ADF5" s="5">
        <v>1</v>
      </c>
      <c r="ADG5">
        <f t="shared" si="51"/>
        <v>4</v>
      </c>
      <c r="ADH5" s="5">
        <v>4</v>
      </c>
      <c r="ADI5">
        <f t="shared" si="52"/>
        <v>1</v>
      </c>
      <c r="ADJ5">
        <v>2</v>
      </c>
      <c r="ADK5">
        <v>3</v>
      </c>
      <c r="ADL5" s="5">
        <v>3</v>
      </c>
      <c r="ADM5">
        <f t="shared" si="3"/>
        <v>2</v>
      </c>
      <c r="ADN5">
        <v>1</v>
      </c>
      <c r="ADO5">
        <v>1</v>
      </c>
      <c r="ADP5" s="5">
        <v>2</v>
      </c>
      <c r="ADQ5">
        <f t="shared" si="4"/>
        <v>3</v>
      </c>
      <c r="ADR5">
        <v>1</v>
      </c>
      <c r="ADS5" s="5">
        <v>2</v>
      </c>
      <c r="ADT5">
        <f t="shared" si="5"/>
        <v>3</v>
      </c>
      <c r="ADU5" s="5">
        <v>3</v>
      </c>
      <c r="ADV5">
        <f t="shared" ref="ADV5" si="58">INDEX($AD$48:$AE$51, MATCH(ADU5, $AD$48:$AD$51, 0), 2)</f>
        <v>2</v>
      </c>
      <c r="ADW5">
        <v>1</v>
      </c>
      <c r="ADX5">
        <v>1</v>
      </c>
      <c r="ADY5">
        <v>1</v>
      </c>
      <c r="ADZ5" s="5">
        <v>2</v>
      </c>
      <c r="AEA5">
        <f t="shared" si="6"/>
        <v>3</v>
      </c>
      <c r="AEB5" s="5">
        <v>2</v>
      </c>
      <c r="AEC5">
        <f t="shared" ref="AEC5" si="59">INDEX($AD$48:$AE$51, MATCH(AEB5, $AD$48:$AD$51, 0), 2)</f>
        <v>3</v>
      </c>
      <c r="AED5">
        <v>1</v>
      </c>
      <c r="AEE5">
        <v>1</v>
      </c>
      <c r="AEF5" s="5">
        <v>1</v>
      </c>
      <c r="AEG5">
        <f t="shared" si="7"/>
        <v>4</v>
      </c>
      <c r="AEH5" s="5">
        <v>2</v>
      </c>
      <c r="AEI5">
        <f t="shared" si="8"/>
        <v>3</v>
      </c>
      <c r="AEJ5" s="6">
        <f t="shared" si="55"/>
        <v>44</v>
      </c>
      <c r="AEK5">
        <v>2</v>
      </c>
      <c r="AEL5" s="1">
        <v>45078.664583333331</v>
      </c>
      <c r="AEM5">
        <v>0</v>
      </c>
      <c r="AER5">
        <v>0</v>
      </c>
      <c r="AES5">
        <v>0</v>
      </c>
      <c r="AET5">
        <v>0</v>
      </c>
      <c r="AEU5">
        <v>0</v>
      </c>
      <c r="AEV5">
        <v>0</v>
      </c>
      <c r="AEX5">
        <v>2</v>
      </c>
    </row>
    <row r="6" spans="1:830">
      <c r="A6">
        <v>202</v>
      </c>
      <c r="B6" t="s">
        <v>1211</v>
      </c>
      <c r="C6">
        <v>2</v>
      </c>
      <c r="D6">
        <v>2</v>
      </c>
      <c r="E6">
        <v>49</v>
      </c>
      <c r="F6">
        <v>61</v>
      </c>
      <c r="G6">
        <v>136</v>
      </c>
      <c r="H6">
        <v>0</v>
      </c>
      <c r="I6">
        <v>5</v>
      </c>
      <c r="K6" t="s">
        <v>456</v>
      </c>
      <c r="L6">
        <v>2</v>
      </c>
      <c r="M6" s="1">
        <v>45050.752083333333</v>
      </c>
      <c r="N6">
        <v>6</v>
      </c>
      <c r="O6">
        <v>0</v>
      </c>
      <c r="Q6">
        <v>1</v>
      </c>
      <c r="R6">
        <v>0</v>
      </c>
      <c r="S6">
        <v>0</v>
      </c>
      <c r="T6">
        <v>0</v>
      </c>
      <c r="U6">
        <v>0</v>
      </c>
      <c r="V6">
        <v>0</v>
      </c>
      <c r="W6">
        <v>0</v>
      </c>
      <c r="X6">
        <v>0</v>
      </c>
      <c r="Y6">
        <v>0</v>
      </c>
      <c r="Z6">
        <v>0</v>
      </c>
      <c r="AA6">
        <v>0</v>
      </c>
      <c r="AB6">
        <v>4</v>
      </c>
      <c r="AC6">
        <v>2</v>
      </c>
      <c r="AD6" s="1">
        <v>45050.753472222219</v>
      </c>
      <c r="AE6" s="5">
        <v>2</v>
      </c>
      <c r="AF6">
        <f t="shared" si="9"/>
        <v>3</v>
      </c>
      <c r="AG6">
        <v>1</v>
      </c>
      <c r="AH6" s="5">
        <v>2</v>
      </c>
      <c r="AI6">
        <f t="shared" si="10"/>
        <v>3</v>
      </c>
      <c r="AJ6">
        <v>3</v>
      </c>
      <c r="AK6">
        <v>2</v>
      </c>
      <c r="AL6" s="5">
        <v>2</v>
      </c>
      <c r="AM6">
        <f t="shared" si="11"/>
        <v>3</v>
      </c>
      <c r="AN6" s="5">
        <v>2</v>
      </c>
      <c r="AO6">
        <f t="shared" si="12"/>
        <v>3</v>
      </c>
      <c r="AP6">
        <v>1</v>
      </c>
      <c r="AQ6">
        <v>1</v>
      </c>
      <c r="AR6" s="5">
        <v>2</v>
      </c>
      <c r="AS6">
        <f t="shared" si="13"/>
        <v>3</v>
      </c>
      <c r="AT6">
        <v>1</v>
      </c>
      <c r="AU6">
        <v>2</v>
      </c>
      <c r="AV6" s="5">
        <v>1</v>
      </c>
      <c r="AW6">
        <f t="shared" si="14"/>
        <v>4</v>
      </c>
      <c r="AX6" s="5">
        <v>2</v>
      </c>
      <c r="AY6">
        <f t="shared" si="15"/>
        <v>3</v>
      </c>
      <c r="AZ6">
        <v>2</v>
      </c>
      <c r="BA6" s="5">
        <v>2</v>
      </c>
      <c r="BB6">
        <f t="shared" si="16"/>
        <v>3</v>
      </c>
      <c r="BC6">
        <v>1</v>
      </c>
      <c r="BD6">
        <v>2</v>
      </c>
      <c r="BE6" s="5">
        <v>2</v>
      </c>
      <c r="BF6">
        <f t="shared" si="17"/>
        <v>3</v>
      </c>
      <c r="BG6">
        <v>1</v>
      </c>
      <c r="BH6" s="6">
        <f t="shared" si="18"/>
        <v>45</v>
      </c>
      <c r="BI6">
        <v>2</v>
      </c>
      <c r="BJ6" s="1">
        <v>45050.756249999999</v>
      </c>
      <c r="BK6">
        <v>9</v>
      </c>
      <c r="BL6">
        <v>1</v>
      </c>
      <c r="BM6">
        <v>8</v>
      </c>
      <c r="BQ6" s="2">
        <v>42583</v>
      </c>
      <c r="BR6">
        <v>4</v>
      </c>
      <c r="BS6">
        <v>1</v>
      </c>
      <c r="BT6">
        <v>4</v>
      </c>
      <c r="BU6">
        <v>28</v>
      </c>
      <c r="BV6">
        <v>5</v>
      </c>
      <c r="BW6">
        <v>1</v>
      </c>
      <c r="BX6">
        <v>2</v>
      </c>
      <c r="BY6" s="1">
        <v>45050.757638888892</v>
      </c>
      <c r="BZ6">
        <v>3</v>
      </c>
      <c r="CA6">
        <v>3</v>
      </c>
      <c r="CB6">
        <v>2</v>
      </c>
      <c r="CC6">
        <v>1</v>
      </c>
      <c r="CD6">
        <v>3</v>
      </c>
      <c r="CE6">
        <v>1</v>
      </c>
      <c r="CF6">
        <v>3</v>
      </c>
      <c r="CG6">
        <v>3</v>
      </c>
      <c r="CH6">
        <v>2</v>
      </c>
      <c r="CI6">
        <v>2</v>
      </c>
      <c r="CJ6">
        <v>2</v>
      </c>
      <c r="CK6">
        <v>3</v>
      </c>
      <c r="CL6" s="5">
        <v>1</v>
      </c>
      <c r="CM6">
        <f t="shared" si="19"/>
        <v>4</v>
      </c>
      <c r="CN6">
        <v>1</v>
      </c>
      <c r="CO6">
        <v>2</v>
      </c>
      <c r="CP6">
        <v>2</v>
      </c>
      <c r="CQ6">
        <v>2</v>
      </c>
      <c r="CR6" s="5">
        <v>2</v>
      </c>
      <c r="CS6">
        <f t="shared" si="20"/>
        <v>3</v>
      </c>
      <c r="CT6">
        <v>3</v>
      </c>
      <c r="CU6">
        <v>3</v>
      </c>
      <c r="CV6" s="6">
        <f t="shared" si="21"/>
        <v>6</v>
      </c>
      <c r="CW6" s="6">
        <f t="shared" si="22"/>
        <v>9</v>
      </c>
      <c r="CX6" s="6">
        <f t="shared" si="23"/>
        <v>15</v>
      </c>
      <c r="CY6" s="6">
        <f t="shared" si="24"/>
        <v>30</v>
      </c>
      <c r="CZ6" s="6">
        <f t="shared" si="25"/>
        <v>18</v>
      </c>
      <c r="DA6">
        <v>2</v>
      </c>
      <c r="DB6" s="1">
        <v>45050.760416666664</v>
      </c>
      <c r="DC6">
        <v>0</v>
      </c>
      <c r="DD6">
        <v>1</v>
      </c>
      <c r="DE6">
        <v>1</v>
      </c>
      <c r="DF6">
        <v>0</v>
      </c>
      <c r="DG6">
        <v>0</v>
      </c>
      <c r="DH6">
        <v>0</v>
      </c>
      <c r="DI6">
        <v>0</v>
      </c>
      <c r="DJ6">
        <v>1</v>
      </c>
      <c r="DK6">
        <v>0</v>
      </c>
      <c r="DL6">
        <v>0</v>
      </c>
      <c r="DM6">
        <v>0</v>
      </c>
      <c r="DN6">
        <v>0</v>
      </c>
      <c r="DO6">
        <v>1</v>
      </c>
      <c r="DP6">
        <v>0</v>
      </c>
      <c r="DQ6">
        <v>0</v>
      </c>
      <c r="DR6">
        <v>0</v>
      </c>
      <c r="DS6">
        <v>0</v>
      </c>
      <c r="DT6">
        <v>1</v>
      </c>
      <c r="DU6">
        <v>0</v>
      </c>
      <c r="DV6">
        <v>0</v>
      </c>
      <c r="DW6">
        <v>1</v>
      </c>
      <c r="DX6">
        <v>0</v>
      </c>
      <c r="DY6">
        <v>0</v>
      </c>
      <c r="DZ6">
        <v>0</v>
      </c>
      <c r="EA6">
        <v>0</v>
      </c>
      <c r="EB6">
        <v>0</v>
      </c>
      <c r="EC6">
        <v>0</v>
      </c>
      <c r="ED6">
        <v>1</v>
      </c>
      <c r="EE6">
        <v>0</v>
      </c>
      <c r="EF6">
        <v>0</v>
      </c>
      <c r="EG6">
        <v>0</v>
      </c>
      <c r="EH6">
        <v>1</v>
      </c>
      <c r="EI6">
        <v>0</v>
      </c>
      <c r="EJ6">
        <v>0</v>
      </c>
      <c r="EK6">
        <v>0</v>
      </c>
      <c r="EL6">
        <v>0</v>
      </c>
      <c r="EM6">
        <v>0</v>
      </c>
      <c r="EN6">
        <v>1</v>
      </c>
      <c r="EO6">
        <v>0</v>
      </c>
      <c r="EP6">
        <v>0</v>
      </c>
      <c r="EQ6">
        <v>0</v>
      </c>
      <c r="ER6">
        <v>0</v>
      </c>
      <c r="ES6">
        <v>0</v>
      </c>
      <c r="ET6">
        <v>1</v>
      </c>
      <c r="EU6">
        <v>0</v>
      </c>
      <c r="EV6">
        <v>0</v>
      </c>
      <c r="EW6">
        <v>0</v>
      </c>
      <c r="EX6">
        <v>1</v>
      </c>
      <c r="EY6">
        <v>0</v>
      </c>
      <c r="EZ6">
        <v>0</v>
      </c>
      <c r="FA6">
        <v>0</v>
      </c>
      <c r="FB6">
        <v>0</v>
      </c>
      <c r="FC6">
        <v>1</v>
      </c>
      <c r="FD6">
        <v>0</v>
      </c>
      <c r="FE6">
        <v>0</v>
      </c>
      <c r="FF6">
        <v>0</v>
      </c>
      <c r="FG6">
        <v>1</v>
      </c>
      <c r="FH6">
        <v>1</v>
      </c>
      <c r="FI6">
        <v>0</v>
      </c>
      <c r="FJ6">
        <v>0</v>
      </c>
      <c r="FK6">
        <v>0</v>
      </c>
      <c r="FL6">
        <v>0</v>
      </c>
      <c r="FM6">
        <v>0</v>
      </c>
      <c r="FN6">
        <v>1</v>
      </c>
      <c r="FO6">
        <v>0</v>
      </c>
      <c r="FP6">
        <v>0</v>
      </c>
      <c r="FQ6">
        <v>0</v>
      </c>
      <c r="FR6">
        <v>1</v>
      </c>
      <c r="FS6">
        <v>0</v>
      </c>
      <c r="FT6">
        <v>0</v>
      </c>
      <c r="FU6">
        <v>1</v>
      </c>
      <c r="FV6">
        <v>0</v>
      </c>
      <c r="FW6">
        <v>0</v>
      </c>
      <c r="FX6">
        <v>0</v>
      </c>
      <c r="FY6">
        <v>0</v>
      </c>
      <c r="FZ6">
        <v>0</v>
      </c>
      <c r="GA6">
        <v>0</v>
      </c>
      <c r="GB6">
        <v>0</v>
      </c>
      <c r="GC6">
        <v>0</v>
      </c>
      <c r="GD6">
        <v>1</v>
      </c>
      <c r="GE6">
        <v>1</v>
      </c>
      <c r="GF6">
        <v>0</v>
      </c>
      <c r="GG6">
        <v>0</v>
      </c>
      <c r="GH6">
        <v>0</v>
      </c>
      <c r="GI6">
        <v>0</v>
      </c>
      <c r="GJ6" s="6">
        <f t="shared" si="26"/>
        <v>19</v>
      </c>
      <c r="GK6">
        <v>2</v>
      </c>
      <c r="GL6" s="1">
        <v>45050.761805555558</v>
      </c>
      <c r="GM6">
        <v>1</v>
      </c>
      <c r="GN6">
        <v>2</v>
      </c>
      <c r="GO6">
        <v>3</v>
      </c>
      <c r="GP6">
        <v>3</v>
      </c>
      <c r="GQ6" s="5">
        <v>3</v>
      </c>
      <c r="GR6">
        <f t="shared" si="27"/>
        <v>2</v>
      </c>
      <c r="GS6">
        <v>3</v>
      </c>
      <c r="GT6">
        <v>3</v>
      </c>
      <c r="GU6">
        <v>2</v>
      </c>
      <c r="GV6" s="5">
        <v>3</v>
      </c>
      <c r="GW6">
        <f t="shared" si="0"/>
        <v>2</v>
      </c>
      <c r="GX6">
        <v>2</v>
      </c>
      <c r="GY6">
        <v>2</v>
      </c>
      <c r="GZ6">
        <v>2</v>
      </c>
      <c r="HA6" s="5">
        <v>3</v>
      </c>
      <c r="HB6">
        <f t="shared" si="1"/>
        <v>2</v>
      </c>
      <c r="HC6">
        <v>2</v>
      </c>
      <c r="HD6">
        <v>2</v>
      </c>
      <c r="HE6">
        <v>2</v>
      </c>
      <c r="HF6" s="5">
        <v>3</v>
      </c>
      <c r="HG6">
        <f t="shared" si="2"/>
        <v>2</v>
      </c>
      <c r="HH6">
        <v>3</v>
      </c>
      <c r="HI6" s="6">
        <f t="shared" si="28"/>
        <v>15</v>
      </c>
      <c r="HJ6" s="6">
        <f t="shared" si="29"/>
        <v>13</v>
      </c>
      <c r="HK6" s="6">
        <f t="shared" si="30"/>
        <v>39</v>
      </c>
      <c r="HL6">
        <v>2</v>
      </c>
      <c r="HM6" s="1">
        <v>45050.762499999997</v>
      </c>
      <c r="HN6">
        <v>1</v>
      </c>
      <c r="HO6">
        <v>2</v>
      </c>
      <c r="HP6">
        <v>5</v>
      </c>
      <c r="HQ6">
        <v>2</v>
      </c>
      <c r="HR6" s="1">
        <v>45064.588194444441</v>
      </c>
      <c r="HS6">
        <v>0</v>
      </c>
      <c r="HT6">
        <v>1</v>
      </c>
      <c r="HU6">
        <v>1</v>
      </c>
      <c r="HV6">
        <v>1</v>
      </c>
      <c r="HW6">
        <v>0</v>
      </c>
      <c r="HX6">
        <v>0</v>
      </c>
      <c r="HY6">
        <v>1</v>
      </c>
      <c r="HZ6">
        <v>0</v>
      </c>
      <c r="IA6">
        <v>0</v>
      </c>
      <c r="IB6">
        <v>0</v>
      </c>
      <c r="IC6">
        <v>0</v>
      </c>
      <c r="ID6">
        <v>0</v>
      </c>
      <c r="IE6">
        <v>0</v>
      </c>
      <c r="IF6">
        <v>0</v>
      </c>
      <c r="IG6">
        <v>2</v>
      </c>
      <c r="IH6">
        <v>1</v>
      </c>
      <c r="II6">
        <v>0</v>
      </c>
      <c r="IJ6">
        <v>0</v>
      </c>
      <c r="IK6">
        <v>0</v>
      </c>
      <c r="IL6">
        <v>0</v>
      </c>
      <c r="IM6">
        <v>0</v>
      </c>
      <c r="IN6" s="6">
        <f t="shared" si="31"/>
        <v>7</v>
      </c>
      <c r="IO6">
        <v>2</v>
      </c>
      <c r="IP6" s="1">
        <v>45064.591666666667</v>
      </c>
      <c r="IQ6">
        <v>1</v>
      </c>
      <c r="IR6">
        <v>1</v>
      </c>
      <c r="IS6">
        <v>0</v>
      </c>
      <c r="IT6">
        <v>1</v>
      </c>
      <c r="IU6">
        <v>0</v>
      </c>
      <c r="IV6">
        <v>0</v>
      </c>
      <c r="IW6">
        <v>1</v>
      </c>
      <c r="IX6">
        <v>1</v>
      </c>
      <c r="IY6">
        <v>0</v>
      </c>
      <c r="IZ6">
        <v>0</v>
      </c>
      <c r="JA6">
        <v>1</v>
      </c>
      <c r="JB6">
        <v>1</v>
      </c>
      <c r="JC6">
        <v>1</v>
      </c>
      <c r="JD6">
        <v>1</v>
      </c>
      <c r="JE6">
        <v>0</v>
      </c>
      <c r="JF6">
        <v>0</v>
      </c>
      <c r="JG6">
        <v>0</v>
      </c>
      <c r="JH6">
        <v>0</v>
      </c>
      <c r="JI6">
        <v>0</v>
      </c>
      <c r="JJ6">
        <v>0</v>
      </c>
      <c r="JK6" t="s">
        <v>457</v>
      </c>
      <c r="JL6">
        <v>3</v>
      </c>
      <c r="JM6">
        <v>2</v>
      </c>
      <c r="JN6">
        <v>1</v>
      </c>
      <c r="JO6">
        <v>0</v>
      </c>
      <c r="JP6">
        <v>1</v>
      </c>
      <c r="JQ6">
        <v>0</v>
      </c>
      <c r="JR6" t="s">
        <v>458</v>
      </c>
      <c r="JS6" t="s">
        <v>459</v>
      </c>
      <c r="JT6" s="6">
        <f t="shared" si="32"/>
        <v>9</v>
      </c>
      <c r="JU6" s="6">
        <v>20</v>
      </c>
      <c r="JV6" s="6">
        <f t="shared" si="33"/>
        <v>6</v>
      </c>
      <c r="JW6" s="6">
        <f t="shared" si="34"/>
        <v>1</v>
      </c>
      <c r="JX6">
        <v>2</v>
      </c>
      <c r="JY6" s="1">
        <v>45064.592361111114</v>
      </c>
      <c r="JZ6">
        <v>0</v>
      </c>
      <c r="KA6">
        <v>0</v>
      </c>
      <c r="KB6">
        <v>7</v>
      </c>
      <c r="KC6" s="6">
        <f t="shared" si="35"/>
        <v>7</v>
      </c>
      <c r="KD6">
        <v>2</v>
      </c>
      <c r="KE6" s="1">
        <v>45064.593055555553</v>
      </c>
      <c r="KF6" s="6">
        <v>66.099999999999994</v>
      </c>
      <c r="KG6" s="6">
        <v>2.4</v>
      </c>
      <c r="KP6">
        <v>4</v>
      </c>
      <c r="UX6">
        <v>4</v>
      </c>
      <c r="WX6">
        <v>4</v>
      </c>
      <c r="XN6" s="6">
        <v>5</v>
      </c>
      <c r="YX6">
        <v>5</v>
      </c>
      <c r="YY6" s="6">
        <v>66.099999999999994</v>
      </c>
      <c r="YZ6" s="6">
        <v>2.4</v>
      </c>
      <c r="ZB6">
        <v>2</v>
      </c>
      <c r="ZC6" s="1">
        <v>45079.661111111112</v>
      </c>
      <c r="ZD6">
        <v>4</v>
      </c>
      <c r="ZE6">
        <v>1</v>
      </c>
      <c r="ZF6">
        <v>1</v>
      </c>
      <c r="ZG6">
        <v>2</v>
      </c>
      <c r="ZH6">
        <v>1</v>
      </c>
      <c r="ZI6">
        <v>1</v>
      </c>
      <c r="ZJ6">
        <v>1</v>
      </c>
      <c r="ZK6">
        <v>1</v>
      </c>
      <c r="ZL6">
        <v>2</v>
      </c>
      <c r="ZM6">
        <v>1</v>
      </c>
      <c r="ZN6">
        <v>1</v>
      </c>
      <c r="ZO6">
        <v>2</v>
      </c>
      <c r="ZP6">
        <v>1</v>
      </c>
      <c r="ZQ6">
        <v>1</v>
      </c>
      <c r="ZR6">
        <v>1</v>
      </c>
      <c r="ZS6">
        <v>2</v>
      </c>
      <c r="ZT6">
        <v>2</v>
      </c>
      <c r="ZU6">
        <v>1</v>
      </c>
      <c r="ZV6">
        <v>2</v>
      </c>
      <c r="ZW6">
        <v>1</v>
      </c>
      <c r="ZX6" s="6">
        <f t="shared" si="36"/>
        <v>18</v>
      </c>
      <c r="ZY6" s="6">
        <f t="shared" si="37"/>
        <v>11</v>
      </c>
      <c r="ZZ6">
        <v>2</v>
      </c>
      <c r="AAA6" s="1">
        <v>45064.594444444447</v>
      </c>
      <c r="AAB6">
        <v>0</v>
      </c>
      <c r="AAC6">
        <v>1</v>
      </c>
      <c r="AAD6">
        <v>0</v>
      </c>
      <c r="AAE6">
        <v>0</v>
      </c>
      <c r="AAF6">
        <v>0</v>
      </c>
      <c r="AAG6">
        <v>0</v>
      </c>
      <c r="AAH6">
        <v>0</v>
      </c>
      <c r="AAI6">
        <v>0</v>
      </c>
      <c r="AAJ6">
        <v>0</v>
      </c>
      <c r="AAK6">
        <v>0</v>
      </c>
      <c r="AAL6">
        <v>0</v>
      </c>
      <c r="AAM6">
        <v>0</v>
      </c>
      <c r="AAN6">
        <v>1</v>
      </c>
      <c r="AAO6">
        <v>0</v>
      </c>
      <c r="AAP6">
        <v>0</v>
      </c>
      <c r="AAQ6">
        <v>1</v>
      </c>
      <c r="AAR6">
        <v>0</v>
      </c>
      <c r="AAS6">
        <v>0</v>
      </c>
      <c r="AAT6" s="6">
        <f t="shared" si="38"/>
        <v>2</v>
      </c>
      <c r="AAU6" s="6">
        <f t="shared" si="39"/>
        <v>1</v>
      </c>
      <c r="AAV6" s="6">
        <f t="shared" si="40"/>
        <v>0</v>
      </c>
      <c r="AAW6" s="6">
        <f t="shared" si="41"/>
        <v>3</v>
      </c>
      <c r="AAX6">
        <v>2</v>
      </c>
      <c r="AAY6" s="1">
        <v>45064.595138888886</v>
      </c>
      <c r="AAZ6">
        <v>1</v>
      </c>
      <c r="ABA6">
        <v>6</v>
      </c>
      <c r="ABB6">
        <v>0</v>
      </c>
      <c r="ABC6">
        <v>4</v>
      </c>
      <c r="ABD6">
        <v>0</v>
      </c>
      <c r="ABE6">
        <v>12</v>
      </c>
      <c r="ABF6">
        <v>5</v>
      </c>
      <c r="ABG6">
        <v>5</v>
      </c>
      <c r="ABH6">
        <v>5</v>
      </c>
      <c r="ABI6">
        <v>5</v>
      </c>
      <c r="ABJ6">
        <v>5</v>
      </c>
      <c r="ABK6">
        <v>2</v>
      </c>
      <c r="ABL6">
        <v>5</v>
      </c>
      <c r="ABM6">
        <v>0</v>
      </c>
      <c r="ABN6">
        <v>0</v>
      </c>
      <c r="ABO6" s="6">
        <f t="shared" si="42"/>
        <v>2.5</v>
      </c>
      <c r="ABP6" s="6">
        <f t="shared" si="43"/>
        <v>4.5714285714285712</v>
      </c>
      <c r="ABQ6">
        <v>2</v>
      </c>
      <c r="ABS6">
        <v>0</v>
      </c>
      <c r="ABT6">
        <v>0</v>
      </c>
      <c r="ABU6">
        <v>2</v>
      </c>
      <c r="ABV6">
        <v>0</v>
      </c>
      <c r="ABW6">
        <v>0</v>
      </c>
      <c r="ABX6">
        <v>0</v>
      </c>
      <c r="ABY6">
        <v>0</v>
      </c>
      <c r="ABZ6">
        <v>1</v>
      </c>
      <c r="ACA6">
        <v>0</v>
      </c>
      <c r="ACB6">
        <v>0</v>
      </c>
      <c r="ACC6">
        <v>0</v>
      </c>
      <c r="ACD6">
        <v>0</v>
      </c>
      <c r="ACE6">
        <v>1</v>
      </c>
      <c r="ACF6">
        <v>0</v>
      </c>
      <c r="ACG6">
        <v>0</v>
      </c>
      <c r="ACH6">
        <v>0</v>
      </c>
      <c r="ACI6">
        <v>0</v>
      </c>
      <c r="ACJ6">
        <v>0</v>
      </c>
      <c r="ACK6">
        <v>1</v>
      </c>
      <c r="ACL6">
        <v>0</v>
      </c>
      <c r="ACM6">
        <v>0</v>
      </c>
      <c r="ACN6">
        <v>1</v>
      </c>
      <c r="ACO6">
        <v>0</v>
      </c>
      <c r="ACP6">
        <v>0</v>
      </c>
      <c r="ACQ6">
        <v>0</v>
      </c>
      <c r="ACR6">
        <v>0</v>
      </c>
      <c r="ACS6">
        <v>0</v>
      </c>
      <c r="ACT6">
        <v>0</v>
      </c>
      <c r="ACU6">
        <v>3</v>
      </c>
      <c r="ACV6">
        <v>0</v>
      </c>
      <c r="ACW6" s="6">
        <f t="shared" si="44"/>
        <v>0</v>
      </c>
      <c r="ACX6" s="6">
        <f t="shared" si="45"/>
        <v>0</v>
      </c>
      <c r="ACY6" s="6">
        <f t="shared" si="46"/>
        <v>0</v>
      </c>
      <c r="ACZ6" s="6">
        <f t="shared" si="47"/>
        <v>5</v>
      </c>
      <c r="ADA6" s="6">
        <f t="shared" si="48"/>
        <v>3</v>
      </c>
      <c r="ADB6" s="6">
        <f t="shared" si="49"/>
        <v>1</v>
      </c>
      <c r="ADC6" s="6">
        <f t="shared" si="50"/>
        <v>7</v>
      </c>
      <c r="ADD6">
        <v>2</v>
      </c>
      <c r="ADE6" s="1">
        <v>45064.597222222219</v>
      </c>
      <c r="ADF6" s="5">
        <v>3</v>
      </c>
      <c r="ADG6">
        <f t="shared" si="51"/>
        <v>2</v>
      </c>
      <c r="ADH6" s="5">
        <v>3</v>
      </c>
      <c r="ADI6">
        <f t="shared" si="52"/>
        <v>2</v>
      </c>
      <c r="ADJ6">
        <v>1</v>
      </c>
      <c r="ADK6">
        <v>1</v>
      </c>
      <c r="ADL6" s="5">
        <v>4</v>
      </c>
      <c r="ADM6">
        <f t="shared" si="3"/>
        <v>1</v>
      </c>
      <c r="ADN6">
        <v>1</v>
      </c>
      <c r="ADO6">
        <v>1</v>
      </c>
      <c r="ADP6" s="5">
        <v>2</v>
      </c>
      <c r="ADQ6">
        <f t="shared" si="4"/>
        <v>3</v>
      </c>
      <c r="ADR6">
        <v>1</v>
      </c>
      <c r="ADS6" s="5">
        <v>3</v>
      </c>
      <c r="ADT6">
        <f t="shared" si="5"/>
        <v>2</v>
      </c>
      <c r="ADU6" s="5">
        <v>2</v>
      </c>
      <c r="ADV6">
        <f t="shared" ref="ADV6" si="60">INDEX($AD$48:$AE$51, MATCH(ADU6, $AD$48:$AD$51, 0), 2)</f>
        <v>3</v>
      </c>
      <c r="ADW6">
        <v>1</v>
      </c>
      <c r="ADX6">
        <v>1</v>
      </c>
      <c r="ADY6">
        <v>1</v>
      </c>
      <c r="ADZ6" s="5">
        <v>2</v>
      </c>
      <c r="AEA6">
        <f t="shared" si="6"/>
        <v>3</v>
      </c>
      <c r="AEB6" s="5">
        <v>2</v>
      </c>
      <c r="AEC6">
        <f t="shared" ref="AEC6" si="61">INDEX($AD$48:$AE$51, MATCH(AEB6, $AD$48:$AD$51, 0), 2)</f>
        <v>3</v>
      </c>
      <c r="AED6">
        <v>1</v>
      </c>
      <c r="AEE6">
        <v>1</v>
      </c>
      <c r="AEF6" s="5">
        <v>1</v>
      </c>
      <c r="AEG6">
        <f t="shared" si="7"/>
        <v>4</v>
      </c>
      <c r="AEH6" s="5">
        <v>1</v>
      </c>
      <c r="AEI6">
        <f t="shared" si="8"/>
        <v>4</v>
      </c>
      <c r="AEJ6" s="6">
        <f t="shared" si="55"/>
        <v>40</v>
      </c>
      <c r="AEK6">
        <v>2</v>
      </c>
      <c r="AEL6" s="1">
        <v>45064.597222222219</v>
      </c>
      <c r="AEM6">
        <v>0</v>
      </c>
      <c r="AER6">
        <v>0</v>
      </c>
      <c r="AES6">
        <v>0</v>
      </c>
      <c r="AET6">
        <v>0</v>
      </c>
      <c r="AEU6">
        <v>0</v>
      </c>
      <c r="AEV6">
        <v>0</v>
      </c>
      <c r="AEX6">
        <v>2</v>
      </c>
    </row>
    <row r="7" spans="1:830">
      <c r="A7">
        <v>204</v>
      </c>
      <c r="B7" t="s">
        <v>1213</v>
      </c>
      <c r="C7">
        <v>2</v>
      </c>
      <c r="D7">
        <v>2</v>
      </c>
      <c r="E7">
        <v>52</v>
      </c>
      <c r="F7">
        <v>66</v>
      </c>
      <c r="G7">
        <v>189</v>
      </c>
      <c r="H7">
        <v>0</v>
      </c>
      <c r="I7">
        <v>5</v>
      </c>
      <c r="K7" t="s">
        <v>465</v>
      </c>
      <c r="L7">
        <v>2</v>
      </c>
      <c r="M7" s="1">
        <v>45048.602777777778</v>
      </c>
      <c r="N7">
        <v>5</v>
      </c>
      <c r="O7">
        <v>0</v>
      </c>
      <c r="Q7">
        <v>0</v>
      </c>
      <c r="R7">
        <v>0</v>
      </c>
      <c r="S7">
        <v>0</v>
      </c>
      <c r="T7">
        <v>0</v>
      </c>
      <c r="U7">
        <v>0</v>
      </c>
      <c r="V7">
        <v>0</v>
      </c>
      <c r="W7">
        <v>0</v>
      </c>
      <c r="X7">
        <v>0</v>
      </c>
      <c r="Y7">
        <v>0</v>
      </c>
      <c r="Z7">
        <v>1</v>
      </c>
      <c r="AA7">
        <v>0</v>
      </c>
      <c r="AB7">
        <v>4</v>
      </c>
      <c r="AC7">
        <v>2</v>
      </c>
      <c r="AD7" s="1">
        <v>45048.603472222225</v>
      </c>
      <c r="AE7" s="5">
        <v>4</v>
      </c>
      <c r="AF7">
        <f t="shared" si="9"/>
        <v>1</v>
      </c>
      <c r="AG7">
        <v>2</v>
      </c>
      <c r="AH7" s="5">
        <v>2</v>
      </c>
      <c r="AI7">
        <f t="shared" si="10"/>
        <v>3</v>
      </c>
      <c r="AJ7">
        <v>2</v>
      </c>
      <c r="AK7">
        <v>2</v>
      </c>
      <c r="AL7" s="5">
        <v>2</v>
      </c>
      <c r="AM7">
        <f t="shared" si="11"/>
        <v>3</v>
      </c>
      <c r="AN7" s="5">
        <v>4</v>
      </c>
      <c r="AO7">
        <f t="shared" si="12"/>
        <v>1</v>
      </c>
      <c r="AP7">
        <v>2</v>
      </c>
      <c r="AQ7">
        <v>1</v>
      </c>
      <c r="AR7" s="5">
        <v>4</v>
      </c>
      <c r="AS7">
        <f t="shared" si="13"/>
        <v>1</v>
      </c>
      <c r="AT7">
        <v>1</v>
      </c>
      <c r="AU7">
        <v>1</v>
      </c>
      <c r="AV7" s="5">
        <v>3</v>
      </c>
      <c r="AW7">
        <f t="shared" si="14"/>
        <v>2</v>
      </c>
      <c r="AX7" s="5">
        <v>4</v>
      </c>
      <c r="AY7">
        <f t="shared" si="15"/>
        <v>1</v>
      </c>
      <c r="AZ7">
        <v>1</v>
      </c>
      <c r="BA7" s="5">
        <v>2</v>
      </c>
      <c r="BB7">
        <f t="shared" si="16"/>
        <v>3</v>
      </c>
      <c r="BC7">
        <v>1</v>
      </c>
      <c r="BD7">
        <v>1</v>
      </c>
      <c r="BE7" s="5">
        <v>3</v>
      </c>
      <c r="BF7">
        <f t="shared" si="17"/>
        <v>2</v>
      </c>
      <c r="BG7">
        <v>2</v>
      </c>
      <c r="BH7" s="6">
        <f t="shared" si="18"/>
        <v>33</v>
      </c>
      <c r="BI7">
        <v>2</v>
      </c>
      <c r="BJ7" s="1">
        <v>45048.604861111111</v>
      </c>
      <c r="BK7">
        <v>11</v>
      </c>
      <c r="BL7">
        <v>2</v>
      </c>
      <c r="BM7">
        <v>4</v>
      </c>
      <c r="BQ7" s="2">
        <v>43222</v>
      </c>
      <c r="BR7">
        <v>5</v>
      </c>
      <c r="BS7">
        <v>2</v>
      </c>
      <c r="BU7">
        <v>28</v>
      </c>
      <c r="BV7">
        <v>6</v>
      </c>
      <c r="BW7">
        <v>2</v>
      </c>
      <c r="BX7">
        <v>2</v>
      </c>
      <c r="BY7" s="1">
        <v>45048.606249999997</v>
      </c>
      <c r="BZ7">
        <v>4</v>
      </c>
      <c r="CA7">
        <v>2</v>
      </c>
      <c r="CB7">
        <v>3</v>
      </c>
      <c r="CC7">
        <v>3</v>
      </c>
      <c r="CD7">
        <v>3</v>
      </c>
      <c r="CE7">
        <v>3</v>
      </c>
      <c r="CF7">
        <v>2</v>
      </c>
      <c r="CG7">
        <v>4</v>
      </c>
      <c r="CH7">
        <v>3</v>
      </c>
      <c r="CI7">
        <v>3</v>
      </c>
      <c r="CJ7">
        <v>1</v>
      </c>
      <c r="CK7">
        <v>3</v>
      </c>
      <c r="CL7" s="5">
        <v>3</v>
      </c>
      <c r="CM7">
        <f t="shared" si="19"/>
        <v>2</v>
      </c>
      <c r="CN7">
        <v>3</v>
      </c>
      <c r="CO7">
        <v>2</v>
      </c>
      <c r="CP7">
        <v>3</v>
      </c>
      <c r="CQ7">
        <v>2</v>
      </c>
      <c r="CR7" s="5">
        <v>2</v>
      </c>
      <c r="CS7">
        <f t="shared" si="20"/>
        <v>3</v>
      </c>
      <c r="CT7">
        <v>3</v>
      </c>
      <c r="CU7">
        <v>3</v>
      </c>
      <c r="CV7" s="6">
        <f t="shared" si="21"/>
        <v>11</v>
      </c>
      <c r="CW7" s="6">
        <f t="shared" si="22"/>
        <v>10</v>
      </c>
      <c r="CX7" s="6">
        <f t="shared" si="23"/>
        <v>17</v>
      </c>
      <c r="CY7" s="6">
        <f t="shared" si="24"/>
        <v>38</v>
      </c>
      <c r="CZ7" s="6">
        <f t="shared" si="25"/>
        <v>17</v>
      </c>
      <c r="DA7">
        <v>2</v>
      </c>
      <c r="DB7" s="1">
        <v>45048.607638888891</v>
      </c>
      <c r="DC7">
        <v>0</v>
      </c>
      <c r="DD7">
        <v>0</v>
      </c>
      <c r="DE7">
        <v>0</v>
      </c>
      <c r="DF7">
        <v>0</v>
      </c>
      <c r="DG7">
        <v>1</v>
      </c>
      <c r="DH7">
        <v>0</v>
      </c>
      <c r="DI7">
        <v>0</v>
      </c>
      <c r="DJ7">
        <v>0</v>
      </c>
      <c r="DK7">
        <v>0</v>
      </c>
      <c r="DL7">
        <v>1</v>
      </c>
      <c r="DM7">
        <v>1</v>
      </c>
      <c r="DN7">
        <v>0</v>
      </c>
      <c r="DO7">
        <v>0</v>
      </c>
      <c r="DP7">
        <v>0</v>
      </c>
      <c r="DQ7">
        <v>0</v>
      </c>
      <c r="DR7">
        <v>1</v>
      </c>
      <c r="DS7">
        <v>0</v>
      </c>
      <c r="DT7">
        <v>0</v>
      </c>
      <c r="DU7">
        <v>0</v>
      </c>
      <c r="DV7">
        <v>0</v>
      </c>
      <c r="DW7">
        <v>0</v>
      </c>
      <c r="DX7">
        <v>0</v>
      </c>
      <c r="DY7">
        <v>0</v>
      </c>
      <c r="DZ7">
        <v>0</v>
      </c>
      <c r="EA7">
        <v>1</v>
      </c>
      <c r="EB7">
        <v>0</v>
      </c>
      <c r="EC7">
        <v>0</v>
      </c>
      <c r="ED7">
        <v>0</v>
      </c>
      <c r="EE7">
        <v>0</v>
      </c>
      <c r="EF7">
        <v>1</v>
      </c>
      <c r="EG7">
        <v>0</v>
      </c>
      <c r="EH7">
        <v>0</v>
      </c>
      <c r="EI7">
        <v>0</v>
      </c>
      <c r="EJ7">
        <v>0</v>
      </c>
      <c r="EK7">
        <v>1</v>
      </c>
      <c r="EL7">
        <v>1</v>
      </c>
      <c r="EM7">
        <v>0</v>
      </c>
      <c r="EN7">
        <v>0</v>
      </c>
      <c r="EO7">
        <v>0</v>
      </c>
      <c r="EP7">
        <v>0</v>
      </c>
      <c r="EQ7">
        <v>0</v>
      </c>
      <c r="ER7">
        <v>0</v>
      </c>
      <c r="ES7">
        <v>0</v>
      </c>
      <c r="ET7">
        <v>0</v>
      </c>
      <c r="EU7">
        <v>1</v>
      </c>
      <c r="EV7">
        <v>0</v>
      </c>
      <c r="EW7">
        <v>0</v>
      </c>
      <c r="EX7">
        <v>0</v>
      </c>
      <c r="EY7">
        <v>0</v>
      </c>
      <c r="EZ7">
        <v>1</v>
      </c>
      <c r="FA7">
        <v>0</v>
      </c>
      <c r="FB7">
        <v>0</v>
      </c>
      <c r="FC7">
        <v>0</v>
      </c>
      <c r="FD7">
        <v>0</v>
      </c>
      <c r="FE7">
        <v>1</v>
      </c>
      <c r="FF7">
        <v>1</v>
      </c>
      <c r="FG7">
        <v>0</v>
      </c>
      <c r="FH7">
        <v>0</v>
      </c>
      <c r="FI7">
        <v>0</v>
      </c>
      <c r="FJ7">
        <v>0</v>
      </c>
      <c r="FK7">
        <v>0</v>
      </c>
      <c r="FL7">
        <v>0</v>
      </c>
      <c r="FM7">
        <v>0</v>
      </c>
      <c r="FN7">
        <v>0</v>
      </c>
      <c r="FO7">
        <v>1</v>
      </c>
      <c r="FP7">
        <v>0</v>
      </c>
      <c r="FQ7">
        <v>0</v>
      </c>
      <c r="FR7">
        <v>0</v>
      </c>
      <c r="FS7">
        <v>0</v>
      </c>
      <c r="FT7">
        <v>1</v>
      </c>
      <c r="FU7">
        <v>1</v>
      </c>
      <c r="FV7">
        <v>1</v>
      </c>
      <c r="FW7">
        <v>0</v>
      </c>
      <c r="FX7">
        <v>0</v>
      </c>
      <c r="FY7">
        <v>0</v>
      </c>
      <c r="FZ7">
        <v>0</v>
      </c>
      <c r="GA7">
        <v>0</v>
      </c>
      <c r="GB7">
        <v>0</v>
      </c>
      <c r="GC7">
        <v>0</v>
      </c>
      <c r="GD7">
        <v>1</v>
      </c>
      <c r="GE7">
        <v>1</v>
      </c>
      <c r="GF7">
        <v>0</v>
      </c>
      <c r="GG7">
        <v>0</v>
      </c>
      <c r="GH7">
        <v>0</v>
      </c>
      <c r="GI7">
        <v>0</v>
      </c>
      <c r="GJ7" s="6">
        <f t="shared" si="26"/>
        <v>18</v>
      </c>
      <c r="GK7">
        <v>2</v>
      </c>
      <c r="GL7" s="1">
        <v>45048.609722222223</v>
      </c>
      <c r="GM7">
        <v>1</v>
      </c>
      <c r="GN7">
        <v>1</v>
      </c>
      <c r="GO7">
        <v>1</v>
      </c>
      <c r="GP7">
        <v>2</v>
      </c>
      <c r="GQ7" s="5">
        <v>1</v>
      </c>
      <c r="GR7">
        <f t="shared" si="27"/>
        <v>4</v>
      </c>
      <c r="GS7">
        <v>1</v>
      </c>
      <c r="GT7">
        <v>4</v>
      </c>
      <c r="GU7">
        <v>2</v>
      </c>
      <c r="GV7" s="5">
        <v>4</v>
      </c>
      <c r="GW7">
        <f t="shared" si="0"/>
        <v>1</v>
      </c>
      <c r="GX7">
        <v>2</v>
      </c>
      <c r="GY7">
        <v>3</v>
      </c>
      <c r="GZ7">
        <v>1</v>
      </c>
      <c r="HA7" s="5">
        <v>2</v>
      </c>
      <c r="HB7">
        <f t="shared" si="1"/>
        <v>3</v>
      </c>
      <c r="HC7">
        <v>3</v>
      </c>
      <c r="HD7">
        <v>2</v>
      </c>
      <c r="HE7">
        <v>2</v>
      </c>
      <c r="HF7" s="5">
        <v>2</v>
      </c>
      <c r="HG7">
        <f t="shared" si="2"/>
        <v>3</v>
      </c>
      <c r="HH7">
        <v>3</v>
      </c>
      <c r="HI7" s="6">
        <f t="shared" si="28"/>
        <v>13</v>
      </c>
      <c r="HJ7" s="6">
        <f t="shared" si="29"/>
        <v>12</v>
      </c>
      <c r="HK7" s="6">
        <f t="shared" si="30"/>
        <v>38</v>
      </c>
      <c r="HL7">
        <v>2</v>
      </c>
      <c r="HM7" s="1">
        <v>45048.609722222223</v>
      </c>
      <c r="HN7">
        <v>2</v>
      </c>
      <c r="HO7">
        <v>4</v>
      </c>
      <c r="HP7">
        <v>5</v>
      </c>
      <c r="HQ7">
        <v>2</v>
      </c>
      <c r="HR7" s="1">
        <v>45062.591666666667</v>
      </c>
      <c r="HS7">
        <v>0</v>
      </c>
      <c r="HT7">
        <v>1</v>
      </c>
      <c r="HU7">
        <v>1</v>
      </c>
      <c r="HV7">
        <v>1</v>
      </c>
      <c r="HW7">
        <v>0</v>
      </c>
      <c r="HX7">
        <v>0</v>
      </c>
      <c r="HY7">
        <v>1</v>
      </c>
      <c r="HZ7">
        <v>1</v>
      </c>
      <c r="IA7">
        <v>0</v>
      </c>
      <c r="IB7">
        <v>1</v>
      </c>
      <c r="IC7">
        <v>0</v>
      </c>
      <c r="ID7">
        <v>1</v>
      </c>
      <c r="IE7">
        <v>0</v>
      </c>
      <c r="IF7">
        <v>0</v>
      </c>
      <c r="IG7">
        <v>1</v>
      </c>
      <c r="IH7">
        <v>1</v>
      </c>
      <c r="II7">
        <v>0</v>
      </c>
      <c r="IJ7">
        <v>0</v>
      </c>
      <c r="IK7">
        <v>1</v>
      </c>
      <c r="IL7">
        <v>1</v>
      </c>
      <c r="IM7">
        <v>0</v>
      </c>
      <c r="IN7" s="6">
        <f t="shared" si="31"/>
        <v>11</v>
      </c>
      <c r="IO7">
        <v>2</v>
      </c>
      <c r="IP7" s="1">
        <v>45062.601388888892</v>
      </c>
      <c r="IQ7">
        <v>1</v>
      </c>
      <c r="IR7">
        <v>1</v>
      </c>
      <c r="IS7">
        <v>0</v>
      </c>
      <c r="IT7">
        <v>0</v>
      </c>
      <c r="IU7">
        <v>0</v>
      </c>
      <c r="IV7">
        <v>0</v>
      </c>
      <c r="IW7">
        <v>1</v>
      </c>
      <c r="IX7">
        <v>1</v>
      </c>
      <c r="IY7">
        <v>1</v>
      </c>
      <c r="IZ7">
        <v>1</v>
      </c>
      <c r="JA7">
        <v>1</v>
      </c>
      <c r="JB7">
        <v>1</v>
      </c>
      <c r="JC7">
        <v>0</v>
      </c>
      <c r="JD7">
        <v>0</v>
      </c>
      <c r="JE7">
        <v>0</v>
      </c>
      <c r="JF7">
        <v>0</v>
      </c>
      <c r="JG7">
        <v>0</v>
      </c>
      <c r="JH7">
        <v>1</v>
      </c>
      <c r="JI7">
        <v>0</v>
      </c>
      <c r="JJ7">
        <v>0</v>
      </c>
      <c r="JK7" t="s">
        <v>407</v>
      </c>
      <c r="JL7">
        <v>2</v>
      </c>
      <c r="JM7">
        <v>1</v>
      </c>
      <c r="JN7">
        <v>2</v>
      </c>
      <c r="JO7">
        <v>0</v>
      </c>
      <c r="JP7">
        <v>1</v>
      </c>
      <c r="JQ7">
        <v>1</v>
      </c>
      <c r="JR7" t="s">
        <v>466</v>
      </c>
      <c r="JS7" t="s">
        <v>467</v>
      </c>
      <c r="JT7" s="6">
        <f t="shared" si="32"/>
        <v>9</v>
      </c>
      <c r="JU7" s="6">
        <v>10</v>
      </c>
      <c r="JV7" s="6">
        <f>SUM(JL7:JN7)</f>
        <v>5</v>
      </c>
      <c r="JW7" s="6">
        <f>SUM(JO7:JQ7)</f>
        <v>2</v>
      </c>
      <c r="JX7">
        <v>2</v>
      </c>
      <c r="JY7" s="1">
        <v>45062.602777777778</v>
      </c>
      <c r="JZ7">
        <v>0</v>
      </c>
      <c r="KA7">
        <v>0</v>
      </c>
      <c r="KB7">
        <v>6</v>
      </c>
      <c r="KC7" s="6">
        <f t="shared" si="35"/>
        <v>6</v>
      </c>
      <c r="KD7">
        <v>2</v>
      </c>
      <c r="KE7" s="1">
        <v>45062.602777777778</v>
      </c>
      <c r="KF7" s="6">
        <v>61.6</v>
      </c>
      <c r="KG7" s="6">
        <v>2.5</v>
      </c>
      <c r="KP7">
        <v>4</v>
      </c>
      <c r="UH7">
        <v>4</v>
      </c>
      <c r="UX7">
        <v>4</v>
      </c>
      <c r="XN7" s="6">
        <v>2</v>
      </c>
      <c r="YX7">
        <v>2</v>
      </c>
      <c r="YY7" s="6">
        <v>61.6</v>
      </c>
      <c r="YZ7" s="6">
        <v>2.5</v>
      </c>
      <c r="ZB7">
        <v>2</v>
      </c>
      <c r="ZC7" s="1">
        <v>45080.661111111112</v>
      </c>
      <c r="ZD7">
        <v>3</v>
      </c>
      <c r="ZE7">
        <v>2</v>
      </c>
      <c r="ZF7">
        <v>2</v>
      </c>
      <c r="ZG7">
        <v>3</v>
      </c>
      <c r="ZH7">
        <v>3</v>
      </c>
      <c r="ZI7">
        <v>1</v>
      </c>
      <c r="ZJ7">
        <v>3</v>
      </c>
      <c r="ZK7">
        <v>1</v>
      </c>
      <c r="ZL7">
        <v>3</v>
      </c>
      <c r="ZM7">
        <v>3</v>
      </c>
      <c r="ZN7">
        <v>1</v>
      </c>
      <c r="ZO7">
        <v>5</v>
      </c>
      <c r="ZP7">
        <v>1</v>
      </c>
      <c r="ZQ7">
        <v>3</v>
      </c>
      <c r="ZR7">
        <v>4</v>
      </c>
      <c r="ZS7">
        <v>4</v>
      </c>
      <c r="ZT7">
        <v>2</v>
      </c>
      <c r="ZU7">
        <v>1</v>
      </c>
      <c r="ZV7">
        <v>2</v>
      </c>
      <c r="ZW7">
        <v>3</v>
      </c>
      <c r="ZX7" s="6">
        <f t="shared" si="36"/>
        <v>30</v>
      </c>
      <c r="ZY7" s="6">
        <f t="shared" si="37"/>
        <v>20</v>
      </c>
      <c r="ZZ7">
        <v>2</v>
      </c>
      <c r="AAA7" s="1">
        <v>45062.606249999997</v>
      </c>
      <c r="AAB7">
        <v>1</v>
      </c>
      <c r="AAC7">
        <v>1</v>
      </c>
      <c r="AAD7">
        <v>1</v>
      </c>
      <c r="AAE7">
        <v>0</v>
      </c>
      <c r="AAF7">
        <v>0</v>
      </c>
      <c r="AAG7">
        <v>1</v>
      </c>
      <c r="AAH7">
        <v>0</v>
      </c>
      <c r="AAI7">
        <v>0</v>
      </c>
      <c r="AAJ7">
        <v>0</v>
      </c>
      <c r="AAK7">
        <v>0</v>
      </c>
      <c r="AAL7">
        <v>1</v>
      </c>
      <c r="AAM7">
        <v>0</v>
      </c>
      <c r="AAN7">
        <v>3</v>
      </c>
      <c r="AAO7">
        <v>1</v>
      </c>
      <c r="AAP7">
        <v>0</v>
      </c>
      <c r="AAQ7">
        <v>3</v>
      </c>
      <c r="AAR7">
        <v>0</v>
      </c>
      <c r="AAS7">
        <v>1</v>
      </c>
      <c r="AAT7" s="6">
        <f t="shared" si="38"/>
        <v>7</v>
      </c>
      <c r="AAU7" s="6">
        <f t="shared" si="39"/>
        <v>3</v>
      </c>
      <c r="AAV7" s="6">
        <f t="shared" si="40"/>
        <v>3</v>
      </c>
      <c r="AAW7" s="6">
        <f t="shared" si="41"/>
        <v>13</v>
      </c>
      <c r="AAX7">
        <v>2</v>
      </c>
      <c r="AAY7" s="1">
        <v>45062.607638888891</v>
      </c>
      <c r="AAZ7">
        <v>1</v>
      </c>
      <c r="ABA7">
        <v>10</v>
      </c>
      <c r="ABB7">
        <v>10</v>
      </c>
      <c r="ABC7">
        <v>9</v>
      </c>
      <c r="ABD7">
        <v>9</v>
      </c>
      <c r="ABE7">
        <v>16</v>
      </c>
      <c r="ABF7">
        <v>8</v>
      </c>
      <c r="ABG7">
        <v>8</v>
      </c>
      <c r="ABH7">
        <v>9</v>
      </c>
      <c r="ABI7">
        <v>9</v>
      </c>
      <c r="ABJ7">
        <v>9</v>
      </c>
      <c r="ABK7">
        <v>10</v>
      </c>
      <c r="ABL7">
        <v>7</v>
      </c>
      <c r="ABM7">
        <v>8</v>
      </c>
      <c r="ABN7">
        <v>0</v>
      </c>
      <c r="ABO7" s="6">
        <f t="shared" si="42"/>
        <v>9.5</v>
      </c>
      <c r="ABP7" s="6">
        <f t="shared" si="43"/>
        <v>8.5714285714285712</v>
      </c>
      <c r="ABQ7">
        <v>2</v>
      </c>
      <c r="ABS7">
        <v>1</v>
      </c>
      <c r="ABT7">
        <v>0</v>
      </c>
      <c r="ABU7">
        <v>2</v>
      </c>
      <c r="ABV7">
        <v>1</v>
      </c>
      <c r="ABW7">
        <v>0</v>
      </c>
      <c r="ABX7">
        <v>1</v>
      </c>
      <c r="ABY7">
        <v>0</v>
      </c>
      <c r="ABZ7">
        <v>1</v>
      </c>
      <c r="ACA7">
        <v>0</v>
      </c>
      <c r="ACB7">
        <v>1</v>
      </c>
      <c r="ACC7">
        <v>1</v>
      </c>
      <c r="ACD7">
        <v>1</v>
      </c>
      <c r="ACE7">
        <v>3</v>
      </c>
      <c r="ACF7">
        <v>0</v>
      </c>
      <c r="ACG7">
        <v>1</v>
      </c>
      <c r="ACH7">
        <v>0</v>
      </c>
      <c r="ACI7">
        <v>0</v>
      </c>
      <c r="ACJ7">
        <v>0</v>
      </c>
      <c r="ACK7">
        <v>3</v>
      </c>
      <c r="ACL7">
        <v>0</v>
      </c>
      <c r="ACM7">
        <v>0</v>
      </c>
      <c r="ACN7">
        <v>1</v>
      </c>
      <c r="ACO7">
        <v>0</v>
      </c>
      <c r="ACP7">
        <v>0</v>
      </c>
      <c r="ACQ7">
        <v>0</v>
      </c>
      <c r="ACR7">
        <v>1</v>
      </c>
      <c r="ACS7">
        <v>2</v>
      </c>
      <c r="ACT7">
        <v>0</v>
      </c>
      <c r="ACU7">
        <v>1</v>
      </c>
      <c r="ACV7">
        <v>1</v>
      </c>
      <c r="ACW7" s="6">
        <f t="shared" si="44"/>
        <v>3</v>
      </c>
      <c r="ACX7" s="6">
        <f t="shared" si="45"/>
        <v>2</v>
      </c>
      <c r="ACY7" s="6">
        <f t="shared" si="46"/>
        <v>0</v>
      </c>
      <c r="ACZ7" s="6">
        <f t="shared" si="47"/>
        <v>9</v>
      </c>
      <c r="ADA7" s="6">
        <f t="shared" si="48"/>
        <v>2</v>
      </c>
      <c r="ADB7" s="6">
        <f t="shared" si="49"/>
        <v>6</v>
      </c>
      <c r="ADC7" s="6">
        <f t="shared" si="50"/>
        <v>10</v>
      </c>
      <c r="ADD7">
        <v>2</v>
      </c>
      <c r="ADE7" s="1">
        <v>45062.61041666667</v>
      </c>
      <c r="ADF7" s="5">
        <v>4</v>
      </c>
      <c r="ADG7">
        <f t="shared" si="51"/>
        <v>1</v>
      </c>
      <c r="ADH7" s="5">
        <v>4</v>
      </c>
      <c r="ADI7">
        <f t="shared" si="52"/>
        <v>1</v>
      </c>
      <c r="ADJ7">
        <v>2</v>
      </c>
      <c r="ADK7">
        <v>1</v>
      </c>
      <c r="ADL7" s="5">
        <v>3</v>
      </c>
      <c r="ADM7">
        <f t="shared" si="3"/>
        <v>2</v>
      </c>
      <c r="ADN7">
        <v>1</v>
      </c>
      <c r="ADO7">
        <v>2</v>
      </c>
      <c r="ADP7" s="5">
        <v>2</v>
      </c>
      <c r="ADQ7">
        <f t="shared" si="4"/>
        <v>3</v>
      </c>
      <c r="ADR7">
        <v>1</v>
      </c>
      <c r="ADS7" s="5">
        <v>3</v>
      </c>
      <c r="ADT7">
        <f t="shared" si="5"/>
        <v>2</v>
      </c>
      <c r="ADU7" s="5">
        <v>4</v>
      </c>
      <c r="ADV7">
        <f t="shared" ref="ADV7" si="62">INDEX($AD$48:$AE$51, MATCH(ADU7, $AD$48:$AD$51, 0), 2)</f>
        <v>1</v>
      </c>
      <c r="ADW7">
        <v>1</v>
      </c>
      <c r="ADX7">
        <v>1</v>
      </c>
      <c r="ADY7">
        <v>1</v>
      </c>
      <c r="ADZ7" s="5">
        <v>3</v>
      </c>
      <c r="AEA7">
        <f t="shared" si="6"/>
        <v>2</v>
      </c>
      <c r="AEB7" s="5">
        <v>3</v>
      </c>
      <c r="AEC7">
        <f t="shared" ref="AEC7" si="63">INDEX($AD$48:$AE$51, MATCH(AEB7, $AD$48:$AD$51, 0), 2)</f>
        <v>2</v>
      </c>
      <c r="AED7">
        <v>2</v>
      </c>
      <c r="AEE7">
        <v>1</v>
      </c>
      <c r="AEF7" s="5">
        <v>3</v>
      </c>
      <c r="AEG7">
        <f t="shared" si="7"/>
        <v>2</v>
      </c>
      <c r="AEH7" s="5">
        <v>4</v>
      </c>
      <c r="AEI7">
        <f t="shared" si="8"/>
        <v>1</v>
      </c>
      <c r="AEJ7" s="6">
        <f t="shared" si="55"/>
        <v>32</v>
      </c>
      <c r="AEK7">
        <v>2</v>
      </c>
      <c r="AEL7" s="1">
        <v>45062.611111111109</v>
      </c>
      <c r="AEM7">
        <v>1</v>
      </c>
      <c r="AEN7" t="s">
        <v>295</v>
      </c>
      <c r="AEO7" t="s">
        <v>296</v>
      </c>
      <c r="AEP7">
        <v>20</v>
      </c>
      <c r="AEQ7">
        <v>25</v>
      </c>
      <c r="AER7">
        <v>1</v>
      </c>
      <c r="AES7">
        <v>1</v>
      </c>
      <c r="AET7">
        <v>0</v>
      </c>
      <c r="AEU7">
        <v>0</v>
      </c>
      <c r="AEV7">
        <v>0</v>
      </c>
      <c r="AEX7">
        <v>2</v>
      </c>
    </row>
    <row r="8" spans="1:830">
      <c r="A8">
        <v>152</v>
      </c>
      <c r="B8" t="s">
        <v>1189</v>
      </c>
      <c r="C8">
        <v>2</v>
      </c>
      <c r="D8">
        <v>2</v>
      </c>
      <c r="E8">
        <v>26</v>
      </c>
      <c r="F8">
        <v>64</v>
      </c>
      <c r="G8">
        <v>194</v>
      </c>
      <c r="H8">
        <v>0</v>
      </c>
      <c r="I8">
        <v>5</v>
      </c>
      <c r="K8" t="s">
        <v>360</v>
      </c>
      <c r="L8">
        <v>2</v>
      </c>
      <c r="M8" s="1">
        <v>45557.365277777775</v>
      </c>
      <c r="N8">
        <v>7</v>
      </c>
      <c r="O8">
        <v>0</v>
      </c>
      <c r="Q8">
        <v>0</v>
      </c>
      <c r="R8">
        <v>0</v>
      </c>
      <c r="S8">
        <v>0</v>
      </c>
      <c r="T8">
        <v>1</v>
      </c>
      <c r="U8">
        <v>0</v>
      </c>
      <c r="V8">
        <v>0</v>
      </c>
      <c r="W8">
        <v>0</v>
      </c>
      <c r="X8">
        <v>0</v>
      </c>
      <c r="Y8">
        <v>0</v>
      </c>
      <c r="Z8">
        <v>0</v>
      </c>
      <c r="AA8">
        <v>0</v>
      </c>
      <c r="AB8" t="s">
        <v>208</v>
      </c>
      <c r="AC8">
        <v>2</v>
      </c>
      <c r="AD8" s="1">
        <v>45558.620833333334</v>
      </c>
      <c r="AE8" s="5">
        <v>2</v>
      </c>
      <c r="AF8">
        <f t="shared" si="9"/>
        <v>3</v>
      </c>
      <c r="AG8">
        <v>2</v>
      </c>
      <c r="AH8" s="5">
        <v>3</v>
      </c>
      <c r="AI8">
        <f t="shared" si="10"/>
        <v>2</v>
      </c>
      <c r="AJ8">
        <v>1</v>
      </c>
      <c r="AK8">
        <v>1</v>
      </c>
      <c r="AL8" s="5">
        <v>2</v>
      </c>
      <c r="AM8">
        <f t="shared" si="11"/>
        <v>3</v>
      </c>
      <c r="AN8" s="5">
        <v>3</v>
      </c>
      <c r="AO8">
        <f t="shared" si="12"/>
        <v>2</v>
      </c>
      <c r="AP8">
        <v>1</v>
      </c>
      <c r="AQ8">
        <v>3</v>
      </c>
      <c r="AR8" s="5">
        <v>2</v>
      </c>
      <c r="AS8">
        <f t="shared" si="13"/>
        <v>3</v>
      </c>
      <c r="AT8">
        <v>1</v>
      </c>
      <c r="AU8">
        <v>2</v>
      </c>
      <c r="AV8" s="5">
        <v>2</v>
      </c>
      <c r="AW8">
        <f t="shared" si="14"/>
        <v>3</v>
      </c>
      <c r="AX8" s="5">
        <v>2</v>
      </c>
      <c r="AY8">
        <f t="shared" si="15"/>
        <v>3</v>
      </c>
      <c r="AZ8">
        <v>2</v>
      </c>
      <c r="BA8" s="5">
        <v>2</v>
      </c>
      <c r="BB8">
        <f t="shared" si="16"/>
        <v>3</v>
      </c>
      <c r="BC8">
        <v>2</v>
      </c>
      <c r="BD8">
        <v>2</v>
      </c>
      <c r="BE8" s="5">
        <v>3</v>
      </c>
      <c r="BF8">
        <f t="shared" si="17"/>
        <v>2</v>
      </c>
      <c r="BG8">
        <v>1</v>
      </c>
      <c r="BH8" s="6">
        <f t="shared" si="18"/>
        <v>42</v>
      </c>
      <c r="BI8">
        <v>2</v>
      </c>
      <c r="BJ8" s="1">
        <v>45558.62222222222</v>
      </c>
      <c r="BK8">
        <v>12</v>
      </c>
      <c r="BL8">
        <v>2</v>
      </c>
      <c r="BM8">
        <v>1</v>
      </c>
      <c r="BQ8" s="2">
        <v>45543</v>
      </c>
      <c r="BU8">
        <v>29</v>
      </c>
      <c r="BV8">
        <v>5</v>
      </c>
      <c r="BW8">
        <v>1</v>
      </c>
      <c r="BX8">
        <v>2</v>
      </c>
      <c r="BY8" s="1">
        <v>45558.623611111114</v>
      </c>
      <c r="BZ8">
        <v>4</v>
      </c>
      <c r="CA8">
        <v>2</v>
      </c>
      <c r="CB8">
        <v>4</v>
      </c>
      <c r="CC8">
        <v>3</v>
      </c>
      <c r="CD8">
        <v>4</v>
      </c>
      <c r="CE8">
        <v>3</v>
      </c>
      <c r="CF8">
        <v>3</v>
      </c>
      <c r="CG8">
        <v>4</v>
      </c>
      <c r="CH8">
        <v>3</v>
      </c>
      <c r="CI8">
        <v>2</v>
      </c>
      <c r="CJ8">
        <v>3</v>
      </c>
      <c r="CK8">
        <v>3</v>
      </c>
      <c r="CL8" s="5">
        <v>1</v>
      </c>
      <c r="CM8">
        <f t="shared" si="19"/>
        <v>4</v>
      </c>
      <c r="CN8">
        <v>3</v>
      </c>
      <c r="CO8">
        <v>3</v>
      </c>
      <c r="CP8">
        <v>3</v>
      </c>
      <c r="CQ8">
        <v>2</v>
      </c>
      <c r="CR8" s="5">
        <v>1</v>
      </c>
      <c r="CS8">
        <f t="shared" si="20"/>
        <v>4</v>
      </c>
      <c r="CT8">
        <v>4</v>
      </c>
      <c r="CU8">
        <v>4</v>
      </c>
      <c r="CV8" s="6">
        <f t="shared" si="21"/>
        <v>12</v>
      </c>
      <c r="CW8" s="6">
        <f t="shared" si="22"/>
        <v>13</v>
      </c>
      <c r="CX8" s="6">
        <f t="shared" si="23"/>
        <v>19</v>
      </c>
      <c r="CY8" s="6">
        <f t="shared" si="24"/>
        <v>44</v>
      </c>
      <c r="CZ8" s="6">
        <f t="shared" si="25"/>
        <v>21</v>
      </c>
      <c r="DA8">
        <v>2</v>
      </c>
      <c r="DB8" s="1">
        <v>45558.624305555553</v>
      </c>
      <c r="DC8">
        <v>0</v>
      </c>
      <c r="DD8">
        <v>0</v>
      </c>
      <c r="DE8">
        <v>1</v>
      </c>
      <c r="DF8">
        <v>0</v>
      </c>
      <c r="DG8">
        <v>0</v>
      </c>
      <c r="DH8">
        <v>0</v>
      </c>
      <c r="DI8">
        <v>0</v>
      </c>
      <c r="DJ8">
        <v>1</v>
      </c>
      <c r="DK8">
        <v>0</v>
      </c>
      <c r="DL8">
        <v>0</v>
      </c>
      <c r="DM8">
        <v>1</v>
      </c>
      <c r="DN8">
        <v>0</v>
      </c>
      <c r="DO8">
        <v>0</v>
      </c>
      <c r="DP8">
        <v>0</v>
      </c>
      <c r="DQ8">
        <v>0</v>
      </c>
      <c r="DR8">
        <v>0</v>
      </c>
      <c r="DS8">
        <v>0</v>
      </c>
      <c r="DT8">
        <v>0</v>
      </c>
      <c r="DU8">
        <v>0</v>
      </c>
      <c r="DV8">
        <v>1</v>
      </c>
      <c r="DW8">
        <v>0</v>
      </c>
      <c r="DX8">
        <v>0</v>
      </c>
      <c r="DY8">
        <v>0</v>
      </c>
      <c r="DZ8">
        <v>0</v>
      </c>
      <c r="EA8">
        <v>1</v>
      </c>
      <c r="EB8">
        <v>0</v>
      </c>
      <c r="EC8">
        <v>0</v>
      </c>
      <c r="ED8">
        <v>0</v>
      </c>
      <c r="EE8">
        <v>0</v>
      </c>
      <c r="EF8">
        <v>1</v>
      </c>
      <c r="EG8">
        <v>0</v>
      </c>
      <c r="EH8">
        <v>0</v>
      </c>
      <c r="EI8">
        <v>1</v>
      </c>
      <c r="EJ8">
        <v>0</v>
      </c>
      <c r="EK8">
        <v>0</v>
      </c>
      <c r="EL8">
        <v>1</v>
      </c>
      <c r="EM8">
        <v>0</v>
      </c>
      <c r="EN8">
        <v>0</v>
      </c>
      <c r="EO8">
        <v>0</v>
      </c>
      <c r="EP8">
        <v>0</v>
      </c>
      <c r="EQ8">
        <v>1</v>
      </c>
      <c r="ER8">
        <v>0</v>
      </c>
      <c r="ES8">
        <v>0</v>
      </c>
      <c r="ET8">
        <v>0</v>
      </c>
      <c r="EU8">
        <v>0</v>
      </c>
      <c r="EV8">
        <v>0</v>
      </c>
      <c r="EW8">
        <v>0</v>
      </c>
      <c r="EX8">
        <v>0</v>
      </c>
      <c r="EY8">
        <v>0</v>
      </c>
      <c r="EZ8">
        <v>1</v>
      </c>
      <c r="FA8">
        <v>0</v>
      </c>
      <c r="FB8">
        <v>0</v>
      </c>
      <c r="FC8">
        <v>0</v>
      </c>
      <c r="FD8">
        <v>0</v>
      </c>
      <c r="FE8">
        <v>1</v>
      </c>
      <c r="FF8">
        <v>0</v>
      </c>
      <c r="FG8">
        <v>0</v>
      </c>
      <c r="FH8">
        <v>0</v>
      </c>
      <c r="FI8">
        <v>0</v>
      </c>
      <c r="FJ8">
        <v>1</v>
      </c>
      <c r="FK8">
        <v>0</v>
      </c>
      <c r="FL8">
        <v>0</v>
      </c>
      <c r="FM8">
        <v>0</v>
      </c>
      <c r="FN8">
        <v>1</v>
      </c>
      <c r="FO8">
        <v>0</v>
      </c>
      <c r="FP8">
        <v>0</v>
      </c>
      <c r="FQ8">
        <v>0</v>
      </c>
      <c r="FR8">
        <v>1</v>
      </c>
      <c r="FS8">
        <v>0</v>
      </c>
      <c r="FT8">
        <v>0</v>
      </c>
      <c r="FU8">
        <v>1</v>
      </c>
      <c r="FV8">
        <v>0</v>
      </c>
      <c r="FW8">
        <v>0</v>
      </c>
      <c r="FX8">
        <v>0</v>
      </c>
      <c r="FY8">
        <v>0</v>
      </c>
      <c r="FZ8">
        <v>0</v>
      </c>
      <c r="GA8">
        <v>0</v>
      </c>
      <c r="GB8">
        <v>0</v>
      </c>
      <c r="GC8">
        <v>0</v>
      </c>
      <c r="GD8">
        <v>1</v>
      </c>
      <c r="GE8">
        <v>1</v>
      </c>
      <c r="GF8">
        <v>0</v>
      </c>
      <c r="GG8">
        <v>0</v>
      </c>
      <c r="GH8">
        <v>0</v>
      </c>
      <c r="GI8">
        <v>0</v>
      </c>
      <c r="GJ8" s="6">
        <f t="shared" si="26"/>
        <v>17</v>
      </c>
      <c r="GK8">
        <v>2</v>
      </c>
      <c r="GL8" s="1">
        <v>45558.625694444447</v>
      </c>
      <c r="GM8">
        <v>1</v>
      </c>
      <c r="GN8">
        <v>2</v>
      </c>
      <c r="GO8">
        <v>2</v>
      </c>
      <c r="GP8">
        <v>2</v>
      </c>
      <c r="GQ8" s="5">
        <v>3</v>
      </c>
      <c r="GR8">
        <f t="shared" si="27"/>
        <v>2</v>
      </c>
      <c r="GS8">
        <v>3</v>
      </c>
      <c r="GT8">
        <v>3</v>
      </c>
      <c r="GU8">
        <v>1</v>
      </c>
      <c r="GV8" s="5">
        <v>3</v>
      </c>
      <c r="GW8">
        <f t="shared" si="0"/>
        <v>2</v>
      </c>
      <c r="GX8">
        <v>1</v>
      </c>
      <c r="GY8">
        <v>1</v>
      </c>
      <c r="GZ8">
        <v>2</v>
      </c>
      <c r="HA8" s="5">
        <v>3</v>
      </c>
      <c r="HB8">
        <f t="shared" si="1"/>
        <v>2</v>
      </c>
      <c r="HC8">
        <v>3</v>
      </c>
      <c r="HD8">
        <v>2</v>
      </c>
      <c r="HE8">
        <v>2</v>
      </c>
      <c r="HF8" s="5">
        <v>3</v>
      </c>
      <c r="HG8">
        <f t="shared" si="2"/>
        <v>2</v>
      </c>
      <c r="HH8">
        <v>3</v>
      </c>
      <c r="HI8" s="6">
        <f t="shared" si="28"/>
        <v>11</v>
      </c>
      <c r="HJ8" s="6">
        <f t="shared" si="29"/>
        <v>12</v>
      </c>
      <c r="HK8" s="6">
        <f t="shared" si="30"/>
        <v>35</v>
      </c>
      <c r="HL8">
        <v>2</v>
      </c>
      <c r="HM8" s="1">
        <v>45558.625694444447</v>
      </c>
      <c r="HN8">
        <v>4</v>
      </c>
      <c r="HO8">
        <v>8</v>
      </c>
      <c r="HP8">
        <v>7</v>
      </c>
      <c r="HQ8">
        <v>2</v>
      </c>
      <c r="HR8" s="1">
        <v>45559.396527777775</v>
      </c>
      <c r="HS8">
        <v>0</v>
      </c>
      <c r="HT8">
        <v>0</v>
      </c>
      <c r="HU8">
        <v>0</v>
      </c>
      <c r="HV8">
        <v>1</v>
      </c>
      <c r="HW8">
        <v>2</v>
      </c>
      <c r="HX8">
        <v>0</v>
      </c>
      <c r="HY8">
        <v>1</v>
      </c>
      <c r="HZ8">
        <v>1</v>
      </c>
      <c r="IA8">
        <v>0</v>
      </c>
      <c r="IB8">
        <v>1</v>
      </c>
      <c r="IC8">
        <v>1</v>
      </c>
      <c r="ID8">
        <v>1</v>
      </c>
      <c r="IE8">
        <v>1</v>
      </c>
      <c r="IF8">
        <v>0</v>
      </c>
      <c r="IG8">
        <v>2</v>
      </c>
      <c r="IH8">
        <v>2</v>
      </c>
      <c r="II8">
        <v>1</v>
      </c>
      <c r="IJ8">
        <v>2</v>
      </c>
      <c r="IK8">
        <v>2</v>
      </c>
      <c r="IL8">
        <v>3</v>
      </c>
      <c r="IM8">
        <v>0</v>
      </c>
      <c r="IN8" s="6">
        <f t="shared" si="31"/>
        <v>21</v>
      </c>
      <c r="IO8">
        <v>2</v>
      </c>
      <c r="IP8" s="1">
        <v>45559.397222222222</v>
      </c>
      <c r="IQ8">
        <v>0</v>
      </c>
      <c r="IR8">
        <v>0</v>
      </c>
      <c r="IS8">
        <v>0</v>
      </c>
      <c r="IT8">
        <v>0</v>
      </c>
      <c r="IU8">
        <v>1</v>
      </c>
      <c r="IV8">
        <v>1</v>
      </c>
      <c r="IW8">
        <v>0</v>
      </c>
      <c r="IX8">
        <v>0</v>
      </c>
      <c r="IY8">
        <v>1</v>
      </c>
      <c r="IZ8">
        <v>1</v>
      </c>
      <c r="JA8">
        <v>1</v>
      </c>
      <c r="JB8">
        <v>1</v>
      </c>
      <c r="JC8">
        <v>1</v>
      </c>
      <c r="JD8">
        <v>1</v>
      </c>
      <c r="JE8">
        <v>0</v>
      </c>
      <c r="JF8">
        <v>0</v>
      </c>
      <c r="JG8">
        <v>0</v>
      </c>
      <c r="JH8">
        <v>0</v>
      </c>
      <c r="JI8">
        <v>1</v>
      </c>
      <c r="JJ8">
        <v>0</v>
      </c>
      <c r="JK8" t="s">
        <v>362</v>
      </c>
      <c r="JL8">
        <v>2</v>
      </c>
      <c r="JM8">
        <v>1</v>
      </c>
      <c r="JN8">
        <v>2</v>
      </c>
      <c r="JO8">
        <v>1</v>
      </c>
      <c r="JP8">
        <v>0</v>
      </c>
      <c r="JQ8">
        <v>1</v>
      </c>
      <c r="JR8" t="s">
        <v>208</v>
      </c>
      <c r="JS8" t="s">
        <v>210</v>
      </c>
      <c r="JT8" s="6">
        <f t="shared" si="32"/>
        <v>9</v>
      </c>
      <c r="JU8" s="6">
        <v>2</v>
      </c>
      <c r="JV8" s="6">
        <f t="shared" si="33"/>
        <v>5</v>
      </c>
      <c r="JW8" s="6">
        <f t="shared" si="34"/>
        <v>2</v>
      </c>
      <c r="JX8">
        <v>2</v>
      </c>
      <c r="JY8" s="1">
        <v>45559.397916666669</v>
      </c>
      <c r="JZ8">
        <v>0</v>
      </c>
      <c r="KA8">
        <v>0</v>
      </c>
      <c r="KB8">
        <v>0</v>
      </c>
      <c r="KC8" s="6">
        <f t="shared" si="35"/>
        <v>0</v>
      </c>
      <c r="KD8">
        <v>2</v>
      </c>
      <c r="KE8" s="1">
        <v>45559.397916666669</v>
      </c>
      <c r="KF8">
        <v>66.3</v>
      </c>
      <c r="KG8">
        <v>2.6</v>
      </c>
      <c r="KP8">
        <v>4</v>
      </c>
      <c r="KQ8">
        <v>62.3</v>
      </c>
      <c r="KR8">
        <v>4.2</v>
      </c>
      <c r="KS8">
        <v>1</v>
      </c>
      <c r="UX8">
        <v>3</v>
      </c>
      <c r="UY8">
        <v>64</v>
      </c>
      <c r="UZ8">
        <v>3</v>
      </c>
      <c r="VA8">
        <v>3</v>
      </c>
      <c r="WX8">
        <v>5</v>
      </c>
      <c r="WY8">
        <v>66.3</v>
      </c>
      <c r="WZ8">
        <v>2.6</v>
      </c>
      <c r="XA8">
        <v>4</v>
      </c>
      <c r="XN8" s="6">
        <v>5</v>
      </c>
      <c r="XO8" s="6">
        <v>67.3</v>
      </c>
      <c r="XP8" s="6">
        <v>3.4</v>
      </c>
      <c r="XQ8" s="6">
        <v>2</v>
      </c>
      <c r="YX8" s="6">
        <v>5</v>
      </c>
      <c r="YY8" s="6">
        <v>67.3</v>
      </c>
      <c r="YZ8" s="6">
        <v>3.4</v>
      </c>
      <c r="ZA8" s="6">
        <v>2</v>
      </c>
      <c r="ZB8">
        <v>2</v>
      </c>
      <c r="ZC8" s="1">
        <v>45081.661111111112</v>
      </c>
      <c r="ZD8">
        <v>3</v>
      </c>
      <c r="ZE8">
        <v>2</v>
      </c>
      <c r="ZF8">
        <v>3</v>
      </c>
      <c r="ZG8">
        <v>1</v>
      </c>
      <c r="ZH8">
        <v>2</v>
      </c>
      <c r="ZI8">
        <v>1</v>
      </c>
      <c r="ZJ8">
        <v>1</v>
      </c>
      <c r="ZK8">
        <v>2</v>
      </c>
      <c r="ZL8">
        <v>2</v>
      </c>
      <c r="ZM8">
        <v>2</v>
      </c>
      <c r="ZN8">
        <v>4</v>
      </c>
      <c r="ZO8">
        <v>2</v>
      </c>
      <c r="ZP8">
        <v>1</v>
      </c>
      <c r="ZQ8">
        <v>2</v>
      </c>
      <c r="ZR8">
        <v>1</v>
      </c>
      <c r="ZS8">
        <v>2</v>
      </c>
      <c r="ZT8">
        <v>3</v>
      </c>
      <c r="ZU8">
        <v>1</v>
      </c>
      <c r="ZV8">
        <v>2</v>
      </c>
      <c r="ZW8">
        <v>1</v>
      </c>
      <c r="ZX8" s="6">
        <f t="shared" si="36"/>
        <v>23</v>
      </c>
      <c r="ZY8" s="6">
        <f t="shared" si="37"/>
        <v>15</v>
      </c>
      <c r="ZZ8">
        <v>2</v>
      </c>
      <c r="AAA8" s="1">
        <v>45559.398611111108</v>
      </c>
      <c r="AAB8">
        <v>0</v>
      </c>
      <c r="AAC8">
        <v>2</v>
      </c>
      <c r="AAD8">
        <v>0</v>
      </c>
      <c r="AAE8">
        <v>0</v>
      </c>
      <c r="AAF8">
        <v>0</v>
      </c>
      <c r="AAG8">
        <v>1</v>
      </c>
      <c r="AAH8">
        <v>0</v>
      </c>
      <c r="AAI8">
        <v>0</v>
      </c>
      <c r="AAJ8">
        <v>0</v>
      </c>
      <c r="AAK8">
        <v>0</v>
      </c>
      <c r="AAL8">
        <v>0</v>
      </c>
      <c r="AAM8">
        <v>0</v>
      </c>
      <c r="AAN8">
        <v>0</v>
      </c>
      <c r="AAO8">
        <v>0</v>
      </c>
      <c r="AAP8">
        <v>0</v>
      </c>
      <c r="AAQ8">
        <v>1</v>
      </c>
      <c r="AAR8">
        <v>0</v>
      </c>
      <c r="AAS8">
        <v>0</v>
      </c>
      <c r="AAT8" s="6">
        <f t="shared" si="38"/>
        <v>1</v>
      </c>
      <c r="AAU8" s="6">
        <f t="shared" si="39"/>
        <v>2</v>
      </c>
      <c r="AAV8" s="6">
        <f t="shared" si="40"/>
        <v>1</v>
      </c>
      <c r="AAW8" s="6">
        <f t="shared" si="41"/>
        <v>4</v>
      </c>
      <c r="AAX8">
        <v>2</v>
      </c>
      <c r="AAY8" s="1">
        <v>45559.399305555555</v>
      </c>
      <c r="AAZ8">
        <v>0</v>
      </c>
      <c r="ABO8" s="6" t="e">
        <f t="shared" si="42"/>
        <v>#DIV/0!</v>
      </c>
      <c r="ABP8" s="6" t="e">
        <f t="shared" si="43"/>
        <v>#DIV/0!</v>
      </c>
      <c r="ABQ8">
        <v>2</v>
      </c>
      <c r="ABR8" s="1">
        <v>45559.4</v>
      </c>
      <c r="ABS8">
        <v>0</v>
      </c>
      <c r="ABT8">
        <v>0</v>
      </c>
      <c r="ABU8">
        <v>0</v>
      </c>
      <c r="ABV8">
        <v>1</v>
      </c>
      <c r="ABW8">
        <v>0</v>
      </c>
      <c r="ABX8">
        <v>0</v>
      </c>
      <c r="ABY8">
        <v>0</v>
      </c>
      <c r="ABZ8">
        <v>1</v>
      </c>
      <c r="ACA8">
        <v>0</v>
      </c>
      <c r="ACB8">
        <v>1</v>
      </c>
      <c r="ACC8">
        <v>0</v>
      </c>
      <c r="ACD8">
        <v>0</v>
      </c>
      <c r="ACE8">
        <v>2</v>
      </c>
      <c r="ACF8">
        <v>0</v>
      </c>
      <c r="ACG8">
        <v>0</v>
      </c>
      <c r="ACH8">
        <v>0</v>
      </c>
      <c r="ACI8">
        <v>0</v>
      </c>
      <c r="ACJ8">
        <v>0</v>
      </c>
      <c r="ACK8">
        <v>2</v>
      </c>
      <c r="ACL8">
        <v>0</v>
      </c>
      <c r="ACM8">
        <v>1</v>
      </c>
      <c r="ACN8">
        <v>1</v>
      </c>
      <c r="ACO8">
        <v>0</v>
      </c>
      <c r="ACP8">
        <v>0</v>
      </c>
      <c r="ACQ8">
        <v>0</v>
      </c>
      <c r="ACR8">
        <v>1</v>
      </c>
      <c r="ACS8">
        <v>0</v>
      </c>
      <c r="ACT8">
        <v>0</v>
      </c>
      <c r="ACU8">
        <v>0</v>
      </c>
      <c r="ACV8">
        <v>0</v>
      </c>
      <c r="ACW8" s="6">
        <f t="shared" si="44"/>
        <v>0</v>
      </c>
      <c r="ACX8" s="6">
        <f t="shared" si="45"/>
        <v>1</v>
      </c>
      <c r="ACY8" s="6">
        <f t="shared" si="46"/>
        <v>0</v>
      </c>
      <c r="ACZ8" s="6">
        <f t="shared" si="47"/>
        <v>5</v>
      </c>
      <c r="ADA8" s="6">
        <f t="shared" si="48"/>
        <v>1</v>
      </c>
      <c r="ADB8" s="6">
        <f t="shared" si="49"/>
        <v>3</v>
      </c>
      <c r="ADC8" s="6">
        <f t="shared" si="50"/>
        <v>4</v>
      </c>
      <c r="ADD8">
        <v>2</v>
      </c>
      <c r="ADE8" s="1">
        <v>45559.400694444441</v>
      </c>
      <c r="ADF8" s="5">
        <v>4</v>
      </c>
      <c r="ADG8">
        <f t="shared" si="51"/>
        <v>1</v>
      </c>
      <c r="ADH8" s="5">
        <v>2</v>
      </c>
      <c r="ADI8">
        <f t="shared" si="52"/>
        <v>3</v>
      </c>
      <c r="ADJ8">
        <v>1</v>
      </c>
      <c r="ADK8">
        <v>1</v>
      </c>
      <c r="ADL8" s="5">
        <v>2</v>
      </c>
      <c r="ADM8">
        <f t="shared" si="3"/>
        <v>3</v>
      </c>
      <c r="ADN8">
        <v>1</v>
      </c>
      <c r="ADO8">
        <v>1</v>
      </c>
      <c r="ADP8" s="5">
        <v>2</v>
      </c>
      <c r="ADQ8">
        <f t="shared" si="4"/>
        <v>3</v>
      </c>
      <c r="ADR8">
        <v>1</v>
      </c>
      <c r="ADS8" s="5">
        <v>3</v>
      </c>
      <c r="ADT8">
        <f t="shared" si="5"/>
        <v>2</v>
      </c>
      <c r="ADU8" s="5">
        <v>2</v>
      </c>
      <c r="ADV8">
        <f t="shared" ref="ADV8" si="64">INDEX($AD$48:$AE$51, MATCH(ADU8, $AD$48:$AD$51, 0), 2)</f>
        <v>3</v>
      </c>
      <c r="ADW8">
        <v>1</v>
      </c>
      <c r="ADX8">
        <v>1</v>
      </c>
      <c r="ADY8">
        <v>1</v>
      </c>
      <c r="ADZ8" s="5">
        <v>2</v>
      </c>
      <c r="AEA8">
        <f t="shared" si="6"/>
        <v>3</v>
      </c>
      <c r="AEB8" s="5">
        <v>2</v>
      </c>
      <c r="AEC8">
        <f t="shared" ref="AEC8" si="65">INDEX($AD$48:$AE$51, MATCH(AEB8, $AD$48:$AD$51, 0), 2)</f>
        <v>3</v>
      </c>
      <c r="AED8">
        <v>1</v>
      </c>
      <c r="AEE8">
        <v>1</v>
      </c>
      <c r="AEF8" s="5">
        <v>2</v>
      </c>
      <c r="AEG8">
        <f t="shared" si="7"/>
        <v>3</v>
      </c>
      <c r="AEH8" s="5">
        <v>2</v>
      </c>
      <c r="AEI8">
        <f t="shared" si="8"/>
        <v>3</v>
      </c>
      <c r="AEJ8" s="6">
        <f t="shared" si="55"/>
        <v>40</v>
      </c>
      <c r="AEK8">
        <v>2</v>
      </c>
      <c r="AEL8" s="1">
        <v>45559.400694444441</v>
      </c>
      <c r="AEM8">
        <v>0</v>
      </c>
      <c r="AER8">
        <v>0</v>
      </c>
      <c r="AES8">
        <v>0</v>
      </c>
      <c r="AET8">
        <v>0</v>
      </c>
      <c r="AEU8">
        <v>0</v>
      </c>
      <c r="AEV8">
        <v>0</v>
      </c>
      <c r="AEX8">
        <v>2</v>
      </c>
    </row>
    <row r="9" spans="1:830">
      <c r="A9">
        <v>158</v>
      </c>
      <c r="B9" t="s">
        <v>1194</v>
      </c>
      <c r="C9">
        <v>2</v>
      </c>
      <c r="D9">
        <v>2</v>
      </c>
      <c r="E9">
        <v>34</v>
      </c>
      <c r="F9">
        <v>67</v>
      </c>
      <c r="G9">
        <v>118</v>
      </c>
      <c r="H9">
        <v>0</v>
      </c>
      <c r="I9">
        <v>3</v>
      </c>
      <c r="K9" t="s">
        <v>392</v>
      </c>
      <c r="L9">
        <v>2</v>
      </c>
      <c r="M9" s="1">
        <v>45542.601388888892</v>
      </c>
      <c r="N9">
        <v>8</v>
      </c>
      <c r="O9">
        <v>0</v>
      </c>
      <c r="Q9">
        <v>0</v>
      </c>
      <c r="R9">
        <v>1</v>
      </c>
      <c r="S9">
        <v>0</v>
      </c>
      <c r="T9">
        <v>0</v>
      </c>
      <c r="U9">
        <v>0</v>
      </c>
      <c r="V9">
        <v>0</v>
      </c>
      <c r="W9">
        <v>0</v>
      </c>
      <c r="X9">
        <v>0</v>
      </c>
      <c r="Y9">
        <v>0</v>
      </c>
      <c r="Z9">
        <v>0</v>
      </c>
      <c r="AA9">
        <v>0</v>
      </c>
      <c r="AB9" t="s">
        <v>208</v>
      </c>
      <c r="AC9">
        <v>2</v>
      </c>
      <c r="AD9" s="1">
        <v>45542.602777777778</v>
      </c>
      <c r="AE9" s="5">
        <v>2</v>
      </c>
      <c r="AF9">
        <f t="shared" si="9"/>
        <v>3</v>
      </c>
      <c r="AG9">
        <v>3</v>
      </c>
      <c r="AH9" s="5">
        <v>2</v>
      </c>
      <c r="AI9">
        <f t="shared" si="10"/>
        <v>3</v>
      </c>
      <c r="AJ9">
        <v>3</v>
      </c>
      <c r="AK9">
        <v>1</v>
      </c>
      <c r="AL9" s="5">
        <v>1</v>
      </c>
      <c r="AM9">
        <f t="shared" si="11"/>
        <v>4</v>
      </c>
      <c r="AN9" s="5">
        <v>4</v>
      </c>
      <c r="AO9">
        <f t="shared" si="12"/>
        <v>1</v>
      </c>
      <c r="AP9">
        <v>3</v>
      </c>
      <c r="AQ9">
        <v>2</v>
      </c>
      <c r="AR9" s="5">
        <v>2</v>
      </c>
      <c r="AS9">
        <f t="shared" si="13"/>
        <v>3</v>
      </c>
      <c r="AT9">
        <v>2</v>
      </c>
      <c r="AU9">
        <v>3</v>
      </c>
      <c r="AV9" s="5">
        <v>3</v>
      </c>
      <c r="AW9">
        <f t="shared" si="14"/>
        <v>2</v>
      </c>
      <c r="AX9" s="5">
        <v>2</v>
      </c>
      <c r="AY9">
        <f t="shared" si="15"/>
        <v>3</v>
      </c>
      <c r="AZ9">
        <v>2</v>
      </c>
      <c r="BA9" s="5">
        <v>2</v>
      </c>
      <c r="BB9">
        <f t="shared" si="16"/>
        <v>3</v>
      </c>
      <c r="BC9">
        <v>2</v>
      </c>
      <c r="BD9">
        <v>2</v>
      </c>
      <c r="BE9" s="5">
        <v>3</v>
      </c>
      <c r="BF9">
        <f t="shared" si="17"/>
        <v>2</v>
      </c>
      <c r="BG9">
        <v>3</v>
      </c>
      <c r="BH9" s="6">
        <f t="shared" si="18"/>
        <v>50</v>
      </c>
      <c r="BI9">
        <v>2</v>
      </c>
      <c r="BJ9" s="1">
        <v>45542.604166666664</v>
      </c>
      <c r="BK9">
        <v>12</v>
      </c>
      <c r="BL9">
        <v>2</v>
      </c>
      <c r="BM9">
        <v>1</v>
      </c>
      <c r="BQ9" s="2">
        <v>45542</v>
      </c>
      <c r="BU9" t="s">
        <v>393</v>
      </c>
      <c r="BV9">
        <v>7</v>
      </c>
      <c r="BW9">
        <v>2</v>
      </c>
      <c r="BX9">
        <v>2</v>
      </c>
      <c r="BY9" s="1">
        <v>45542.605555555558</v>
      </c>
      <c r="BZ9">
        <v>3</v>
      </c>
      <c r="CA9">
        <v>3</v>
      </c>
      <c r="CB9">
        <v>2</v>
      </c>
      <c r="CC9">
        <v>4</v>
      </c>
      <c r="CD9">
        <v>3</v>
      </c>
      <c r="CE9">
        <v>2</v>
      </c>
      <c r="CF9">
        <v>3</v>
      </c>
      <c r="CG9">
        <v>3</v>
      </c>
      <c r="CH9">
        <v>1</v>
      </c>
      <c r="CI9">
        <v>4</v>
      </c>
      <c r="CJ9">
        <v>1</v>
      </c>
      <c r="CK9">
        <v>3</v>
      </c>
      <c r="CL9" s="5">
        <v>2</v>
      </c>
      <c r="CM9">
        <f t="shared" si="19"/>
        <v>3</v>
      </c>
      <c r="CN9">
        <v>3</v>
      </c>
      <c r="CO9">
        <v>4</v>
      </c>
      <c r="CP9">
        <v>3</v>
      </c>
      <c r="CQ9">
        <v>1</v>
      </c>
      <c r="CR9" s="5">
        <v>1</v>
      </c>
      <c r="CS9">
        <f t="shared" si="20"/>
        <v>4</v>
      </c>
      <c r="CT9">
        <v>3</v>
      </c>
      <c r="CU9">
        <v>3</v>
      </c>
      <c r="CV9" s="6">
        <f t="shared" si="21"/>
        <v>8</v>
      </c>
      <c r="CW9" s="6">
        <f t="shared" si="22"/>
        <v>8</v>
      </c>
      <c r="CX9" s="6">
        <f t="shared" si="23"/>
        <v>15</v>
      </c>
      <c r="CY9" s="6">
        <f t="shared" si="24"/>
        <v>31</v>
      </c>
      <c r="CZ9" s="6">
        <f t="shared" si="25"/>
        <v>25</v>
      </c>
      <c r="DA9">
        <v>2</v>
      </c>
      <c r="DB9" s="1">
        <v>45542.60833333333</v>
      </c>
      <c r="DC9">
        <v>1</v>
      </c>
      <c r="DD9">
        <v>0</v>
      </c>
      <c r="DE9">
        <v>0</v>
      </c>
      <c r="DF9">
        <v>0</v>
      </c>
      <c r="DG9">
        <v>0</v>
      </c>
      <c r="DH9">
        <v>1</v>
      </c>
      <c r="DI9">
        <v>0</v>
      </c>
      <c r="DJ9">
        <v>0</v>
      </c>
      <c r="DK9">
        <v>0</v>
      </c>
      <c r="DL9">
        <v>0</v>
      </c>
      <c r="DM9">
        <v>1</v>
      </c>
      <c r="DN9">
        <v>0</v>
      </c>
      <c r="DO9">
        <v>0</v>
      </c>
      <c r="DP9">
        <v>0</v>
      </c>
      <c r="DQ9">
        <v>0</v>
      </c>
      <c r="DR9">
        <v>0</v>
      </c>
      <c r="DS9">
        <v>1</v>
      </c>
      <c r="DT9">
        <v>0</v>
      </c>
      <c r="DU9">
        <v>0</v>
      </c>
      <c r="DV9">
        <v>0</v>
      </c>
      <c r="DW9">
        <v>0</v>
      </c>
      <c r="DX9">
        <v>0</v>
      </c>
      <c r="DY9">
        <v>0</v>
      </c>
      <c r="DZ9">
        <v>1</v>
      </c>
      <c r="EA9">
        <v>0</v>
      </c>
      <c r="EB9">
        <v>1</v>
      </c>
      <c r="EC9">
        <v>1</v>
      </c>
      <c r="ED9">
        <v>0</v>
      </c>
      <c r="EE9">
        <v>0</v>
      </c>
      <c r="EF9">
        <v>0</v>
      </c>
      <c r="EG9">
        <v>0</v>
      </c>
      <c r="EH9">
        <v>0</v>
      </c>
      <c r="EI9">
        <v>1</v>
      </c>
      <c r="EJ9">
        <v>0</v>
      </c>
      <c r="EK9">
        <v>0</v>
      </c>
      <c r="EL9">
        <v>1</v>
      </c>
      <c r="EM9">
        <v>0</v>
      </c>
      <c r="EN9">
        <v>0</v>
      </c>
      <c r="EO9">
        <v>0</v>
      </c>
      <c r="EP9">
        <v>0</v>
      </c>
      <c r="EQ9">
        <v>1</v>
      </c>
      <c r="ER9">
        <v>0</v>
      </c>
      <c r="ES9">
        <v>0</v>
      </c>
      <c r="ET9">
        <v>0</v>
      </c>
      <c r="EU9">
        <v>0</v>
      </c>
      <c r="EV9">
        <v>0</v>
      </c>
      <c r="EW9">
        <v>0</v>
      </c>
      <c r="EX9">
        <v>0</v>
      </c>
      <c r="EY9">
        <v>0</v>
      </c>
      <c r="EZ9">
        <v>1</v>
      </c>
      <c r="FA9">
        <v>0</v>
      </c>
      <c r="FB9">
        <v>0</v>
      </c>
      <c r="FC9">
        <v>0</v>
      </c>
      <c r="FD9">
        <v>1</v>
      </c>
      <c r="FE9">
        <v>0</v>
      </c>
      <c r="FF9">
        <v>0</v>
      </c>
      <c r="FG9">
        <v>1</v>
      </c>
      <c r="FH9">
        <v>0</v>
      </c>
      <c r="FI9">
        <v>0</v>
      </c>
      <c r="FJ9">
        <v>0</v>
      </c>
      <c r="FK9">
        <v>0</v>
      </c>
      <c r="FL9">
        <v>1</v>
      </c>
      <c r="FM9">
        <v>0</v>
      </c>
      <c r="FN9">
        <v>0</v>
      </c>
      <c r="FO9">
        <v>0</v>
      </c>
      <c r="FP9">
        <v>0</v>
      </c>
      <c r="FQ9">
        <v>0</v>
      </c>
      <c r="FR9">
        <v>1</v>
      </c>
      <c r="FS9">
        <v>0</v>
      </c>
      <c r="FT9">
        <v>0</v>
      </c>
      <c r="FU9">
        <v>1</v>
      </c>
      <c r="FV9">
        <v>1</v>
      </c>
      <c r="FW9">
        <v>0</v>
      </c>
      <c r="FX9">
        <v>0</v>
      </c>
      <c r="FY9">
        <v>0</v>
      </c>
      <c r="FZ9">
        <v>0</v>
      </c>
      <c r="GA9">
        <v>0</v>
      </c>
      <c r="GB9">
        <v>0</v>
      </c>
      <c r="GC9">
        <v>0</v>
      </c>
      <c r="GD9">
        <v>1</v>
      </c>
      <c r="GE9">
        <v>1</v>
      </c>
      <c r="GF9">
        <v>0</v>
      </c>
      <c r="GG9">
        <v>0</v>
      </c>
      <c r="GH9">
        <v>0</v>
      </c>
      <c r="GI9">
        <v>0</v>
      </c>
      <c r="GJ9" s="6">
        <f t="shared" si="26"/>
        <v>19</v>
      </c>
      <c r="GK9">
        <v>2</v>
      </c>
      <c r="GL9" s="1">
        <v>45542.61041666667</v>
      </c>
      <c r="GM9">
        <v>1</v>
      </c>
      <c r="GN9">
        <v>4</v>
      </c>
      <c r="GO9">
        <v>2</v>
      </c>
      <c r="GP9">
        <v>3</v>
      </c>
      <c r="GQ9" s="5">
        <v>2</v>
      </c>
      <c r="GR9">
        <f t="shared" si="27"/>
        <v>3</v>
      </c>
      <c r="GS9">
        <v>4</v>
      </c>
      <c r="GT9">
        <v>4</v>
      </c>
      <c r="GU9">
        <v>3</v>
      </c>
      <c r="GV9" s="5">
        <v>2</v>
      </c>
      <c r="GW9">
        <f t="shared" si="0"/>
        <v>3</v>
      </c>
      <c r="GX9">
        <v>4</v>
      </c>
      <c r="GY9">
        <v>4</v>
      </c>
      <c r="GZ9">
        <v>3</v>
      </c>
      <c r="HA9" s="5">
        <v>3</v>
      </c>
      <c r="HB9">
        <f t="shared" si="1"/>
        <v>2</v>
      </c>
      <c r="HC9">
        <v>3</v>
      </c>
      <c r="HD9">
        <v>3</v>
      </c>
      <c r="HE9">
        <v>3</v>
      </c>
      <c r="HF9" s="5">
        <v>2</v>
      </c>
      <c r="HG9">
        <f t="shared" si="2"/>
        <v>3</v>
      </c>
      <c r="HH9">
        <v>3</v>
      </c>
      <c r="HI9" s="6">
        <f t="shared" si="28"/>
        <v>22</v>
      </c>
      <c r="HJ9" s="6">
        <f t="shared" si="29"/>
        <v>17</v>
      </c>
      <c r="HK9" s="6">
        <f t="shared" si="30"/>
        <v>54</v>
      </c>
      <c r="HL9">
        <v>2</v>
      </c>
      <c r="HM9" s="1">
        <v>45542.611111111109</v>
      </c>
      <c r="HN9">
        <v>6</v>
      </c>
      <c r="HO9">
        <v>9</v>
      </c>
      <c r="HP9">
        <v>9</v>
      </c>
      <c r="HQ9">
        <v>2</v>
      </c>
      <c r="HR9" s="1">
        <v>45542.613888888889</v>
      </c>
      <c r="HS9">
        <v>1</v>
      </c>
      <c r="HT9">
        <v>0</v>
      </c>
      <c r="HU9">
        <v>0</v>
      </c>
      <c r="HV9">
        <v>0</v>
      </c>
      <c r="HW9">
        <v>0</v>
      </c>
      <c r="HX9">
        <v>0</v>
      </c>
      <c r="HY9">
        <v>0</v>
      </c>
      <c r="HZ9">
        <v>0</v>
      </c>
      <c r="IA9">
        <v>0</v>
      </c>
      <c r="IB9">
        <v>1</v>
      </c>
      <c r="IC9">
        <v>0</v>
      </c>
      <c r="ID9">
        <v>0</v>
      </c>
      <c r="IE9">
        <v>0</v>
      </c>
      <c r="IF9">
        <v>0</v>
      </c>
      <c r="IG9">
        <v>0</v>
      </c>
      <c r="IH9">
        <v>1</v>
      </c>
      <c r="II9">
        <v>0</v>
      </c>
      <c r="IJ9">
        <v>1</v>
      </c>
      <c r="IK9">
        <v>0</v>
      </c>
      <c r="IL9">
        <v>0</v>
      </c>
      <c r="IM9">
        <v>0</v>
      </c>
      <c r="IN9" s="6">
        <f t="shared" si="31"/>
        <v>4</v>
      </c>
      <c r="IO9">
        <v>2</v>
      </c>
      <c r="IP9" s="1">
        <v>45542.615972222222</v>
      </c>
      <c r="IQ9">
        <v>1</v>
      </c>
      <c r="IR9">
        <v>1</v>
      </c>
      <c r="IS9">
        <v>0</v>
      </c>
      <c r="IT9">
        <v>1</v>
      </c>
      <c r="IU9">
        <v>0</v>
      </c>
      <c r="IV9">
        <v>1</v>
      </c>
      <c r="IW9">
        <v>0</v>
      </c>
      <c r="IX9">
        <v>1</v>
      </c>
      <c r="IY9">
        <v>0</v>
      </c>
      <c r="IZ9">
        <v>1</v>
      </c>
      <c r="JA9">
        <v>0</v>
      </c>
      <c r="JB9">
        <v>1</v>
      </c>
      <c r="JC9">
        <v>0</v>
      </c>
      <c r="JD9">
        <v>0</v>
      </c>
      <c r="JE9">
        <v>1</v>
      </c>
      <c r="JF9">
        <v>1</v>
      </c>
      <c r="JG9">
        <v>1</v>
      </c>
      <c r="JH9">
        <v>1</v>
      </c>
      <c r="JI9">
        <v>1</v>
      </c>
      <c r="JJ9">
        <v>0</v>
      </c>
      <c r="JK9">
        <v>24</v>
      </c>
      <c r="JL9">
        <v>3</v>
      </c>
      <c r="JM9">
        <v>1</v>
      </c>
      <c r="JN9">
        <v>3</v>
      </c>
      <c r="JO9">
        <v>1</v>
      </c>
      <c r="JP9">
        <v>1</v>
      </c>
      <c r="JQ9">
        <v>1</v>
      </c>
      <c r="JR9" t="s">
        <v>395</v>
      </c>
      <c r="JS9" t="s">
        <v>396</v>
      </c>
      <c r="JT9" s="6">
        <f t="shared" si="32"/>
        <v>12</v>
      </c>
      <c r="JU9" s="6">
        <v>24</v>
      </c>
      <c r="JV9" s="6">
        <f t="shared" si="33"/>
        <v>7</v>
      </c>
      <c r="JW9" s="6">
        <f t="shared" si="34"/>
        <v>3</v>
      </c>
      <c r="JX9">
        <v>2</v>
      </c>
      <c r="JY9" s="1">
        <v>45542.616666666669</v>
      </c>
      <c r="JZ9">
        <v>0</v>
      </c>
      <c r="KA9">
        <v>0</v>
      </c>
      <c r="KB9">
        <v>0</v>
      </c>
      <c r="KC9" s="6">
        <f t="shared" si="35"/>
        <v>0</v>
      </c>
      <c r="KD9">
        <v>2</v>
      </c>
      <c r="KE9" s="1">
        <v>45542.617361111108</v>
      </c>
      <c r="KF9">
        <v>64.400000000000006</v>
      </c>
      <c r="KG9">
        <v>2.5</v>
      </c>
      <c r="KP9">
        <v>5</v>
      </c>
      <c r="KQ9">
        <v>70.5</v>
      </c>
      <c r="KR9">
        <v>5.0999999999999996</v>
      </c>
      <c r="KS9">
        <v>1</v>
      </c>
      <c r="UX9">
        <v>3</v>
      </c>
      <c r="UY9">
        <v>63.9</v>
      </c>
      <c r="UZ9">
        <v>3.9</v>
      </c>
      <c r="VA9">
        <v>2</v>
      </c>
      <c r="WX9">
        <v>4</v>
      </c>
      <c r="WY9">
        <v>64.400000000000006</v>
      </c>
      <c r="WZ9">
        <v>2.5</v>
      </c>
      <c r="XA9">
        <v>4</v>
      </c>
      <c r="XN9" s="6">
        <v>4</v>
      </c>
      <c r="XO9" s="6">
        <v>64.7</v>
      </c>
      <c r="XP9" s="6">
        <v>2.9</v>
      </c>
      <c r="XQ9" s="6">
        <v>3</v>
      </c>
      <c r="YX9" s="6">
        <v>4</v>
      </c>
      <c r="YY9" s="6">
        <v>64.7</v>
      </c>
      <c r="YZ9" s="6">
        <v>2.9</v>
      </c>
      <c r="ZA9" s="6">
        <v>3</v>
      </c>
      <c r="ZB9">
        <v>2</v>
      </c>
      <c r="ZC9" s="1">
        <v>45082.661111111112</v>
      </c>
      <c r="ZD9">
        <v>4</v>
      </c>
      <c r="ZE9">
        <v>3</v>
      </c>
      <c r="ZF9">
        <v>2</v>
      </c>
      <c r="ZG9">
        <v>2</v>
      </c>
      <c r="ZH9">
        <v>1</v>
      </c>
      <c r="ZI9">
        <v>1</v>
      </c>
      <c r="ZJ9">
        <v>2</v>
      </c>
      <c r="ZK9">
        <v>1</v>
      </c>
      <c r="ZL9">
        <v>3</v>
      </c>
      <c r="ZM9">
        <v>3</v>
      </c>
      <c r="ZN9">
        <v>1</v>
      </c>
      <c r="ZO9">
        <v>3</v>
      </c>
      <c r="ZP9">
        <v>1</v>
      </c>
      <c r="ZQ9">
        <v>3</v>
      </c>
      <c r="ZR9">
        <v>2</v>
      </c>
      <c r="ZS9">
        <v>4</v>
      </c>
      <c r="ZT9">
        <v>4</v>
      </c>
      <c r="ZU9">
        <v>2</v>
      </c>
      <c r="ZV9">
        <v>2</v>
      </c>
      <c r="ZW9">
        <v>2</v>
      </c>
      <c r="ZX9" s="6">
        <f t="shared" si="36"/>
        <v>29</v>
      </c>
      <c r="ZY9" s="6">
        <f t="shared" si="37"/>
        <v>17</v>
      </c>
      <c r="ZZ9">
        <v>2</v>
      </c>
      <c r="AAA9" s="1">
        <v>45542.618750000001</v>
      </c>
      <c r="AAB9">
        <v>1</v>
      </c>
      <c r="AAC9">
        <v>1</v>
      </c>
      <c r="AAD9">
        <v>1</v>
      </c>
      <c r="AAE9">
        <v>0</v>
      </c>
      <c r="AAF9">
        <v>1</v>
      </c>
      <c r="AAG9">
        <v>3</v>
      </c>
      <c r="AAH9">
        <v>3</v>
      </c>
      <c r="AAI9">
        <v>1</v>
      </c>
      <c r="AAJ9">
        <v>1</v>
      </c>
      <c r="AAK9">
        <v>1</v>
      </c>
      <c r="AAL9">
        <v>0</v>
      </c>
      <c r="AAM9">
        <v>0</v>
      </c>
      <c r="AAN9">
        <v>3</v>
      </c>
      <c r="AAO9">
        <v>1</v>
      </c>
      <c r="AAP9">
        <v>0</v>
      </c>
      <c r="AAQ9">
        <v>3</v>
      </c>
      <c r="AAR9">
        <v>0</v>
      </c>
      <c r="AAS9">
        <v>1</v>
      </c>
      <c r="AAT9" s="6">
        <f t="shared" si="38"/>
        <v>11</v>
      </c>
      <c r="AAU9" s="6">
        <f t="shared" si="39"/>
        <v>4</v>
      </c>
      <c r="AAV9" s="6">
        <f t="shared" si="40"/>
        <v>6</v>
      </c>
      <c r="AAW9" s="6">
        <f t="shared" si="41"/>
        <v>21</v>
      </c>
      <c r="AAX9">
        <v>2</v>
      </c>
      <c r="AAY9" s="1">
        <v>45542.620833333334</v>
      </c>
      <c r="AAZ9">
        <v>1</v>
      </c>
      <c r="ABA9">
        <v>8</v>
      </c>
      <c r="ABB9">
        <v>6</v>
      </c>
      <c r="ABC9">
        <v>8</v>
      </c>
      <c r="ABD9">
        <v>6</v>
      </c>
      <c r="ABE9">
        <v>20</v>
      </c>
      <c r="ABF9">
        <v>7</v>
      </c>
      <c r="ABG9">
        <v>7</v>
      </c>
      <c r="ABH9">
        <v>7</v>
      </c>
      <c r="ABI9">
        <v>7</v>
      </c>
      <c r="ABJ9">
        <v>4</v>
      </c>
      <c r="ABK9">
        <v>8</v>
      </c>
      <c r="ABL9">
        <v>8</v>
      </c>
      <c r="ABM9">
        <v>4</v>
      </c>
      <c r="ABN9">
        <v>6</v>
      </c>
      <c r="ABO9" s="6">
        <f t="shared" si="42"/>
        <v>7</v>
      </c>
      <c r="ABP9" s="6">
        <f t="shared" si="43"/>
        <v>6.8571428571428568</v>
      </c>
      <c r="ABQ9">
        <v>2</v>
      </c>
      <c r="ABR9" s="1">
        <v>45542.622916666667</v>
      </c>
      <c r="ABS9">
        <v>1</v>
      </c>
      <c r="ABT9">
        <v>0</v>
      </c>
      <c r="ABU9">
        <v>1</v>
      </c>
      <c r="ABV9">
        <v>1</v>
      </c>
      <c r="ABW9">
        <v>0</v>
      </c>
      <c r="ABX9">
        <v>0</v>
      </c>
      <c r="ABY9">
        <v>0</v>
      </c>
      <c r="ABZ9">
        <v>1</v>
      </c>
      <c r="ACA9">
        <v>0</v>
      </c>
      <c r="ACB9">
        <v>1</v>
      </c>
      <c r="ACC9">
        <v>0</v>
      </c>
      <c r="ACD9">
        <v>0</v>
      </c>
      <c r="ACE9">
        <v>2</v>
      </c>
      <c r="ACF9">
        <v>0</v>
      </c>
      <c r="ACG9">
        <v>0</v>
      </c>
      <c r="ACH9">
        <v>0</v>
      </c>
      <c r="ACI9">
        <v>0</v>
      </c>
      <c r="ACJ9">
        <v>0</v>
      </c>
      <c r="ACK9">
        <v>1</v>
      </c>
      <c r="ACL9">
        <v>0</v>
      </c>
      <c r="ACM9">
        <v>0</v>
      </c>
      <c r="ACN9">
        <v>1</v>
      </c>
      <c r="ACO9">
        <v>0</v>
      </c>
      <c r="ACP9">
        <v>0</v>
      </c>
      <c r="ACQ9">
        <v>0</v>
      </c>
      <c r="ACR9">
        <v>1</v>
      </c>
      <c r="ACS9">
        <v>0</v>
      </c>
      <c r="ACT9">
        <v>0</v>
      </c>
      <c r="ACU9">
        <v>0</v>
      </c>
      <c r="ACV9">
        <v>0</v>
      </c>
      <c r="ACW9" s="6">
        <f t="shared" si="44"/>
        <v>1</v>
      </c>
      <c r="ACX9" s="6">
        <f t="shared" si="45"/>
        <v>0</v>
      </c>
      <c r="ACY9" s="6">
        <f t="shared" si="46"/>
        <v>0</v>
      </c>
      <c r="ACZ9" s="6">
        <f t="shared" si="47"/>
        <v>5</v>
      </c>
      <c r="ADA9" s="6">
        <f t="shared" si="48"/>
        <v>1</v>
      </c>
      <c r="ADB9" s="6">
        <f t="shared" si="49"/>
        <v>3</v>
      </c>
      <c r="ADC9" s="6">
        <f t="shared" si="50"/>
        <v>4</v>
      </c>
      <c r="ADD9">
        <v>2</v>
      </c>
      <c r="ADE9" s="1">
        <v>45542.623611111114</v>
      </c>
      <c r="ADF9" s="5">
        <v>3</v>
      </c>
      <c r="ADG9">
        <f t="shared" si="51"/>
        <v>2</v>
      </c>
      <c r="ADH9" s="5">
        <v>3</v>
      </c>
      <c r="ADI9">
        <f t="shared" si="52"/>
        <v>2</v>
      </c>
      <c r="ADJ9">
        <v>2</v>
      </c>
      <c r="ADK9">
        <v>3</v>
      </c>
      <c r="ADL9" s="5">
        <v>2</v>
      </c>
      <c r="ADM9">
        <f t="shared" si="3"/>
        <v>3</v>
      </c>
      <c r="ADN9">
        <v>1</v>
      </c>
      <c r="ADO9">
        <v>1</v>
      </c>
      <c r="ADP9" s="5">
        <v>2</v>
      </c>
      <c r="ADQ9">
        <f t="shared" si="4"/>
        <v>3</v>
      </c>
      <c r="ADR9">
        <v>1</v>
      </c>
      <c r="ADS9" s="5">
        <v>2</v>
      </c>
      <c r="ADT9">
        <f t="shared" si="5"/>
        <v>3</v>
      </c>
      <c r="ADU9" s="5">
        <v>2</v>
      </c>
      <c r="ADV9">
        <f t="shared" ref="ADV9" si="66">INDEX($AD$48:$AE$51, MATCH(ADU9, $AD$48:$AD$51, 0), 2)</f>
        <v>3</v>
      </c>
      <c r="ADW9">
        <v>1</v>
      </c>
      <c r="ADX9">
        <v>2</v>
      </c>
      <c r="ADY9">
        <v>1</v>
      </c>
      <c r="ADZ9" s="5">
        <v>2</v>
      </c>
      <c r="AEA9">
        <f t="shared" si="6"/>
        <v>3</v>
      </c>
      <c r="AEB9" s="5">
        <v>2</v>
      </c>
      <c r="AEC9">
        <f t="shared" ref="AEC9" si="67">INDEX($AD$48:$AE$51, MATCH(AEB9, $AD$48:$AD$51, 0), 2)</f>
        <v>3</v>
      </c>
      <c r="AED9">
        <v>1</v>
      </c>
      <c r="AEE9">
        <v>1</v>
      </c>
      <c r="AEF9" s="5">
        <v>2</v>
      </c>
      <c r="AEG9">
        <f t="shared" si="7"/>
        <v>3</v>
      </c>
      <c r="AEH9" s="5">
        <v>3</v>
      </c>
      <c r="AEI9">
        <f t="shared" si="8"/>
        <v>2</v>
      </c>
      <c r="AEJ9" s="6">
        <f t="shared" si="55"/>
        <v>44</v>
      </c>
      <c r="AEK9">
        <v>2</v>
      </c>
      <c r="AEL9" s="1">
        <v>45542.625</v>
      </c>
      <c r="AEM9">
        <v>1</v>
      </c>
      <c r="AEN9" t="s">
        <v>397</v>
      </c>
      <c r="AEP9" t="s">
        <v>398</v>
      </c>
      <c r="AEQ9" t="s">
        <v>399</v>
      </c>
      <c r="AER9">
        <v>0</v>
      </c>
      <c r="AES9">
        <v>1</v>
      </c>
      <c r="AET9">
        <v>0</v>
      </c>
      <c r="AEU9">
        <v>0</v>
      </c>
      <c r="AEV9">
        <v>0</v>
      </c>
      <c r="AEX9">
        <v>2</v>
      </c>
    </row>
    <row r="10" spans="1:830">
      <c r="A10">
        <v>122</v>
      </c>
      <c r="B10" t="s">
        <v>1173</v>
      </c>
      <c r="C10">
        <v>2</v>
      </c>
      <c r="D10">
        <v>1</v>
      </c>
      <c r="E10">
        <v>54</v>
      </c>
      <c r="F10">
        <v>67</v>
      </c>
      <c r="G10">
        <v>200</v>
      </c>
      <c r="H10">
        <v>0</v>
      </c>
      <c r="I10">
        <v>3</v>
      </c>
      <c r="K10" t="s">
        <v>234</v>
      </c>
      <c r="L10">
        <v>2</v>
      </c>
      <c r="M10" s="1">
        <v>45479.8125</v>
      </c>
      <c r="N10">
        <v>9</v>
      </c>
      <c r="O10">
        <v>0</v>
      </c>
      <c r="Q10">
        <v>0</v>
      </c>
      <c r="R10">
        <v>1</v>
      </c>
      <c r="S10">
        <v>0</v>
      </c>
      <c r="T10">
        <v>0</v>
      </c>
      <c r="U10">
        <v>0</v>
      </c>
      <c r="V10">
        <v>0</v>
      </c>
      <c r="W10">
        <v>0</v>
      </c>
      <c r="X10">
        <v>0</v>
      </c>
      <c r="Y10">
        <v>0</v>
      </c>
      <c r="Z10">
        <v>0</v>
      </c>
      <c r="AA10">
        <v>0</v>
      </c>
      <c r="AB10" t="s">
        <v>208</v>
      </c>
      <c r="AC10">
        <v>2</v>
      </c>
      <c r="AD10" s="1">
        <v>45479.813194444447</v>
      </c>
      <c r="AE10" s="5">
        <v>3</v>
      </c>
      <c r="AF10">
        <f t="shared" si="9"/>
        <v>2</v>
      </c>
      <c r="AG10">
        <v>2</v>
      </c>
      <c r="AH10" s="5">
        <v>2</v>
      </c>
      <c r="AI10">
        <f t="shared" si="10"/>
        <v>3</v>
      </c>
      <c r="AJ10">
        <v>1</v>
      </c>
      <c r="AK10">
        <v>1</v>
      </c>
      <c r="AL10" s="5">
        <v>2</v>
      </c>
      <c r="AM10">
        <f t="shared" si="11"/>
        <v>3</v>
      </c>
      <c r="AN10" s="5">
        <v>2</v>
      </c>
      <c r="AO10">
        <f t="shared" si="12"/>
        <v>3</v>
      </c>
      <c r="AP10">
        <v>2</v>
      </c>
      <c r="AQ10">
        <v>2</v>
      </c>
      <c r="AR10" s="5">
        <v>2</v>
      </c>
      <c r="AS10">
        <f t="shared" si="13"/>
        <v>3</v>
      </c>
      <c r="AT10">
        <v>1</v>
      </c>
      <c r="AU10">
        <v>2</v>
      </c>
      <c r="AV10" s="5">
        <v>2</v>
      </c>
      <c r="AW10">
        <f t="shared" si="14"/>
        <v>3</v>
      </c>
      <c r="AX10" s="5">
        <v>3</v>
      </c>
      <c r="AY10">
        <f t="shared" si="15"/>
        <v>2</v>
      </c>
      <c r="AZ10">
        <v>1</v>
      </c>
      <c r="BA10" s="5">
        <v>2</v>
      </c>
      <c r="BB10">
        <f t="shared" si="16"/>
        <v>3</v>
      </c>
      <c r="BC10">
        <v>2</v>
      </c>
      <c r="BD10">
        <v>2</v>
      </c>
      <c r="BE10" s="5">
        <v>3</v>
      </c>
      <c r="BF10">
        <f t="shared" si="17"/>
        <v>2</v>
      </c>
      <c r="BG10">
        <v>2</v>
      </c>
      <c r="BH10" s="6">
        <f t="shared" si="18"/>
        <v>42</v>
      </c>
      <c r="BI10">
        <v>2</v>
      </c>
      <c r="BJ10" s="1">
        <v>45479.814583333333</v>
      </c>
      <c r="BK10">
        <v>11</v>
      </c>
      <c r="BL10">
        <v>2</v>
      </c>
      <c r="BM10">
        <v>4</v>
      </c>
      <c r="BQ10" s="2">
        <v>43159</v>
      </c>
      <c r="BR10">
        <v>5</v>
      </c>
      <c r="BS10">
        <v>1</v>
      </c>
      <c r="BT10">
        <v>2</v>
      </c>
      <c r="BU10">
        <v>42</v>
      </c>
      <c r="BV10">
        <v>5</v>
      </c>
      <c r="BW10">
        <v>2</v>
      </c>
      <c r="BX10">
        <v>2</v>
      </c>
      <c r="BY10" s="1">
        <v>45479.815972222219</v>
      </c>
      <c r="BZ10">
        <v>3</v>
      </c>
      <c r="CA10">
        <v>3</v>
      </c>
      <c r="CB10">
        <v>3</v>
      </c>
      <c r="CC10">
        <v>4</v>
      </c>
      <c r="CD10">
        <v>3</v>
      </c>
      <c r="CE10">
        <v>3</v>
      </c>
      <c r="CF10">
        <v>3</v>
      </c>
      <c r="CG10">
        <v>4</v>
      </c>
      <c r="CH10">
        <v>2</v>
      </c>
      <c r="CI10">
        <v>4</v>
      </c>
      <c r="CJ10">
        <v>2</v>
      </c>
      <c r="CK10">
        <v>3</v>
      </c>
      <c r="CL10" s="5">
        <v>2</v>
      </c>
      <c r="CM10">
        <f t="shared" si="19"/>
        <v>3</v>
      </c>
      <c r="CN10">
        <v>3</v>
      </c>
      <c r="CO10">
        <v>4</v>
      </c>
      <c r="CP10">
        <v>2</v>
      </c>
      <c r="CQ10">
        <v>2</v>
      </c>
      <c r="CR10" s="5">
        <v>1</v>
      </c>
      <c r="CS10">
        <f t="shared" si="20"/>
        <v>4</v>
      </c>
      <c r="CT10">
        <v>4</v>
      </c>
      <c r="CU10">
        <v>3</v>
      </c>
      <c r="CV10" s="6">
        <f t="shared" si="21"/>
        <v>11</v>
      </c>
      <c r="CW10" s="6">
        <f t="shared" si="22"/>
        <v>9</v>
      </c>
      <c r="CX10" s="6">
        <f t="shared" si="23"/>
        <v>17</v>
      </c>
      <c r="CY10" s="6">
        <f t="shared" si="24"/>
        <v>37</v>
      </c>
      <c r="CZ10" s="6">
        <f t="shared" si="25"/>
        <v>25</v>
      </c>
      <c r="DA10">
        <v>2</v>
      </c>
      <c r="DB10" s="1">
        <v>45479.819444444445</v>
      </c>
      <c r="DC10">
        <v>1</v>
      </c>
      <c r="DD10">
        <v>0</v>
      </c>
      <c r="DE10">
        <v>0</v>
      </c>
      <c r="DF10">
        <v>0</v>
      </c>
      <c r="DG10">
        <v>0</v>
      </c>
      <c r="DH10">
        <v>0</v>
      </c>
      <c r="DI10">
        <v>0</v>
      </c>
      <c r="DJ10">
        <v>1</v>
      </c>
      <c r="DK10">
        <v>0</v>
      </c>
      <c r="DL10">
        <v>0</v>
      </c>
      <c r="DM10">
        <v>1</v>
      </c>
      <c r="DN10">
        <v>0</v>
      </c>
      <c r="DO10">
        <v>0</v>
      </c>
      <c r="DP10">
        <v>0</v>
      </c>
      <c r="DQ10">
        <v>0</v>
      </c>
      <c r="DR10">
        <v>1</v>
      </c>
      <c r="DS10">
        <v>0</v>
      </c>
      <c r="DT10">
        <v>0</v>
      </c>
      <c r="DU10">
        <v>0</v>
      </c>
      <c r="DV10">
        <v>0</v>
      </c>
      <c r="DW10">
        <v>0</v>
      </c>
      <c r="DX10">
        <v>0</v>
      </c>
      <c r="DY10">
        <v>1</v>
      </c>
      <c r="DZ10">
        <v>0</v>
      </c>
      <c r="EA10">
        <v>0</v>
      </c>
      <c r="EB10">
        <v>0</v>
      </c>
      <c r="EC10">
        <v>0</v>
      </c>
      <c r="ED10">
        <v>1</v>
      </c>
      <c r="EE10">
        <v>0</v>
      </c>
      <c r="EF10">
        <v>0</v>
      </c>
      <c r="EG10">
        <v>0</v>
      </c>
      <c r="EH10">
        <v>0</v>
      </c>
      <c r="EI10">
        <v>1</v>
      </c>
      <c r="EJ10">
        <v>0</v>
      </c>
      <c r="EK10">
        <v>0</v>
      </c>
      <c r="EL10">
        <v>1</v>
      </c>
      <c r="EM10">
        <v>0</v>
      </c>
      <c r="EN10">
        <v>1</v>
      </c>
      <c r="EO10">
        <v>0</v>
      </c>
      <c r="EP10">
        <v>0</v>
      </c>
      <c r="EQ10">
        <v>1</v>
      </c>
      <c r="ER10">
        <v>0</v>
      </c>
      <c r="ES10">
        <v>1</v>
      </c>
      <c r="ET10">
        <v>0</v>
      </c>
      <c r="EU10">
        <v>0</v>
      </c>
      <c r="EV10">
        <v>0</v>
      </c>
      <c r="EW10">
        <v>0</v>
      </c>
      <c r="EX10">
        <v>1</v>
      </c>
      <c r="EY10">
        <v>0</v>
      </c>
      <c r="EZ10">
        <v>0</v>
      </c>
      <c r="FA10">
        <v>0</v>
      </c>
      <c r="FB10">
        <v>0</v>
      </c>
      <c r="FC10">
        <v>0</v>
      </c>
      <c r="FD10">
        <v>1</v>
      </c>
      <c r="FE10">
        <v>0</v>
      </c>
      <c r="FF10">
        <v>0</v>
      </c>
      <c r="FG10">
        <v>1</v>
      </c>
      <c r="FH10">
        <v>1</v>
      </c>
      <c r="FI10">
        <v>0</v>
      </c>
      <c r="FJ10">
        <v>0</v>
      </c>
      <c r="FK10">
        <v>0</v>
      </c>
      <c r="FL10">
        <v>0</v>
      </c>
      <c r="FM10">
        <v>0</v>
      </c>
      <c r="FN10">
        <v>1</v>
      </c>
      <c r="FO10">
        <v>0</v>
      </c>
      <c r="FP10">
        <v>0</v>
      </c>
      <c r="FQ10">
        <v>1</v>
      </c>
      <c r="FR10">
        <v>0</v>
      </c>
      <c r="FS10">
        <v>0</v>
      </c>
      <c r="FT10">
        <v>0</v>
      </c>
      <c r="FU10">
        <v>1</v>
      </c>
      <c r="FV10">
        <v>0</v>
      </c>
      <c r="FW10">
        <v>1</v>
      </c>
      <c r="FX10">
        <v>0</v>
      </c>
      <c r="FY10">
        <v>0</v>
      </c>
      <c r="FZ10">
        <v>0</v>
      </c>
      <c r="GA10">
        <v>0</v>
      </c>
      <c r="GB10">
        <v>0</v>
      </c>
      <c r="GC10">
        <v>1</v>
      </c>
      <c r="GD10">
        <v>0</v>
      </c>
      <c r="GE10">
        <v>1</v>
      </c>
      <c r="GF10">
        <v>1</v>
      </c>
      <c r="GG10">
        <v>1</v>
      </c>
      <c r="GH10">
        <v>0</v>
      </c>
      <c r="GI10">
        <v>0</v>
      </c>
      <c r="GJ10" s="6">
        <f t="shared" si="26"/>
        <v>23</v>
      </c>
      <c r="GK10">
        <v>2</v>
      </c>
      <c r="GL10" s="1">
        <v>45479.820833333331</v>
      </c>
      <c r="GM10">
        <v>1</v>
      </c>
      <c r="GN10">
        <v>2</v>
      </c>
      <c r="GO10">
        <v>3</v>
      </c>
      <c r="GP10">
        <v>3</v>
      </c>
      <c r="GQ10" s="5">
        <v>3</v>
      </c>
      <c r="GR10">
        <f t="shared" si="27"/>
        <v>2</v>
      </c>
      <c r="GS10">
        <v>3</v>
      </c>
      <c r="GT10">
        <v>3</v>
      </c>
      <c r="GU10">
        <v>2</v>
      </c>
      <c r="GV10" s="5">
        <v>3</v>
      </c>
      <c r="GW10">
        <f t="shared" si="0"/>
        <v>2</v>
      </c>
      <c r="GX10">
        <v>3</v>
      </c>
      <c r="GY10">
        <v>2</v>
      </c>
      <c r="GZ10">
        <v>3</v>
      </c>
      <c r="HA10" s="5">
        <v>3</v>
      </c>
      <c r="HB10">
        <f t="shared" si="1"/>
        <v>2</v>
      </c>
      <c r="HC10">
        <v>3</v>
      </c>
      <c r="HD10">
        <v>2</v>
      </c>
      <c r="HE10">
        <v>3</v>
      </c>
      <c r="HF10" s="5">
        <v>3</v>
      </c>
      <c r="HG10">
        <f t="shared" si="2"/>
        <v>2</v>
      </c>
      <c r="HH10">
        <v>2</v>
      </c>
      <c r="HI10" s="6">
        <f t="shared" si="28"/>
        <v>17</v>
      </c>
      <c r="HJ10" s="6">
        <f t="shared" si="29"/>
        <v>13</v>
      </c>
      <c r="HK10" s="6">
        <f t="shared" si="30"/>
        <v>42</v>
      </c>
      <c r="HL10">
        <v>2</v>
      </c>
      <c r="HM10" s="1">
        <v>45479.820833333331</v>
      </c>
      <c r="HN10">
        <v>6</v>
      </c>
      <c r="HO10">
        <v>14</v>
      </c>
      <c r="HP10">
        <v>6</v>
      </c>
      <c r="HQ10">
        <v>2</v>
      </c>
      <c r="HR10" s="1">
        <v>45481.713888888888</v>
      </c>
      <c r="HS10">
        <v>0</v>
      </c>
      <c r="HT10">
        <v>0</v>
      </c>
      <c r="HU10">
        <v>1</v>
      </c>
      <c r="HV10">
        <v>1</v>
      </c>
      <c r="HW10">
        <v>0</v>
      </c>
      <c r="HX10">
        <v>0</v>
      </c>
      <c r="HY10">
        <v>1</v>
      </c>
      <c r="HZ10">
        <v>1</v>
      </c>
      <c r="IA10">
        <v>0</v>
      </c>
      <c r="IB10">
        <v>0</v>
      </c>
      <c r="IC10">
        <v>0</v>
      </c>
      <c r="ID10">
        <v>0</v>
      </c>
      <c r="IE10">
        <v>0</v>
      </c>
      <c r="IF10">
        <v>0</v>
      </c>
      <c r="IG10">
        <v>1</v>
      </c>
      <c r="IH10">
        <v>1</v>
      </c>
      <c r="II10">
        <v>0</v>
      </c>
      <c r="IJ10">
        <v>1</v>
      </c>
      <c r="IK10">
        <v>1</v>
      </c>
      <c r="IL10">
        <v>1</v>
      </c>
      <c r="IM10">
        <v>1</v>
      </c>
      <c r="IN10" s="6">
        <f t="shared" si="31"/>
        <v>10</v>
      </c>
      <c r="IO10">
        <v>2</v>
      </c>
      <c r="IP10" s="1">
        <v>45481.720138888886</v>
      </c>
      <c r="IQ10">
        <v>1</v>
      </c>
      <c r="IR10">
        <v>1</v>
      </c>
      <c r="IS10">
        <v>0</v>
      </c>
      <c r="IT10">
        <v>1</v>
      </c>
      <c r="IU10">
        <v>0</v>
      </c>
      <c r="IV10">
        <v>0</v>
      </c>
      <c r="IW10">
        <v>1</v>
      </c>
      <c r="IX10">
        <v>1</v>
      </c>
      <c r="IY10">
        <v>0</v>
      </c>
      <c r="IZ10">
        <v>1</v>
      </c>
      <c r="JA10">
        <v>0</v>
      </c>
      <c r="JB10">
        <v>0</v>
      </c>
      <c r="JC10">
        <v>0</v>
      </c>
      <c r="JD10">
        <v>1</v>
      </c>
      <c r="JE10">
        <v>1</v>
      </c>
      <c r="JF10">
        <v>0</v>
      </c>
      <c r="JG10">
        <v>1</v>
      </c>
      <c r="JH10">
        <v>1</v>
      </c>
      <c r="JI10">
        <v>1</v>
      </c>
      <c r="JJ10">
        <v>0</v>
      </c>
      <c r="JK10">
        <v>5</v>
      </c>
      <c r="JL10">
        <v>1</v>
      </c>
      <c r="JM10">
        <v>1</v>
      </c>
      <c r="JN10">
        <v>2</v>
      </c>
      <c r="JO10">
        <v>0</v>
      </c>
      <c r="JP10">
        <v>1</v>
      </c>
      <c r="JQ10">
        <v>1</v>
      </c>
      <c r="JR10" t="s">
        <v>235</v>
      </c>
      <c r="JS10" t="s">
        <v>236</v>
      </c>
      <c r="JT10" s="6">
        <f t="shared" si="32"/>
        <v>11</v>
      </c>
      <c r="JU10" s="6">
        <v>5</v>
      </c>
      <c r="JV10" s="6">
        <f t="shared" si="33"/>
        <v>4</v>
      </c>
      <c r="JW10" s="6">
        <f t="shared" si="34"/>
        <v>2</v>
      </c>
      <c r="JX10">
        <v>2</v>
      </c>
      <c r="JY10" s="1">
        <v>45481.720833333333</v>
      </c>
      <c r="JZ10">
        <v>0</v>
      </c>
      <c r="KA10">
        <v>0</v>
      </c>
      <c r="KB10">
        <v>0</v>
      </c>
      <c r="KC10" s="6">
        <f t="shared" si="35"/>
        <v>0</v>
      </c>
      <c r="KD10">
        <v>2</v>
      </c>
      <c r="KE10" s="1">
        <v>45481.720833333333</v>
      </c>
      <c r="KF10">
        <v>53.5</v>
      </c>
      <c r="KG10">
        <v>2.2000000000000002</v>
      </c>
      <c r="KP10">
        <v>3</v>
      </c>
      <c r="KQ10">
        <v>54.8</v>
      </c>
      <c r="KR10">
        <v>4.2</v>
      </c>
      <c r="KS10">
        <v>1</v>
      </c>
      <c r="UH10">
        <v>3</v>
      </c>
      <c r="UI10">
        <v>54.5</v>
      </c>
      <c r="UJ10">
        <v>2.5</v>
      </c>
      <c r="UK10">
        <v>3</v>
      </c>
      <c r="UX10">
        <v>2</v>
      </c>
      <c r="UY10">
        <v>53.5</v>
      </c>
      <c r="UZ10">
        <v>2.2000000000000002</v>
      </c>
      <c r="VA10">
        <v>4</v>
      </c>
      <c r="XN10" s="6">
        <v>2</v>
      </c>
      <c r="XO10" s="6">
        <v>53.1</v>
      </c>
      <c r="XP10" s="6">
        <v>3.1</v>
      </c>
      <c r="XQ10" s="6">
        <v>2</v>
      </c>
      <c r="YX10" s="6">
        <v>2</v>
      </c>
      <c r="YY10" s="6">
        <v>53.1</v>
      </c>
      <c r="YZ10" s="6">
        <v>3.1</v>
      </c>
      <c r="ZA10" s="6">
        <v>2</v>
      </c>
      <c r="ZB10">
        <v>2</v>
      </c>
      <c r="ZC10" s="1">
        <v>45083.661111111112</v>
      </c>
      <c r="ZD10">
        <v>3</v>
      </c>
      <c r="ZE10">
        <v>2</v>
      </c>
      <c r="ZF10">
        <v>2</v>
      </c>
      <c r="ZG10">
        <v>2</v>
      </c>
      <c r="ZH10">
        <v>1</v>
      </c>
      <c r="ZI10">
        <v>1</v>
      </c>
      <c r="ZJ10">
        <v>1</v>
      </c>
      <c r="ZK10">
        <v>2</v>
      </c>
      <c r="ZL10">
        <v>2</v>
      </c>
      <c r="ZM10">
        <v>2</v>
      </c>
      <c r="ZN10">
        <v>2</v>
      </c>
      <c r="ZO10">
        <v>3</v>
      </c>
      <c r="ZP10">
        <v>1</v>
      </c>
      <c r="ZQ10">
        <v>2</v>
      </c>
      <c r="ZR10">
        <v>3</v>
      </c>
      <c r="ZS10">
        <v>2</v>
      </c>
      <c r="ZT10">
        <v>3</v>
      </c>
      <c r="ZU10">
        <v>1</v>
      </c>
      <c r="ZV10">
        <v>2</v>
      </c>
      <c r="ZW10">
        <v>1</v>
      </c>
      <c r="ZX10" s="6">
        <f t="shared" si="36"/>
        <v>22</v>
      </c>
      <c r="ZY10" s="6">
        <f t="shared" si="37"/>
        <v>16</v>
      </c>
      <c r="ZZ10">
        <v>2</v>
      </c>
      <c r="AAA10" s="1">
        <v>45481.722222222219</v>
      </c>
      <c r="AAB10">
        <v>2</v>
      </c>
      <c r="AAC10">
        <v>1</v>
      </c>
      <c r="AAD10">
        <v>1</v>
      </c>
      <c r="AAE10">
        <v>1</v>
      </c>
      <c r="AAF10">
        <v>0</v>
      </c>
      <c r="AAG10">
        <v>1</v>
      </c>
      <c r="AAH10">
        <v>2</v>
      </c>
      <c r="AAI10">
        <v>1</v>
      </c>
      <c r="AAJ10">
        <v>0</v>
      </c>
      <c r="AAK10">
        <v>1</v>
      </c>
      <c r="AAL10">
        <v>0</v>
      </c>
      <c r="AAM10">
        <v>0</v>
      </c>
      <c r="AAN10">
        <v>2</v>
      </c>
      <c r="AAO10">
        <v>0</v>
      </c>
      <c r="AAP10">
        <v>1</v>
      </c>
      <c r="AAQ10">
        <v>2</v>
      </c>
      <c r="AAR10">
        <v>0</v>
      </c>
      <c r="AAS10">
        <v>1</v>
      </c>
      <c r="AAT10" s="6">
        <f t="shared" si="38"/>
        <v>10</v>
      </c>
      <c r="AAU10" s="6">
        <f t="shared" si="39"/>
        <v>2</v>
      </c>
      <c r="AAV10" s="6">
        <f t="shared" si="40"/>
        <v>4</v>
      </c>
      <c r="AAW10" s="6">
        <f t="shared" si="41"/>
        <v>16</v>
      </c>
      <c r="AAX10">
        <v>2</v>
      </c>
      <c r="AAY10" s="1">
        <v>45481.723611111112</v>
      </c>
      <c r="AAZ10">
        <v>1</v>
      </c>
      <c r="ABA10">
        <v>7</v>
      </c>
      <c r="ABB10">
        <v>2</v>
      </c>
      <c r="ABC10">
        <v>4</v>
      </c>
      <c r="ABD10">
        <v>3</v>
      </c>
      <c r="ABE10">
        <v>18</v>
      </c>
      <c r="ABF10">
        <v>4</v>
      </c>
      <c r="ABG10">
        <v>3</v>
      </c>
      <c r="ABH10">
        <v>2</v>
      </c>
      <c r="ABI10">
        <v>3</v>
      </c>
      <c r="ABJ10">
        <v>1</v>
      </c>
      <c r="ABK10">
        <v>3</v>
      </c>
      <c r="ABL10">
        <v>2</v>
      </c>
      <c r="ABM10">
        <v>3</v>
      </c>
      <c r="ABN10">
        <v>1</v>
      </c>
      <c r="ABO10" s="6">
        <f t="shared" si="42"/>
        <v>4</v>
      </c>
      <c r="ABP10" s="6">
        <f t="shared" si="43"/>
        <v>2.5714285714285716</v>
      </c>
      <c r="ABQ10">
        <v>2</v>
      </c>
      <c r="ABR10" s="1">
        <v>45481.724999999999</v>
      </c>
      <c r="ABS10">
        <v>1</v>
      </c>
      <c r="ABT10">
        <v>0</v>
      </c>
      <c r="ABU10">
        <v>1</v>
      </c>
      <c r="ABV10">
        <v>1</v>
      </c>
      <c r="ABW10">
        <v>0</v>
      </c>
      <c r="ABX10">
        <v>0</v>
      </c>
      <c r="ABY10">
        <v>0</v>
      </c>
      <c r="ABZ10">
        <v>1</v>
      </c>
      <c r="ACA10">
        <v>0</v>
      </c>
      <c r="ACB10">
        <v>1</v>
      </c>
      <c r="ACC10">
        <v>0</v>
      </c>
      <c r="ACD10">
        <v>0</v>
      </c>
      <c r="ACE10">
        <v>1</v>
      </c>
      <c r="ACF10">
        <v>0</v>
      </c>
      <c r="ACG10">
        <v>0</v>
      </c>
      <c r="ACH10">
        <v>1</v>
      </c>
      <c r="ACI10">
        <v>0</v>
      </c>
      <c r="ACJ10">
        <v>0</v>
      </c>
      <c r="ACK10">
        <v>1</v>
      </c>
      <c r="ACL10">
        <v>1</v>
      </c>
      <c r="ACM10">
        <v>0</v>
      </c>
      <c r="ACN10">
        <v>1</v>
      </c>
      <c r="ACO10">
        <v>1</v>
      </c>
      <c r="ACP10">
        <v>0</v>
      </c>
      <c r="ACQ10">
        <v>0</v>
      </c>
      <c r="ACR10">
        <v>1</v>
      </c>
      <c r="ACS10">
        <v>1</v>
      </c>
      <c r="ACT10">
        <v>0</v>
      </c>
      <c r="ACU10">
        <v>0</v>
      </c>
      <c r="ACV10">
        <v>0</v>
      </c>
      <c r="ACW10" s="6">
        <f t="shared" si="44"/>
        <v>3</v>
      </c>
      <c r="ACX10" s="6">
        <f t="shared" si="45"/>
        <v>0</v>
      </c>
      <c r="ACY10" s="6">
        <f t="shared" si="46"/>
        <v>0</v>
      </c>
      <c r="ACZ10" s="6">
        <f t="shared" si="47"/>
        <v>5</v>
      </c>
      <c r="ADA10" s="6">
        <f t="shared" si="48"/>
        <v>1</v>
      </c>
      <c r="ADB10" s="6">
        <f t="shared" si="49"/>
        <v>4</v>
      </c>
      <c r="ADC10" s="6">
        <f t="shared" si="50"/>
        <v>5</v>
      </c>
      <c r="ADD10">
        <v>2</v>
      </c>
      <c r="ADE10" s="1">
        <v>45481.725694444445</v>
      </c>
      <c r="ADF10" s="5">
        <v>2</v>
      </c>
      <c r="ADG10">
        <f t="shared" si="51"/>
        <v>3</v>
      </c>
      <c r="ADH10" s="5">
        <v>2</v>
      </c>
      <c r="ADI10">
        <f t="shared" si="52"/>
        <v>3</v>
      </c>
      <c r="ADJ10">
        <v>2</v>
      </c>
      <c r="ADK10">
        <v>1</v>
      </c>
      <c r="ADL10" s="5">
        <v>3</v>
      </c>
      <c r="ADM10">
        <f t="shared" si="3"/>
        <v>2</v>
      </c>
      <c r="ADN10">
        <v>1</v>
      </c>
      <c r="ADO10">
        <v>1</v>
      </c>
      <c r="ADP10" s="5">
        <v>2</v>
      </c>
      <c r="ADQ10">
        <f t="shared" si="4"/>
        <v>3</v>
      </c>
      <c r="ADR10">
        <v>1</v>
      </c>
      <c r="ADS10" s="5">
        <v>3</v>
      </c>
      <c r="ADT10">
        <f t="shared" si="5"/>
        <v>2</v>
      </c>
      <c r="ADU10" s="5">
        <v>2</v>
      </c>
      <c r="ADV10">
        <f t="shared" ref="ADV10" si="68">INDEX($AD$48:$AE$51, MATCH(ADU10, $AD$48:$AD$51, 0), 2)</f>
        <v>3</v>
      </c>
      <c r="ADW10">
        <v>2</v>
      </c>
      <c r="ADX10">
        <v>1</v>
      </c>
      <c r="ADY10">
        <v>1</v>
      </c>
      <c r="ADZ10" s="5">
        <v>2</v>
      </c>
      <c r="AEA10">
        <f t="shared" si="6"/>
        <v>3</v>
      </c>
      <c r="AEB10" s="5">
        <v>2</v>
      </c>
      <c r="AEC10">
        <f t="shared" ref="AEC10" si="69">INDEX($AD$48:$AE$51, MATCH(AEB10, $AD$48:$AD$51, 0), 2)</f>
        <v>3</v>
      </c>
      <c r="AED10">
        <v>1</v>
      </c>
      <c r="AEE10">
        <v>1</v>
      </c>
      <c r="AEF10" s="5">
        <v>2</v>
      </c>
      <c r="AEG10">
        <f t="shared" si="7"/>
        <v>3</v>
      </c>
      <c r="AEH10" s="5">
        <v>2</v>
      </c>
      <c r="AEI10">
        <f t="shared" si="8"/>
        <v>3</v>
      </c>
      <c r="AEJ10" s="6">
        <f t="shared" si="55"/>
        <v>43</v>
      </c>
      <c r="AEK10">
        <v>2</v>
      </c>
      <c r="AEL10" s="1">
        <v>45481.725694444445</v>
      </c>
      <c r="AEM10">
        <v>0</v>
      </c>
      <c r="AER10">
        <v>0</v>
      </c>
      <c r="AES10">
        <v>0</v>
      </c>
      <c r="AET10">
        <v>0</v>
      </c>
      <c r="AEU10">
        <v>0</v>
      </c>
      <c r="AEV10">
        <v>0</v>
      </c>
      <c r="AEX10">
        <v>2</v>
      </c>
    </row>
    <row r="11" spans="1:830">
      <c r="A11">
        <v>149</v>
      </c>
      <c r="B11" t="s">
        <v>1186</v>
      </c>
      <c r="C11">
        <v>2</v>
      </c>
      <c r="D11">
        <v>2</v>
      </c>
      <c r="E11">
        <v>22</v>
      </c>
      <c r="F11">
        <v>66</v>
      </c>
      <c r="G11">
        <v>142</v>
      </c>
      <c r="H11">
        <v>0</v>
      </c>
      <c r="I11">
        <v>2</v>
      </c>
      <c r="K11" t="s">
        <v>330</v>
      </c>
      <c r="L11">
        <v>2</v>
      </c>
      <c r="M11" s="1">
        <v>45501.60833333333</v>
      </c>
      <c r="N11">
        <v>5</v>
      </c>
      <c r="O11">
        <v>0</v>
      </c>
      <c r="Q11">
        <v>0</v>
      </c>
      <c r="R11">
        <v>0</v>
      </c>
      <c r="S11">
        <v>1</v>
      </c>
      <c r="T11">
        <v>0</v>
      </c>
      <c r="U11">
        <v>0</v>
      </c>
      <c r="V11">
        <v>0</v>
      </c>
      <c r="W11">
        <v>0</v>
      </c>
      <c r="X11">
        <v>0</v>
      </c>
      <c r="Y11">
        <v>0</v>
      </c>
      <c r="Z11">
        <v>0</v>
      </c>
      <c r="AA11">
        <v>0</v>
      </c>
      <c r="AB11" t="s">
        <v>208</v>
      </c>
      <c r="AC11">
        <v>2</v>
      </c>
      <c r="AD11" s="1">
        <v>45501.61041666667</v>
      </c>
      <c r="AE11" s="5">
        <v>3</v>
      </c>
      <c r="AF11">
        <f t="shared" si="9"/>
        <v>2</v>
      </c>
      <c r="AG11">
        <v>2</v>
      </c>
      <c r="AH11" s="5">
        <v>3</v>
      </c>
      <c r="AI11">
        <f t="shared" si="10"/>
        <v>2</v>
      </c>
      <c r="AJ11">
        <v>2</v>
      </c>
      <c r="AK11">
        <v>1</v>
      </c>
      <c r="AL11" s="5">
        <v>1</v>
      </c>
      <c r="AM11">
        <f t="shared" si="11"/>
        <v>4</v>
      </c>
      <c r="AN11" s="5">
        <v>3</v>
      </c>
      <c r="AO11">
        <f t="shared" si="12"/>
        <v>2</v>
      </c>
      <c r="AP11">
        <v>2</v>
      </c>
      <c r="AQ11">
        <v>1</v>
      </c>
      <c r="AR11" s="5">
        <v>3</v>
      </c>
      <c r="AS11">
        <f t="shared" si="13"/>
        <v>2</v>
      </c>
      <c r="AT11">
        <v>2</v>
      </c>
      <c r="AU11">
        <v>1</v>
      </c>
      <c r="AV11" s="5">
        <v>2</v>
      </c>
      <c r="AW11">
        <f t="shared" si="14"/>
        <v>3</v>
      </c>
      <c r="AX11" s="5">
        <v>3</v>
      </c>
      <c r="AY11">
        <f t="shared" si="15"/>
        <v>2</v>
      </c>
      <c r="AZ11">
        <v>1</v>
      </c>
      <c r="BA11" s="5">
        <v>2</v>
      </c>
      <c r="BB11">
        <f t="shared" si="16"/>
        <v>3</v>
      </c>
      <c r="BC11">
        <v>1</v>
      </c>
      <c r="BD11">
        <v>2</v>
      </c>
      <c r="BE11" s="5">
        <v>3</v>
      </c>
      <c r="BF11">
        <f t="shared" si="17"/>
        <v>2</v>
      </c>
      <c r="BG11">
        <v>3</v>
      </c>
      <c r="BH11" s="6">
        <f t="shared" si="18"/>
        <v>40</v>
      </c>
      <c r="BI11">
        <v>2</v>
      </c>
      <c r="BJ11" s="1">
        <v>45501.612500000003</v>
      </c>
      <c r="BK11">
        <v>12</v>
      </c>
      <c r="BL11">
        <v>2</v>
      </c>
      <c r="BM11">
        <v>2</v>
      </c>
      <c r="BQ11" s="2">
        <v>45496</v>
      </c>
      <c r="BU11" t="s">
        <v>331</v>
      </c>
      <c r="BV11">
        <v>5</v>
      </c>
      <c r="BW11">
        <v>2</v>
      </c>
      <c r="BX11">
        <v>2</v>
      </c>
      <c r="BY11" s="1">
        <v>45501.618750000001</v>
      </c>
      <c r="BZ11">
        <v>4</v>
      </c>
      <c r="CA11">
        <v>2</v>
      </c>
      <c r="CB11">
        <v>3</v>
      </c>
      <c r="CC11">
        <v>2</v>
      </c>
      <c r="CD11">
        <v>4</v>
      </c>
      <c r="CE11">
        <v>4</v>
      </c>
      <c r="CF11">
        <v>2</v>
      </c>
      <c r="CG11">
        <v>3</v>
      </c>
      <c r="CH11">
        <v>3</v>
      </c>
      <c r="CI11">
        <v>4</v>
      </c>
      <c r="CJ11">
        <v>2</v>
      </c>
      <c r="CK11">
        <v>4</v>
      </c>
      <c r="CL11" s="5">
        <v>2</v>
      </c>
      <c r="CM11">
        <f t="shared" si="19"/>
        <v>3</v>
      </c>
      <c r="CN11">
        <v>4</v>
      </c>
      <c r="CO11">
        <v>3</v>
      </c>
      <c r="CP11">
        <v>3</v>
      </c>
      <c r="CQ11">
        <v>3</v>
      </c>
      <c r="CR11" s="5">
        <v>3</v>
      </c>
      <c r="CS11">
        <f t="shared" si="20"/>
        <v>2</v>
      </c>
      <c r="CT11">
        <v>3</v>
      </c>
      <c r="CU11">
        <v>4</v>
      </c>
      <c r="CV11" s="6">
        <f t="shared" si="21"/>
        <v>14</v>
      </c>
      <c r="CW11" s="6">
        <f t="shared" si="22"/>
        <v>12</v>
      </c>
      <c r="CX11" s="6">
        <f t="shared" si="23"/>
        <v>18</v>
      </c>
      <c r="CY11" s="6">
        <f t="shared" si="24"/>
        <v>44</v>
      </c>
      <c r="CZ11" s="6">
        <f t="shared" si="25"/>
        <v>18</v>
      </c>
      <c r="DA11">
        <v>2</v>
      </c>
      <c r="DB11" s="1">
        <v>45501.640972222223</v>
      </c>
      <c r="DC11">
        <v>1</v>
      </c>
      <c r="DD11">
        <v>0</v>
      </c>
      <c r="DE11">
        <v>0</v>
      </c>
      <c r="DF11">
        <v>0</v>
      </c>
      <c r="DG11">
        <v>0</v>
      </c>
      <c r="DH11">
        <v>0</v>
      </c>
      <c r="DI11">
        <v>0</v>
      </c>
      <c r="DJ11">
        <v>1</v>
      </c>
      <c r="DK11">
        <v>0</v>
      </c>
      <c r="DL11">
        <v>0</v>
      </c>
      <c r="DM11">
        <v>1</v>
      </c>
      <c r="DN11">
        <v>1</v>
      </c>
      <c r="DO11">
        <v>1</v>
      </c>
      <c r="DP11">
        <v>0</v>
      </c>
      <c r="DQ11">
        <v>0</v>
      </c>
      <c r="DR11">
        <v>1</v>
      </c>
      <c r="DS11">
        <v>0</v>
      </c>
      <c r="DT11">
        <v>0</v>
      </c>
      <c r="DU11">
        <v>0</v>
      </c>
      <c r="DV11">
        <v>0</v>
      </c>
      <c r="DW11">
        <v>0</v>
      </c>
      <c r="DX11">
        <v>0</v>
      </c>
      <c r="DY11">
        <v>1</v>
      </c>
      <c r="DZ11">
        <v>0</v>
      </c>
      <c r="EA11">
        <v>0</v>
      </c>
      <c r="EB11">
        <v>1</v>
      </c>
      <c r="EC11">
        <v>1</v>
      </c>
      <c r="ED11">
        <v>1</v>
      </c>
      <c r="EE11">
        <v>0</v>
      </c>
      <c r="EF11">
        <v>0</v>
      </c>
      <c r="EG11">
        <v>0</v>
      </c>
      <c r="EH11">
        <v>1</v>
      </c>
      <c r="EI11">
        <v>1</v>
      </c>
      <c r="EJ11">
        <v>0</v>
      </c>
      <c r="EK11">
        <v>0</v>
      </c>
      <c r="EL11">
        <v>1</v>
      </c>
      <c r="EM11">
        <v>0</v>
      </c>
      <c r="EN11">
        <v>1</v>
      </c>
      <c r="EO11">
        <v>0</v>
      </c>
      <c r="EP11">
        <v>0</v>
      </c>
      <c r="EQ11">
        <v>1</v>
      </c>
      <c r="ER11">
        <v>0</v>
      </c>
      <c r="ES11">
        <v>1</v>
      </c>
      <c r="ET11">
        <v>0</v>
      </c>
      <c r="EU11">
        <v>0</v>
      </c>
      <c r="EV11">
        <v>0</v>
      </c>
      <c r="EW11">
        <v>1</v>
      </c>
      <c r="EX11">
        <v>1</v>
      </c>
      <c r="EY11">
        <v>0</v>
      </c>
      <c r="EZ11">
        <v>0</v>
      </c>
      <c r="FA11">
        <v>0</v>
      </c>
      <c r="FB11">
        <v>0</v>
      </c>
      <c r="FC11">
        <v>1</v>
      </c>
      <c r="FD11">
        <v>0</v>
      </c>
      <c r="FE11">
        <v>0</v>
      </c>
      <c r="FF11">
        <v>1</v>
      </c>
      <c r="FG11">
        <v>0</v>
      </c>
      <c r="FH11">
        <v>0</v>
      </c>
      <c r="FI11">
        <v>0</v>
      </c>
      <c r="FJ11">
        <v>0</v>
      </c>
      <c r="FK11">
        <v>0</v>
      </c>
      <c r="FL11">
        <v>1</v>
      </c>
      <c r="FM11">
        <v>1</v>
      </c>
      <c r="FN11">
        <v>0</v>
      </c>
      <c r="FO11">
        <v>0</v>
      </c>
      <c r="FP11">
        <v>0</v>
      </c>
      <c r="FQ11">
        <v>0</v>
      </c>
      <c r="FR11">
        <v>0</v>
      </c>
      <c r="FS11">
        <v>0</v>
      </c>
      <c r="FT11">
        <v>1</v>
      </c>
      <c r="FU11">
        <v>0</v>
      </c>
      <c r="FV11">
        <v>0</v>
      </c>
      <c r="FW11">
        <v>0</v>
      </c>
      <c r="FX11">
        <v>0</v>
      </c>
      <c r="FY11">
        <v>1</v>
      </c>
      <c r="FZ11">
        <v>0</v>
      </c>
      <c r="GA11">
        <v>0</v>
      </c>
      <c r="GB11">
        <v>0</v>
      </c>
      <c r="GC11">
        <v>0</v>
      </c>
      <c r="GD11">
        <v>1</v>
      </c>
      <c r="GE11">
        <v>1</v>
      </c>
      <c r="GF11">
        <v>1</v>
      </c>
      <c r="GG11">
        <v>1</v>
      </c>
      <c r="GH11">
        <v>0</v>
      </c>
      <c r="GI11">
        <v>0</v>
      </c>
      <c r="GJ11" s="6">
        <f t="shared" si="26"/>
        <v>28</v>
      </c>
      <c r="GK11">
        <v>2</v>
      </c>
      <c r="GL11" s="1">
        <v>45501.642361111109</v>
      </c>
      <c r="GM11">
        <v>1</v>
      </c>
      <c r="GN11">
        <v>4</v>
      </c>
      <c r="GO11">
        <v>4</v>
      </c>
      <c r="GP11">
        <v>3</v>
      </c>
      <c r="GQ11" s="5">
        <v>2</v>
      </c>
      <c r="GR11">
        <f t="shared" si="27"/>
        <v>3</v>
      </c>
      <c r="GS11">
        <v>4</v>
      </c>
      <c r="GT11">
        <v>3</v>
      </c>
      <c r="GU11">
        <v>2</v>
      </c>
      <c r="GV11" s="5">
        <v>3</v>
      </c>
      <c r="GW11">
        <f t="shared" si="0"/>
        <v>2</v>
      </c>
      <c r="GX11">
        <v>4</v>
      </c>
      <c r="GY11">
        <v>4</v>
      </c>
      <c r="GZ11">
        <v>3</v>
      </c>
      <c r="HA11" s="5">
        <v>3</v>
      </c>
      <c r="HB11">
        <f t="shared" si="1"/>
        <v>2</v>
      </c>
      <c r="HC11">
        <v>3</v>
      </c>
      <c r="HD11">
        <v>4</v>
      </c>
      <c r="HE11">
        <v>4</v>
      </c>
      <c r="HF11" s="5">
        <v>2</v>
      </c>
      <c r="HG11">
        <f t="shared" si="2"/>
        <v>3</v>
      </c>
      <c r="HH11">
        <v>3</v>
      </c>
      <c r="HI11" s="6">
        <f t="shared" si="28"/>
        <v>23</v>
      </c>
      <c r="HJ11" s="6">
        <f t="shared" si="29"/>
        <v>15</v>
      </c>
      <c r="HK11" s="6">
        <f t="shared" si="30"/>
        <v>55</v>
      </c>
      <c r="HL11">
        <v>2</v>
      </c>
      <c r="HM11" s="1">
        <v>45501.642361111109</v>
      </c>
      <c r="HN11">
        <v>6</v>
      </c>
      <c r="HO11">
        <v>6</v>
      </c>
      <c r="HP11">
        <v>5</v>
      </c>
      <c r="HQ11">
        <v>2</v>
      </c>
      <c r="HR11" s="1">
        <v>45502.597916666666</v>
      </c>
      <c r="HS11">
        <v>1</v>
      </c>
      <c r="HT11">
        <v>1</v>
      </c>
      <c r="HU11">
        <v>0</v>
      </c>
      <c r="HV11">
        <v>1</v>
      </c>
      <c r="HW11">
        <v>2</v>
      </c>
      <c r="HX11">
        <v>0</v>
      </c>
      <c r="HY11">
        <v>0</v>
      </c>
      <c r="HZ11">
        <v>1</v>
      </c>
      <c r="IA11">
        <v>0</v>
      </c>
      <c r="IB11">
        <v>1</v>
      </c>
      <c r="IC11">
        <v>1</v>
      </c>
      <c r="ID11">
        <v>1</v>
      </c>
      <c r="IE11">
        <v>3</v>
      </c>
      <c r="IF11">
        <v>0</v>
      </c>
      <c r="IG11">
        <v>2</v>
      </c>
      <c r="IH11">
        <v>3</v>
      </c>
      <c r="II11">
        <v>1</v>
      </c>
      <c r="IJ11">
        <v>2</v>
      </c>
      <c r="IK11">
        <v>2</v>
      </c>
      <c r="IL11">
        <v>3</v>
      </c>
      <c r="IM11">
        <v>0</v>
      </c>
      <c r="IN11" s="6">
        <f t="shared" si="31"/>
        <v>25</v>
      </c>
      <c r="IO11">
        <v>2</v>
      </c>
      <c r="IP11" s="1">
        <v>45502.602083333331</v>
      </c>
      <c r="IQ11">
        <v>1</v>
      </c>
      <c r="IR11">
        <v>1</v>
      </c>
      <c r="IS11">
        <v>1</v>
      </c>
      <c r="IT11">
        <v>0</v>
      </c>
      <c r="IU11">
        <v>0</v>
      </c>
      <c r="IV11">
        <v>0</v>
      </c>
      <c r="IW11">
        <v>1</v>
      </c>
      <c r="IX11">
        <v>1</v>
      </c>
      <c r="IY11">
        <v>0</v>
      </c>
      <c r="IZ11">
        <v>0</v>
      </c>
      <c r="JA11">
        <v>1</v>
      </c>
      <c r="JB11">
        <v>1</v>
      </c>
      <c r="JC11">
        <v>0</v>
      </c>
      <c r="JD11">
        <v>0</v>
      </c>
      <c r="JE11">
        <v>1</v>
      </c>
      <c r="JF11">
        <v>1</v>
      </c>
      <c r="JG11">
        <v>1</v>
      </c>
      <c r="JH11">
        <v>1</v>
      </c>
      <c r="JI11">
        <v>1</v>
      </c>
      <c r="JJ11">
        <v>0</v>
      </c>
      <c r="JK11" t="s">
        <v>332</v>
      </c>
      <c r="JL11">
        <v>3</v>
      </c>
      <c r="JM11">
        <v>3</v>
      </c>
      <c r="JN11">
        <v>3</v>
      </c>
      <c r="JO11">
        <v>1</v>
      </c>
      <c r="JP11">
        <v>1</v>
      </c>
      <c r="JQ11">
        <v>1</v>
      </c>
      <c r="JR11" t="s">
        <v>333</v>
      </c>
      <c r="JS11" t="s">
        <v>334</v>
      </c>
      <c r="JT11" s="6">
        <f t="shared" si="32"/>
        <v>12</v>
      </c>
      <c r="JU11" s="6">
        <v>0.9</v>
      </c>
      <c r="JV11" s="6">
        <f t="shared" si="33"/>
        <v>9</v>
      </c>
      <c r="JW11" s="6">
        <f t="shared" si="34"/>
        <v>3</v>
      </c>
      <c r="JX11">
        <v>2</v>
      </c>
      <c r="JY11" s="1">
        <v>45502.602777777778</v>
      </c>
      <c r="JZ11">
        <v>0</v>
      </c>
      <c r="KA11">
        <v>0</v>
      </c>
      <c r="KB11">
        <v>4</v>
      </c>
      <c r="KC11" s="6">
        <f t="shared" si="35"/>
        <v>4</v>
      </c>
      <c r="KD11">
        <v>2</v>
      </c>
      <c r="KE11" s="1">
        <v>45502.602777777778</v>
      </c>
      <c r="KF11">
        <v>76</v>
      </c>
      <c r="KG11">
        <v>3</v>
      </c>
      <c r="KP11">
        <v>5</v>
      </c>
      <c r="KQ11">
        <v>70.5</v>
      </c>
      <c r="KR11">
        <v>5.0999999999999996</v>
      </c>
      <c r="KS11">
        <v>1</v>
      </c>
      <c r="ML11">
        <v>4</v>
      </c>
      <c r="MM11">
        <v>76</v>
      </c>
      <c r="MN11">
        <v>3</v>
      </c>
      <c r="MO11">
        <v>5</v>
      </c>
      <c r="UT11">
        <v>5</v>
      </c>
      <c r="UU11">
        <v>75.400000000000006</v>
      </c>
      <c r="UV11">
        <v>3.9</v>
      </c>
      <c r="UW11">
        <v>3</v>
      </c>
      <c r="UX11">
        <v>5</v>
      </c>
      <c r="UY11">
        <v>73.599999999999994</v>
      </c>
      <c r="UZ11">
        <v>4.2</v>
      </c>
      <c r="VA11">
        <v>2</v>
      </c>
      <c r="WT11" s="6" t="s">
        <v>335</v>
      </c>
      <c r="WU11" s="6">
        <v>77.7</v>
      </c>
      <c r="WV11" s="6">
        <v>3.9</v>
      </c>
      <c r="WW11" s="6">
        <v>4</v>
      </c>
      <c r="YX11" s="6">
        <v>5</v>
      </c>
      <c r="YY11" s="6">
        <v>77.7</v>
      </c>
      <c r="YZ11" s="6">
        <v>3.9</v>
      </c>
      <c r="ZA11" s="6">
        <v>4</v>
      </c>
      <c r="ZB11">
        <v>2</v>
      </c>
      <c r="ZC11" s="1">
        <v>45084.661111111112</v>
      </c>
      <c r="ZD11">
        <v>3</v>
      </c>
      <c r="ZE11">
        <v>4</v>
      </c>
      <c r="ZF11">
        <v>2</v>
      </c>
      <c r="ZG11">
        <v>4</v>
      </c>
      <c r="ZH11">
        <v>2</v>
      </c>
      <c r="ZI11">
        <v>2</v>
      </c>
      <c r="ZJ11">
        <v>4</v>
      </c>
      <c r="ZK11">
        <v>2</v>
      </c>
      <c r="ZL11">
        <v>4</v>
      </c>
      <c r="ZM11">
        <v>1</v>
      </c>
      <c r="ZN11">
        <v>4</v>
      </c>
      <c r="ZO11">
        <v>1</v>
      </c>
      <c r="ZP11">
        <v>1</v>
      </c>
      <c r="ZQ11">
        <v>3</v>
      </c>
      <c r="ZR11">
        <v>2</v>
      </c>
      <c r="ZS11">
        <v>2</v>
      </c>
      <c r="ZT11">
        <v>1</v>
      </c>
      <c r="ZU11">
        <v>2</v>
      </c>
      <c r="ZV11">
        <v>1</v>
      </c>
      <c r="ZW11">
        <v>5</v>
      </c>
      <c r="ZX11" s="6">
        <f t="shared" si="36"/>
        <v>20</v>
      </c>
      <c r="ZY11" s="6">
        <f t="shared" si="37"/>
        <v>30</v>
      </c>
      <c r="ZZ11">
        <v>2</v>
      </c>
      <c r="AAA11" s="1">
        <v>45502.604861111111</v>
      </c>
      <c r="AAB11">
        <v>3</v>
      </c>
      <c r="AAC11">
        <v>2</v>
      </c>
      <c r="AAD11">
        <v>3</v>
      </c>
      <c r="AAE11">
        <v>4</v>
      </c>
      <c r="AAF11">
        <v>3</v>
      </c>
      <c r="AAG11">
        <v>4</v>
      </c>
      <c r="AAH11">
        <v>2</v>
      </c>
      <c r="AAI11">
        <v>3</v>
      </c>
      <c r="AAJ11">
        <v>0</v>
      </c>
      <c r="AAK11">
        <v>4</v>
      </c>
      <c r="AAL11">
        <v>1</v>
      </c>
      <c r="AAM11">
        <v>2</v>
      </c>
      <c r="AAN11">
        <v>3</v>
      </c>
      <c r="AAO11">
        <v>3</v>
      </c>
      <c r="AAP11">
        <v>2</v>
      </c>
      <c r="AAQ11">
        <v>4</v>
      </c>
      <c r="AAR11">
        <v>0</v>
      </c>
      <c r="AAS11">
        <v>3</v>
      </c>
      <c r="AAT11" s="6">
        <f t="shared" si="38"/>
        <v>20</v>
      </c>
      <c r="AAU11" s="6">
        <f t="shared" si="39"/>
        <v>12</v>
      </c>
      <c r="AAV11" s="6">
        <f t="shared" si="40"/>
        <v>14</v>
      </c>
      <c r="AAW11" s="6">
        <f t="shared" si="41"/>
        <v>46</v>
      </c>
      <c r="AAX11">
        <v>2</v>
      </c>
      <c r="AAY11" s="1">
        <v>45502.605555555558</v>
      </c>
      <c r="AAZ11">
        <v>1</v>
      </c>
      <c r="ABA11">
        <v>8</v>
      </c>
      <c r="ABB11">
        <v>1</v>
      </c>
      <c r="ABC11">
        <v>10</v>
      </c>
      <c r="ABD11">
        <v>8</v>
      </c>
      <c r="ABE11">
        <v>19</v>
      </c>
      <c r="ABF11">
        <v>10</v>
      </c>
      <c r="ABG11">
        <v>8</v>
      </c>
      <c r="ABH11">
        <v>8</v>
      </c>
      <c r="ABI11">
        <v>10</v>
      </c>
      <c r="ABJ11">
        <v>8</v>
      </c>
      <c r="ABK11">
        <v>9</v>
      </c>
      <c r="ABL11">
        <v>10</v>
      </c>
      <c r="ABM11">
        <v>10</v>
      </c>
      <c r="ABN11">
        <v>8</v>
      </c>
      <c r="ABO11" s="6">
        <f t="shared" si="42"/>
        <v>6.75</v>
      </c>
      <c r="ABP11" s="6">
        <f t="shared" si="43"/>
        <v>9</v>
      </c>
      <c r="ABQ11">
        <v>2</v>
      </c>
      <c r="ABR11" s="1">
        <v>45502.607638888891</v>
      </c>
      <c r="ABS11">
        <v>4</v>
      </c>
      <c r="ABT11">
        <v>1</v>
      </c>
      <c r="ABU11">
        <v>3</v>
      </c>
      <c r="ABV11">
        <v>2</v>
      </c>
      <c r="ABW11">
        <v>3</v>
      </c>
      <c r="ABX11">
        <v>0</v>
      </c>
      <c r="ABY11">
        <v>1</v>
      </c>
      <c r="ABZ11">
        <v>1</v>
      </c>
      <c r="ACA11">
        <v>0</v>
      </c>
      <c r="ACB11">
        <v>1</v>
      </c>
      <c r="ACC11">
        <v>0</v>
      </c>
      <c r="ACD11">
        <v>4</v>
      </c>
      <c r="ACE11">
        <v>4</v>
      </c>
      <c r="ACF11">
        <v>0</v>
      </c>
      <c r="ACG11">
        <v>2</v>
      </c>
      <c r="ACH11">
        <v>2</v>
      </c>
      <c r="ACI11">
        <v>3</v>
      </c>
      <c r="ACJ11">
        <v>4</v>
      </c>
      <c r="ACK11">
        <v>4</v>
      </c>
      <c r="ACL11">
        <v>2</v>
      </c>
      <c r="ACM11">
        <v>1</v>
      </c>
      <c r="ACN11">
        <v>2</v>
      </c>
      <c r="ACO11">
        <v>4</v>
      </c>
      <c r="ACP11">
        <v>0</v>
      </c>
      <c r="ACQ11">
        <v>2</v>
      </c>
      <c r="ACR11">
        <v>1</v>
      </c>
      <c r="ACS11">
        <v>2</v>
      </c>
      <c r="ACT11">
        <v>0</v>
      </c>
      <c r="ACU11">
        <v>4</v>
      </c>
      <c r="ACV11">
        <v>1</v>
      </c>
      <c r="ACW11" s="6">
        <f>SUM(ABS11,ABX11,ACD11,ACH11,ACL11)</f>
        <v>12</v>
      </c>
      <c r="ACX11" s="6">
        <f t="shared" si="45"/>
        <v>7</v>
      </c>
      <c r="ACY11" s="6">
        <f t="shared" si="46"/>
        <v>3</v>
      </c>
      <c r="ACZ11" s="6">
        <f t="shared" si="47"/>
        <v>17</v>
      </c>
      <c r="ADA11" s="6">
        <f t="shared" si="48"/>
        <v>12</v>
      </c>
      <c r="ADB11" s="6">
        <f t="shared" si="49"/>
        <v>7</v>
      </c>
      <c r="ADC11" s="6">
        <f t="shared" si="50"/>
        <v>44</v>
      </c>
      <c r="ADD11">
        <v>2</v>
      </c>
      <c r="ADE11" s="1">
        <v>45502.609027777777</v>
      </c>
      <c r="ADF11" s="5">
        <v>3</v>
      </c>
      <c r="ADG11">
        <f t="shared" si="51"/>
        <v>2</v>
      </c>
      <c r="ADH11" s="5">
        <v>1</v>
      </c>
      <c r="ADI11">
        <f t="shared" si="52"/>
        <v>4</v>
      </c>
      <c r="ADJ11">
        <v>4</v>
      </c>
      <c r="ADK11">
        <v>4</v>
      </c>
      <c r="ADL11" s="5">
        <v>1</v>
      </c>
      <c r="ADM11">
        <f t="shared" si="3"/>
        <v>4</v>
      </c>
      <c r="ADN11">
        <v>2</v>
      </c>
      <c r="ADO11">
        <v>2</v>
      </c>
      <c r="ADP11" s="5">
        <v>2</v>
      </c>
      <c r="ADQ11">
        <f t="shared" si="4"/>
        <v>3</v>
      </c>
      <c r="ADR11">
        <v>1</v>
      </c>
      <c r="ADS11" s="5">
        <v>2</v>
      </c>
      <c r="ADT11">
        <f t="shared" si="5"/>
        <v>3</v>
      </c>
      <c r="ADU11" s="5">
        <v>2</v>
      </c>
      <c r="ADV11">
        <f t="shared" ref="ADV11" si="70">INDEX($AD$48:$AE$51, MATCH(ADU11, $AD$48:$AD$51, 0), 2)</f>
        <v>3</v>
      </c>
      <c r="ADW11">
        <v>1</v>
      </c>
      <c r="ADX11">
        <v>1</v>
      </c>
      <c r="ADY11">
        <v>4</v>
      </c>
      <c r="ADZ11" s="5">
        <v>1</v>
      </c>
      <c r="AEA11">
        <f t="shared" si="6"/>
        <v>4</v>
      </c>
      <c r="AEB11" s="5">
        <v>1</v>
      </c>
      <c r="AEC11">
        <f t="shared" ref="AEC11" si="71">INDEX($AD$48:$AE$51, MATCH(AEB11, $AD$48:$AD$51, 0), 2)</f>
        <v>4</v>
      </c>
      <c r="AED11">
        <v>4</v>
      </c>
      <c r="AEE11">
        <v>3</v>
      </c>
      <c r="AEF11" s="5">
        <v>2</v>
      </c>
      <c r="AEG11">
        <f t="shared" si="7"/>
        <v>3</v>
      </c>
      <c r="AEH11" s="5">
        <v>3</v>
      </c>
      <c r="AEI11">
        <f t="shared" si="8"/>
        <v>2</v>
      </c>
      <c r="AEJ11" s="6">
        <f t="shared" si="55"/>
        <v>62</v>
      </c>
      <c r="AEK11">
        <v>2</v>
      </c>
      <c r="AEL11" s="1">
        <v>45502.609027777777</v>
      </c>
      <c r="AEM11">
        <v>0</v>
      </c>
      <c r="AER11">
        <v>0</v>
      </c>
      <c r="AES11">
        <v>0</v>
      </c>
      <c r="AET11">
        <v>0</v>
      </c>
      <c r="AEU11">
        <v>0</v>
      </c>
      <c r="AEV11">
        <v>0</v>
      </c>
      <c r="AEX11">
        <v>2</v>
      </c>
    </row>
    <row r="12" spans="1:830">
      <c r="A12">
        <v>153</v>
      </c>
      <c r="B12" t="s">
        <v>1190</v>
      </c>
      <c r="C12">
        <v>2</v>
      </c>
      <c r="D12">
        <v>2</v>
      </c>
      <c r="E12">
        <v>43</v>
      </c>
      <c r="F12">
        <v>66</v>
      </c>
      <c r="G12">
        <v>160</v>
      </c>
      <c r="H12">
        <v>0</v>
      </c>
      <c r="I12">
        <v>3</v>
      </c>
      <c r="K12" t="s">
        <v>369</v>
      </c>
      <c r="L12">
        <v>2</v>
      </c>
      <c r="M12" s="1">
        <v>45513.57916666667</v>
      </c>
      <c r="N12">
        <v>5</v>
      </c>
      <c r="O12">
        <v>0</v>
      </c>
      <c r="Q12">
        <v>0</v>
      </c>
      <c r="R12">
        <v>1</v>
      </c>
      <c r="S12">
        <v>0</v>
      </c>
      <c r="T12">
        <v>0</v>
      </c>
      <c r="U12">
        <v>0</v>
      </c>
      <c r="V12">
        <v>0</v>
      </c>
      <c r="W12">
        <v>0</v>
      </c>
      <c r="X12">
        <v>0</v>
      </c>
      <c r="Y12">
        <v>0</v>
      </c>
      <c r="Z12">
        <v>0</v>
      </c>
      <c r="AA12">
        <v>0</v>
      </c>
      <c r="AB12" t="s">
        <v>208</v>
      </c>
      <c r="AC12">
        <v>2</v>
      </c>
      <c r="AD12" s="1">
        <v>45513.580555555556</v>
      </c>
      <c r="AE12" s="5">
        <v>3</v>
      </c>
      <c r="AF12">
        <f t="shared" si="9"/>
        <v>2</v>
      </c>
      <c r="AG12">
        <v>2</v>
      </c>
      <c r="AH12" s="5">
        <v>2</v>
      </c>
      <c r="AI12">
        <f t="shared" si="10"/>
        <v>3</v>
      </c>
      <c r="AJ12">
        <v>2</v>
      </c>
      <c r="AK12">
        <v>2</v>
      </c>
      <c r="AL12" s="5">
        <v>1</v>
      </c>
      <c r="AM12">
        <f t="shared" si="11"/>
        <v>4</v>
      </c>
      <c r="AN12" s="5">
        <v>2</v>
      </c>
      <c r="AO12">
        <f t="shared" si="12"/>
        <v>3</v>
      </c>
      <c r="AP12">
        <v>2</v>
      </c>
      <c r="AQ12">
        <v>1</v>
      </c>
      <c r="AR12" s="5">
        <v>3</v>
      </c>
      <c r="AS12">
        <f t="shared" si="13"/>
        <v>2</v>
      </c>
      <c r="AT12">
        <v>2</v>
      </c>
      <c r="AU12">
        <v>2</v>
      </c>
      <c r="AV12" s="5">
        <v>3</v>
      </c>
      <c r="AW12">
        <f t="shared" si="14"/>
        <v>2</v>
      </c>
      <c r="AX12" s="5">
        <v>3</v>
      </c>
      <c r="AY12">
        <f t="shared" si="15"/>
        <v>2</v>
      </c>
      <c r="AZ12">
        <v>2</v>
      </c>
      <c r="BA12" s="5">
        <v>3</v>
      </c>
      <c r="BB12">
        <f t="shared" si="16"/>
        <v>2</v>
      </c>
      <c r="BC12">
        <v>2</v>
      </c>
      <c r="BD12">
        <v>1</v>
      </c>
      <c r="BE12" s="5">
        <v>2</v>
      </c>
      <c r="BF12">
        <f t="shared" si="17"/>
        <v>3</v>
      </c>
      <c r="BG12">
        <v>1</v>
      </c>
      <c r="BH12" s="6">
        <f t="shared" si="18"/>
        <v>42</v>
      </c>
      <c r="BI12">
        <v>2</v>
      </c>
      <c r="BJ12" s="1">
        <v>45513.582638888889</v>
      </c>
      <c r="BK12">
        <v>14</v>
      </c>
      <c r="BL12">
        <v>3</v>
      </c>
      <c r="BM12">
        <v>6</v>
      </c>
      <c r="BO12" t="s">
        <v>209</v>
      </c>
      <c r="BQ12" s="2">
        <v>38727</v>
      </c>
      <c r="BR12">
        <v>2</v>
      </c>
      <c r="BS12">
        <v>1</v>
      </c>
      <c r="BT12">
        <v>1</v>
      </c>
      <c r="BU12" t="s">
        <v>370</v>
      </c>
      <c r="BV12" t="s">
        <v>371</v>
      </c>
      <c r="BW12">
        <v>3</v>
      </c>
      <c r="BX12">
        <v>2</v>
      </c>
      <c r="BY12" s="1">
        <v>45513.584722222222</v>
      </c>
      <c r="BZ12">
        <v>3</v>
      </c>
      <c r="CA12">
        <v>3</v>
      </c>
      <c r="CB12">
        <v>2</v>
      </c>
      <c r="CC12">
        <v>3</v>
      </c>
      <c r="CD12">
        <v>3</v>
      </c>
      <c r="CE12">
        <v>2</v>
      </c>
      <c r="CF12">
        <v>2</v>
      </c>
      <c r="CG12">
        <v>2</v>
      </c>
      <c r="CH12">
        <v>2</v>
      </c>
      <c r="CI12">
        <v>3</v>
      </c>
      <c r="CJ12">
        <v>2</v>
      </c>
      <c r="CK12">
        <v>3</v>
      </c>
      <c r="CL12" s="5">
        <v>2</v>
      </c>
      <c r="CM12">
        <f t="shared" si="19"/>
        <v>3</v>
      </c>
      <c r="CN12">
        <v>2</v>
      </c>
      <c r="CO12">
        <v>3</v>
      </c>
      <c r="CP12">
        <v>3</v>
      </c>
      <c r="CQ12">
        <v>3</v>
      </c>
      <c r="CR12" s="5">
        <v>2</v>
      </c>
      <c r="CS12">
        <f t="shared" si="20"/>
        <v>3</v>
      </c>
      <c r="CT12">
        <v>3</v>
      </c>
      <c r="CU12">
        <v>2</v>
      </c>
      <c r="CV12" s="6">
        <f t="shared" si="21"/>
        <v>9</v>
      </c>
      <c r="CW12" s="6">
        <f t="shared" si="22"/>
        <v>10</v>
      </c>
      <c r="CX12" s="6">
        <f t="shared" si="23"/>
        <v>13</v>
      </c>
      <c r="CY12" s="6">
        <f t="shared" si="24"/>
        <v>32</v>
      </c>
      <c r="CZ12" s="6">
        <f t="shared" si="25"/>
        <v>20</v>
      </c>
      <c r="DA12">
        <v>2</v>
      </c>
      <c r="DB12" s="1">
        <v>45513.586805555555</v>
      </c>
      <c r="DC12">
        <v>1</v>
      </c>
      <c r="DD12">
        <v>1</v>
      </c>
      <c r="DE12">
        <v>1</v>
      </c>
      <c r="DF12">
        <v>0</v>
      </c>
      <c r="DG12">
        <v>0</v>
      </c>
      <c r="DH12">
        <v>0</v>
      </c>
      <c r="DI12">
        <v>1</v>
      </c>
      <c r="DJ12">
        <v>0</v>
      </c>
      <c r="DK12">
        <v>0</v>
      </c>
      <c r="DL12">
        <v>0</v>
      </c>
      <c r="DM12">
        <v>1</v>
      </c>
      <c r="DN12">
        <v>1</v>
      </c>
      <c r="DO12">
        <v>0</v>
      </c>
      <c r="DP12">
        <v>0</v>
      </c>
      <c r="DQ12">
        <v>0</v>
      </c>
      <c r="DR12">
        <v>1</v>
      </c>
      <c r="DS12">
        <v>0</v>
      </c>
      <c r="DT12">
        <v>0</v>
      </c>
      <c r="DU12">
        <v>0</v>
      </c>
      <c r="DV12">
        <v>0</v>
      </c>
      <c r="DW12">
        <v>0</v>
      </c>
      <c r="DX12">
        <v>0</v>
      </c>
      <c r="DY12">
        <v>0</v>
      </c>
      <c r="DZ12">
        <v>0</v>
      </c>
      <c r="EA12">
        <v>1</v>
      </c>
      <c r="EB12">
        <v>1</v>
      </c>
      <c r="EC12">
        <v>0</v>
      </c>
      <c r="ED12">
        <v>0</v>
      </c>
      <c r="EE12">
        <v>0</v>
      </c>
      <c r="EF12">
        <v>0</v>
      </c>
      <c r="EG12">
        <v>0</v>
      </c>
      <c r="EH12">
        <v>0</v>
      </c>
      <c r="EI12">
        <v>0</v>
      </c>
      <c r="EJ12">
        <v>0</v>
      </c>
      <c r="EK12">
        <v>1</v>
      </c>
      <c r="EL12">
        <v>1</v>
      </c>
      <c r="EM12">
        <v>0</v>
      </c>
      <c r="EN12">
        <v>0</v>
      </c>
      <c r="EO12">
        <v>0</v>
      </c>
      <c r="EP12">
        <v>0</v>
      </c>
      <c r="EQ12">
        <v>1</v>
      </c>
      <c r="ER12">
        <v>0</v>
      </c>
      <c r="ES12">
        <v>0</v>
      </c>
      <c r="ET12">
        <v>0</v>
      </c>
      <c r="EU12">
        <v>0</v>
      </c>
      <c r="EV12">
        <v>0</v>
      </c>
      <c r="EW12">
        <v>0</v>
      </c>
      <c r="EX12">
        <v>0</v>
      </c>
      <c r="EY12">
        <v>0</v>
      </c>
      <c r="EZ12">
        <v>1</v>
      </c>
      <c r="FA12">
        <v>0</v>
      </c>
      <c r="FB12">
        <v>0</v>
      </c>
      <c r="FC12">
        <v>0</v>
      </c>
      <c r="FD12">
        <v>0</v>
      </c>
      <c r="FE12">
        <v>1</v>
      </c>
      <c r="FF12">
        <v>0</v>
      </c>
      <c r="FG12">
        <v>0</v>
      </c>
      <c r="FH12">
        <v>0</v>
      </c>
      <c r="FI12">
        <v>0</v>
      </c>
      <c r="FJ12">
        <v>1</v>
      </c>
      <c r="FK12">
        <v>0</v>
      </c>
      <c r="FL12">
        <v>0</v>
      </c>
      <c r="FM12">
        <v>0</v>
      </c>
      <c r="FN12">
        <v>0</v>
      </c>
      <c r="FO12">
        <v>1</v>
      </c>
      <c r="FP12">
        <v>0</v>
      </c>
      <c r="FQ12">
        <v>0</v>
      </c>
      <c r="FR12">
        <v>0</v>
      </c>
      <c r="FS12">
        <v>0</v>
      </c>
      <c r="FT12">
        <v>1</v>
      </c>
      <c r="FU12">
        <v>0</v>
      </c>
      <c r="FV12">
        <v>0</v>
      </c>
      <c r="FW12">
        <v>0</v>
      </c>
      <c r="FX12">
        <v>0</v>
      </c>
      <c r="FY12">
        <v>1</v>
      </c>
      <c r="FZ12">
        <v>0</v>
      </c>
      <c r="GA12">
        <v>0</v>
      </c>
      <c r="GB12">
        <v>0</v>
      </c>
      <c r="GC12">
        <v>0</v>
      </c>
      <c r="GD12">
        <v>1</v>
      </c>
      <c r="GE12">
        <v>1</v>
      </c>
      <c r="GF12">
        <v>0</v>
      </c>
      <c r="GG12">
        <v>0</v>
      </c>
      <c r="GH12">
        <v>0</v>
      </c>
      <c r="GI12">
        <v>0</v>
      </c>
      <c r="GJ12" s="6">
        <f t="shared" si="26"/>
        <v>20</v>
      </c>
      <c r="GK12">
        <v>2</v>
      </c>
      <c r="GL12" s="1">
        <v>45513.588194444441</v>
      </c>
      <c r="GM12">
        <v>1</v>
      </c>
      <c r="GN12">
        <v>1</v>
      </c>
      <c r="GO12">
        <v>1</v>
      </c>
      <c r="GP12">
        <v>1</v>
      </c>
      <c r="GQ12" s="5">
        <v>4</v>
      </c>
      <c r="GR12">
        <f t="shared" si="27"/>
        <v>1</v>
      </c>
      <c r="GS12">
        <v>3</v>
      </c>
      <c r="GT12">
        <v>2</v>
      </c>
      <c r="GU12">
        <v>1</v>
      </c>
      <c r="GV12" s="5">
        <v>4</v>
      </c>
      <c r="GW12">
        <f t="shared" si="0"/>
        <v>1</v>
      </c>
      <c r="GX12">
        <v>1</v>
      </c>
      <c r="GY12">
        <v>1</v>
      </c>
      <c r="GZ12">
        <v>1</v>
      </c>
      <c r="HA12" s="5">
        <v>4</v>
      </c>
      <c r="HB12">
        <f t="shared" si="1"/>
        <v>1</v>
      </c>
      <c r="HC12">
        <v>3</v>
      </c>
      <c r="HD12">
        <v>1</v>
      </c>
      <c r="HE12">
        <v>1</v>
      </c>
      <c r="HF12" s="5">
        <v>4</v>
      </c>
      <c r="HG12">
        <f t="shared" si="2"/>
        <v>1</v>
      </c>
      <c r="HH12">
        <v>2</v>
      </c>
      <c r="HI12" s="6">
        <f t="shared" si="28"/>
        <v>7</v>
      </c>
      <c r="HJ12" s="6">
        <f t="shared" si="29"/>
        <v>8</v>
      </c>
      <c r="HK12" s="6">
        <f t="shared" si="30"/>
        <v>23</v>
      </c>
      <c r="HL12">
        <v>2</v>
      </c>
      <c r="HM12" s="1">
        <v>45513.588888888888</v>
      </c>
      <c r="HN12">
        <v>4</v>
      </c>
      <c r="HO12">
        <v>3</v>
      </c>
      <c r="HP12">
        <v>10</v>
      </c>
      <c r="HQ12">
        <v>2</v>
      </c>
      <c r="HR12" s="1">
        <v>45518.40347222222</v>
      </c>
      <c r="HS12">
        <v>0</v>
      </c>
      <c r="HT12">
        <v>1</v>
      </c>
      <c r="HU12">
        <v>1</v>
      </c>
      <c r="HV12">
        <v>1</v>
      </c>
      <c r="HW12">
        <v>0</v>
      </c>
      <c r="HX12">
        <v>0</v>
      </c>
      <c r="HY12">
        <v>1</v>
      </c>
      <c r="HZ12">
        <v>1</v>
      </c>
      <c r="IA12">
        <v>1</v>
      </c>
      <c r="IB12">
        <v>0</v>
      </c>
      <c r="IC12">
        <v>1</v>
      </c>
      <c r="ID12">
        <v>1</v>
      </c>
      <c r="IE12">
        <v>1</v>
      </c>
      <c r="IF12">
        <v>1</v>
      </c>
      <c r="IG12">
        <v>1</v>
      </c>
      <c r="IH12">
        <v>1</v>
      </c>
      <c r="II12">
        <v>0</v>
      </c>
      <c r="IJ12">
        <v>0</v>
      </c>
      <c r="IK12">
        <v>2</v>
      </c>
      <c r="IL12">
        <v>1</v>
      </c>
      <c r="IM12">
        <v>0</v>
      </c>
      <c r="IN12" s="6">
        <f t="shared" si="31"/>
        <v>15</v>
      </c>
      <c r="IO12">
        <v>2</v>
      </c>
      <c r="IP12" s="1">
        <v>45518.40625</v>
      </c>
      <c r="IQ12">
        <v>0</v>
      </c>
      <c r="IR12">
        <v>1</v>
      </c>
      <c r="IS12">
        <v>0</v>
      </c>
      <c r="IT12">
        <v>1</v>
      </c>
      <c r="IU12">
        <v>0</v>
      </c>
      <c r="IV12">
        <v>1</v>
      </c>
      <c r="IW12">
        <v>0</v>
      </c>
      <c r="IX12">
        <v>1</v>
      </c>
      <c r="IY12">
        <v>0</v>
      </c>
      <c r="IZ12">
        <v>0</v>
      </c>
      <c r="JA12">
        <v>0</v>
      </c>
      <c r="JB12">
        <v>1</v>
      </c>
      <c r="JC12">
        <v>0</v>
      </c>
      <c r="JD12">
        <v>0</v>
      </c>
      <c r="JE12">
        <v>0</v>
      </c>
      <c r="JF12">
        <v>0</v>
      </c>
      <c r="JG12">
        <v>0</v>
      </c>
      <c r="JH12">
        <v>1</v>
      </c>
      <c r="JI12">
        <v>1</v>
      </c>
      <c r="JJ12">
        <v>0</v>
      </c>
      <c r="JK12" t="s">
        <v>372</v>
      </c>
      <c r="JL12">
        <v>2</v>
      </c>
      <c r="JM12">
        <v>2</v>
      </c>
      <c r="JN12">
        <v>2</v>
      </c>
      <c r="JO12">
        <v>0</v>
      </c>
      <c r="JP12">
        <v>1</v>
      </c>
      <c r="JQ12">
        <v>0</v>
      </c>
      <c r="JR12" t="s">
        <v>373</v>
      </c>
      <c r="JS12" t="s">
        <v>374</v>
      </c>
      <c r="JT12" s="6">
        <f t="shared" si="32"/>
        <v>7</v>
      </c>
      <c r="JU12" s="6">
        <v>7</v>
      </c>
      <c r="JV12" s="6">
        <f t="shared" si="33"/>
        <v>6</v>
      </c>
      <c r="JW12" s="6">
        <f t="shared" si="34"/>
        <v>1</v>
      </c>
      <c r="JX12">
        <v>2</v>
      </c>
      <c r="JY12" s="1">
        <v>45518.40625</v>
      </c>
      <c r="JZ12">
        <v>0</v>
      </c>
      <c r="KA12">
        <v>0</v>
      </c>
      <c r="KB12">
        <v>0</v>
      </c>
      <c r="KC12" s="6">
        <f t="shared" si="35"/>
        <v>0</v>
      </c>
      <c r="KD12">
        <v>2</v>
      </c>
      <c r="KE12" s="1">
        <v>45518.406944444447</v>
      </c>
      <c r="KF12">
        <v>64</v>
      </c>
      <c r="KG12">
        <v>2.2000000000000002</v>
      </c>
      <c r="KP12">
        <v>4</v>
      </c>
      <c r="KQ12">
        <v>62.3</v>
      </c>
      <c r="KR12">
        <v>4.2</v>
      </c>
      <c r="KS12">
        <v>1</v>
      </c>
      <c r="UH12">
        <v>4</v>
      </c>
      <c r="UI12">
        <v>64</v>
      </c>
      <c r="UJ12">
        <v>2.2000000000000002</v>
      </c>
      <c r="UK12">
        <v>4</v>
      </c>
      <c r="WX12">
        <v>4</v>
      </c>
      <c r="WY12">
        <v>63.8</v>
      </c>
      <c r="WZ12">
        <v>2.5</v>
      </c>
      <c r="XA12">
        <v>3</v>
      </c>
      <c r="XN12" s="6">
        <v>4</v>
      </c>
      <c r="XO12" s="6">
        <v>63.9</v>
      </c>
      <c r="XP12" s="6">
        <v>3</v>
      </c>
      <c r="XQ12" s="6">
        <v>2</v>
      </c>
      <c r="YX12" s="6">
        <v>4</v>
      </c>
      <c r="YY12" s="6">
        <v>63.9</v>
      </c>
      <c r="YZ12" s="6">
        <v>3</v>
      </c>
      <c r="ZA12" s="6">
        <v>2</v>
      </c>
      <c r="ZB12">
        <v>2</v>
      </c>
      <c r="ZC12" s="1">
        <v>45085.661111111112</v>
      </c>
      <c r="ZD12">
        <v>2</v>
      </c>
      <c r="ZE12">
        <v>3</v>
      </c>
      <c r="ZF12">
        <v>2</v>
      </c>
      <c r="ZG12">
        <v>3</v>
      </c>
      <c r="ZH12">
        <v>2</v>
      </c>
      <c r="ZI12">
        <v>2</v>
      </c>
      <c r="ZJ12">
        <v>3</v>
      </c>
      <c r="ZK12">
        <v>1</v>
      </c>
      <c r="ZL12">
        <v>1</v>
      </c>
      <c r="ZM12">
        <v>1</v>
      </c>
      <c r="ZN12">
        <v>1</v>
      </c>
      <c r="ZO12">
        <v>2</v>
      </c>
      <c r="ZP12">
        <v>3</v>
      </c>
      <c r="ZQ12">
        <v>1</v>
      </c>
      <c r="ZR12">
        <v>3</v>
      </c>
      <c r="ZS12">
        <v>3</v>
      </c>
      <c r="ZT12">
        <v>1</v>
      </c>
      <c r="ZU12">
        <v>2</v>
      </c>
      <c r="ZV12">
        <v>1</v>
      </c>
      <c r="ZW12">
        <v>2</v>
      </c>
      <c r="ZX12" s="6">
        <f t="shared" si="36"/>
        <v>16</v>
      </c>
      <c r="ZY12" s="6">
        <f t="shared" si="37"/>
        <v>23</v>
      </c>
      <c r="ZZ12">
        <v>2</v>
      </c>
      <c r="AAA12" s="1">
        <v>45518.408333333333</v>
      </c>
      <c r="AAB12">
        <v>0</v>
      </c>
      <c r="AAC12">
        <v>1</v>
      </c>
      <c r="AAD12">
        <v>2</v>
      </c>
      <c r="AAE12">
        <v>0</v>
      </c>
      <c r="AAF12">
        <v>1</v>
      </c>
      <c r="AAG12">
        <v>1</v>
      </c>
      <c r="AAH12">
        <v>0</v>
      </c>
      <c r="AAI12">
        <v>0</v>
      </c>
      <c r="AAJ12">
        <v>0</v>
      </c>
      <c r="AAK12">
        <v>0</v>
      </c>
      <c r="AAL12">
        <v>1</v>
      </c>
      <c r="AAM12">
        <v>1</v>
      </c>
      <c r="AAN12">
        <v>4</v>
      </c>
      <c r="AAO12">
        <v>1</v>
      </c>
      <c r="AAP12">
        <v>1</v>
      </c>
      <c r="AAQ12">
        <v>0</v>
      </c>
      <c r="AAR12">
        <v>0</v>
      </c>
      <c r="AAS12">
        <v>1</v>
      </c>
      <c r="AAT12" s="6">
        <f t="shared" si="38"/>
        <v>4</v>
      </c>
      <c r="AAU12" s="6">
        <f t="shared" si="39"/>
        <v>4</v>
      </c>
      <c r="AAV12" s="6">
        <f t="shared" si="40"/>
        <v>6</v>
      </c>
      <c r="AAW12" s="6">
        <f t="shared" si="41"/>
        <v>14</v>
      </c>
      <c r="AAX12">
        <v>2</v>
      </c>
      <c r="AAY12" s="1">
        <v>45518.40902777778</v>
      </c>
      <c r="AAZ12">
        <v>1</v>
      </c>
      <c r="ABA12">
        <v>10</v>
      </c>
      <c r="ABB12">
        <v>2</v>
      </c>
      <c r="ABC12">
        <v>6</v>
      </c>
      <c r="ABD12">
        <v>6</v>
      </c>
      <c r="ABE12">
        <v>17</v>
      </c>
      <c r="ABF12">
        <v>6</v>
      </c>
      <c r="ABG12">
        <v>7</v>
      </c>
      <c r="ABH12">
        <v>4</v>
      </c>
      <c r="ABI12">
        <v>7</v>
      </c>
      <c r="ABJ12">
        <v>4</v>
      </c>
      <c r="ABK12">
        <v>10</v>
      </c>
      <c r="ABL12">
        <v>4</v>
      </c>
      <c r="ABM12">
        <v>8</v>
      </c>
      <c r="ABN12">
        <v>3</v>
      </c>
      <c r="ABO12" s="6">
        <f t="shared" si="42"/>
        <v>6</v>
      </c>
      <c r="ABP12" s="6">
        <f t="shared" si="43"/>
        <v>6</v>
      </c>
      <c r="ABQ12">
        <v>2</v>
      </c>
      <c r="ABR12" s="1">
        <v>45518.411111111112</v>
      </c>
      <c r="ABS12">
        <v>2</v>
      </c>
      <c r="ABT12">
        <v>1</v>
      </c>
      <c r="ABU12">
        <v>3</v>
      </c>
      <c r="ABV12">
        <v>0</v>
      </c>
      <c r="ABW12">
        <v>0</v>
      </c>
      <c r="ABX12">
        <v>1</v>
      </c>
      <c r="ABY12">
        <v>1</v>
      </c>
      <c r="ABZ12">
        <v>0</v>
      </c>
      <c r="ACA12">
        <v>1</v>
      </c>
      <c r="ACB12">
        <v>0</v>
      </c>
      <c r="ACC12">
        <v>0</v>
      </c>
      <c r="ACD12">
        <v>1</v>
      </c>
      <c r="ACE12">
        <v>4</v>
      </c>
      <c r="ACF12">
        <v>1</v>
      </c>
      <c r="ACG12">
        <v>1</v>
      </c>
      <c r="ACH12">
        <v>1</v>
      </c>
      <c r="ACI12">
        <v>0</v>
      </c>
      <c r="ACJ12">
        <v>1</v>
      </c>
      <c r="ACK12">
        <v>4</v>
      </c>
      <c r="ACL12">
        <v>2</v>
      </c>
      <c r="ACM12">
        <v>0</v>
      </c>
      <c r="ACN12">
        <v>3</v>
      </c>
      <c r="ACO12">
        <v>0</v>
      </c>
      <c r="ACP12">
        <v>0</v>
      </c>
      <c r="ACQ12">
        <v>0</v>
      </c>
      <c r="ACR12">
        <v>1</v>
      </c>
      <c r="ACS12">
        <v>0</v>
      </c>
      <c r="ACT12">
        <v>0</v>
      </c>
      <c r="ACU12">
        <v>2</v>
      </c>
      <c r="ACV12">
        <v>0</v>
      </c>
      <c r="ACW12" s="6">
        <f t="shared" si="44"/>
        <v>7</v>
      </c>
      <c r="ACX12" s="6">
        <f t="shared" si="45"/>
        <v>2</v>
      </c>
      <c r="ACY12" s="6">
        <f t="shared" si="46"/>
        <v>3</v>
      </c>
      <c r="ACZ12" s="6">
        <f t="shared" si="47"/>
        <v>14</v>
      </c>
      <c r="ADA12" s="6">
        <f t="shared" si="48"/>
        <v>4</v>
      </c>
      <c r="ADB12" s="6">
        <f t="shared" si="49"/>
        <v>0</v>
      </c>
      <c r="ADC12" s="6">
        <f t="shared" si="50"/>
        <v>30</v>
      </c>
      <c r="ADD12">
        <v>2</v>
      </c>
      <c r="ADE12" s="1">
        <v>45518.415972222225</v>
      </c>
      <c r="ADF12" s="5">
        <v>1</v>
      </c>
      <c r="ADG12">
        <f t="shared" si="51"/>
        <v>4</v>
      </c>
      <c r="ADH12" s="5">
        <v>1</v>
      </c>
      <c r="ADI12">
        <f t="shared" si="52"/>
        <v>4</v>
      </c>
      <c r="ADJ12">
        <v>2</v>
      </c>
      <c r="ADK12">
        <v>2</v>
      </c>
      <c r="ADL12" s="5">
        <v>1</v>
      </c>
      <c r="ADM12">
        <f t="shared" si="3"/>
        <v>4</v>
      </c>
      <c r="ADN12">
        <v>2</v>
      </c>
      <c r="ADO12">
        <v>2</v>
      </c>
      <c r="ADP12" s="5">
        <v>2</v>
      </c>
      <c r="ADQ12">
        <f t="shared" si="4"/>
        <v>3</v>
      </c>
      <c r="ADR12">
        <v>1</v>
      </c>
      <c r="ADS12" s="5">
        <v>2</v>
      </c>
      <c r="ADT12">
        <f t="shared" si="5"/>
        <v>3</v>
      </c>
      <c r="ADU12" s="5">
        <v>1</v>
      </c>
      <c r="ADV12">
        <f t="shared" ref="ADV12" si="72">INDEX($AD$48:$AE$51, MATCH(ADU12, $AD$48:$AD$51, 0), 2)</f>
        <v>4</v>
      </c>
      <c r="ADW12">
        <v>2</v>
      </c>
      <c r="ADX12">
        <v>2</v>
      </c>
      <c r="ADY12">
        <v>2</v>
      </c>
      <c r="ADZ12" s="5">
        <v>1</v>
      </c>
      <c r="AEA12">
        <f t="shared" si="6"/>
        <v>4</v>
      </c>
      <c r="AEB12" s="5">
        <v>2</v>
      </c>
      <c r="AEC12">
        <f t="shared" ref="AEC12" si="73">INDEX($AD$48:$AE$51, MATCH(AEB12, $AD$48:$AD$51, 0), 2)</f>
        <v>3</v>
      </c>
      <c r="AED12">
        <v>2</v>
      </c>
      <c r="AEE12">
        <v>2</v>
      </c>
      <c r="AEF12" s="5">
        <v>2</v>
      </c>
      <c r="AEG12">
        <f t="shared" si="7"/>
        <v>3</v>
      </c>
      <c r="AEH12" s="5">
        <v>2</v>
      </c>
      <c r="AEI12">
        <f t="shared" si="8"/>
        <v>3</v>
      </c>
      <c r="AEJ12" s="6">
        <f t="shared" si="55"/>
        <v>58</v>
      </c>
      <c r="AEK12">
        <v>2</v>
      </c>
      <c r="AEL12" s="1">
        <v>45518.415972222225</v>
      </c>
      <c r="AEM12">
        <v>0</v>
      </c>
      <c r="AER12">
        <v>0</v>
      </c>
      <c r="AES12">
        <v>0</v>
      </c>
      <c r="AET12">
        <v>0</v>
      </c>
      <c r="AEU12">
        <v>0</v>
      </c>
      <c r="AEV12">
        <v>0</v>
      </c>
      <c r="AEX12">
        <v>2</v>
      </c>
    </row>
    <row r="13" spans="1:830">
      <c r="A13">
        <v>130</v>
      </c>
      <c r="B13" t="s">
        <v>1176</v>
      </c>
      <c r="C13">
        <v>2</v>
      </c>
      <c r="D13">
        <v>2</v>
      </c>
      <c r="E13">
        <v>55</v>
      </c>
      <c r="F13">
        <v>67</v>
      </c>
      <c r="G13">
        <v>145</v>
      </c>
      <c r="H13">
        <v>0</v>
      </c>
      <c r="I13">
        <v>3</v>
      </c>
      <c r="K13" t="s">
        <v>259</v>
      </c>
      <c r="L13">
        <v>2</v>
      </c>
      <c r="M13" s="1">
        <v>45488.443749999999</v>
      </c>
      <c r="N13">
        <v>8</v>
      </c>
      <c r="O13">
        <v>0</v>
      </c>
      <c r="Q13">
        <v>0</v>
      </c>
      <c r="R13">
        <v>1</v>
      </c>
      <c r="S13">
        <v>0</v>
      </c>
      <c r="T13">
        <v>0</v>
      </c>
      <c r="U13">
        <v>0</v>
      </c>
      <c r="V13">
        <v>0</v>
      </c>
      <c r="W13">
        <v>0</v>
      </c>
      <c r="X13">
        <v>0</v>
      </c>
      <c r="Y13">
        <v>0</v>
      </c>
      <c r="Z13">
        <v>0</v>
      </c>
      <c r="AA13">
        <v>0</v>
      </c>
      <c r="AB13" t="s">
        <v>208</v>
      </c>
      <c r="AC13">
        <v>2</v>
      </c>
      <c r="AD13" s="1">
        <v>45488.444444444445</v>
      </c>
      <c r="AE13" s="5">
        <v>3</v>
      </c>
      <c r="AF13">
        <f t="shared" si="9"/>
        <v>2</v>
      </c>
      <c r="AG13">
        <v>4</v>
      </c>
      <c r="AH13" s="5">
        <v>2</v>
      </c>
      <c r="AI13">
        <f t="shared" si="10"/>
        <v>3</v>
      </c>
      <c r="AJ13">
        <v>4</v>
      </c>
      <c r="AK13">
        <v>2</v>
      </c>
      <c r="AL13" s="5">
        <v>1</v>
      </c>
      <c r="AM13">
        <f t="shared" si="11"/>
        <v>4</v>
      </c>
      <c r="AN13" s="5">
        <v>2</v>
      </c>
      <c r="AO13">
        <f t="shared" si="12"/>
        <v>3</v>
      </c>
      <c r="AP13">
        <v>2</v>
      </c>
      <c r="AQ13">
        <v>2</v>
      </c>
      <c r="AR13" s="5">
        <v>2</v>
      </c>
      <c r="AS13">
        <f t="shared" si="13"/>
        <v>3</v>
      </c>
      <c r="AT13">
        <v>1</v>
      </c>
      <c r="AU13">
        <v>1</v>
      </c>
      <c r="AV13" s="5">
        <v>2</v>
      </c>
      <c r="AW13">
        <f t="shared" si="14"/>
        <v>3</v>
      </c>
      <c r="AX13" s="5">
        <v>1</v>
      </c>
      <c r="AY13">
        <f t="shared" si="15"/>
        <v>4</v>
      </c>
      <c r="AZ13">
        <v>3</v>
      </c>
      <c r="BA13" s="5">
        <v>2</v>
      </c>
      <c r="BB13">
        <f t="shared" si="16"/>
        <v>3</v>
      </c>
      <c r="BC13">
        <v>4</v>
      </c>
      <c r="BD13">
        <v>4</v>
      </c>
      <c r="BE13" s="5">
        <v>4</v>
      </c>
      <c r="BF13">
        <f t="shared" si="17"/>
        <v>1</v>
      </c>
      <c r="BG13">
        <v>2</v>
      </c>
      <c r="BH13" s="6">
        <f t="shared" si="18"/>
        <v>55</v>
      </c>
      <c r="BI13">
        <v>2</v>
      </c>
      <c r="BJ13" s="1">
        <v>45488.445833333331</v>
      </c>
      <c r="BK13">
        <v>14</v>
      </c>
      <c r="BL13">
        <v>3</v>
      </c>
      <c r="BM13">
        <v>1</v>
      </c>
      <c r="BQ13" s="2">
        <v>45464</v>
      </c>
      <c r="BU13">
        <v>28</v>
      </c>
      <c r="BV13">
        <v>7</v>
      </c>
      <c r="BW13">
        <v>1</v>
      </c>
      <c r="BX13">
        <v>2</v>
      </c>
      <c r="BY13" s="1">
        <v>45488.447222222225</v>
      </c>
      <c r="BZ13">
        <v>3</v>
      </c>
      <c r="CA13">
        <v>2</v>
      </c>
      <c r="CB13">
        <v>3</v>
      </c>
      <c r="CC13">
        <v>4</v>
      </c>
      <c r="CD13">
        <v>4</v>
      </c>
      <c r="CE13">
        <v>2</v>
      </c>
      <c r="CF13">
        <v>4</v>
      </c>
      <c r="CG13">
        <v>3</v>
      </c>
      <c r="CH13">
        <v>3</v>
      </c>
      <c r="CI13">
        <v>4</v>
      </c>
      <c r="CJ13">
        <v>2</v>
      </c>
      <c r="CK13">
        <v>3</v>
      </c>
      <c r="CL13" s="5">
        <v>2</v>
      </c>
      <c r="CM13">
        <f t="shared" si="19"/>
        <v>3</v>
      </c>
      <c r="CN13">
        <v>2</v>
      </c>
      <c r="CO13">
        <v>4</v>
      </c>
      <c r="CP13">
        <v>1</v>
      </c>
      <c r="CQ13">
        <v>1</v>
      </c>
      <c r="CR13" s="5">
        <v>3</v>
      </c>
      <c r="CS13">
        <f t="shared" si="20"/>
        <v>2</v>
      </c>
      <c r="CT13">
        <v>3</v>
      </c>
      <c r="CU13">
        <v>3</v>
      </c>
      <c r="CV13" s="6">
        <f t="shared" si="21"/>
        <v>8</v>
      </c>
      <c r="CW13" s="6">
        <f t="shared" si="22"/>
        <v>10</v>
      </c>
      <c r="CX13" s="6">
        <f t="shared" si="23"/>
        <v>15</v>
      </c>
      <c r="CY13" s="6">
        <f t="shared" si="24"/>
        <v>33</v>
      </c>
      <c r="CZ13" s="6">
        <f t="shared" si="25"/>
        <v>23</v>
      </c>
      <c r="DA13">
        <v>2</v>
      </c>
      <c r="DB13" s="1">
        <v>45488.45</v>
      </c>
      <c r="DC13">
        <v>0</v>
      </c>
      <c r="DD13">
        <v>0</v>
      </c>
      <c r="DE13">
        <v>0</v>
      </c>
      <c r="DF13">
        <v>0</v>
      </c>
      <c r="DG13">
        <v>1</v>
      </c>
      <c r="DH13">
        <v>0</v>
      </c>
      <c r="DI13">
        <v>0</v>
      </c>
      <c r="DJ13">
        <v>0</v>
      </c>
      <c r="DK13">
        <v>0</v>
      </c>
      <c r="DL13">
        <v>1</v>
      </c>
      <c r="DM13">
        <v>1</v>
      </c>
      <c r="DN13">
        <v>0</v>
      </c>
      <c r="DO13">
        <v>1</v>
      </c>
      <c r="DP13">
        <v>0</v>
      </c>
      <c r="DQ13">
        <v>0</v>
      </c>
      <c r="DR13">
        <v>1</v>
      </c>
      <c r="DS13">
        <v>0</v>
      </c>
      <c r="DT13">
        <v>0</v>
      </c>
      <c r="DU13">
        <v>0</v>
      </c>
      <c r="DV13">
        <v>0</v>
      </c>
      <c r="DW13">
        <v>0</v>
      </c>
      <c r="DX13">
        <v>0</v>
      </c>
      <c r="DY13">
        <v>0</v>
      </c>
      <c r="DZ13">
        <v>0</v>
      </c>
      <c r="EA13">
        <v>1</v>
      </c>
      <c r="EB13">
        <v>0</v>
      </c>
      <c r="EC13">
        <v>0</v>
      </c>
      <c r="ED13">
        <v>1</v>
      </c>
      <c r="EE13">
        <v>0</v>
      </c>
      <c r="EF13">
        <v>0</v>
      </c>
      <c r="EG13">
        <v>0</v>
      </c>
      <c r="EH13">
        <v>0</v>
      </c>
      <c r="EI13">
        <v>1</v>
      </c>
      <c r="EJ13">
        <v>0</v>
      </c>
      <c r="EK13">
        <v>0</v>
      </c>
      <c r="EL13">
        <v>0</v>
      </c>
      <c r="EM13">
        <v>0</v>
      </c>
      <c r="EN13">
        <v>1</v>
      </c>
      <c r="EO13">
        <v>0</v>
      </c>
      <c r="EP13">
        <v>0</v>
      </c>
      <c r="EQ13">
        <v>1</v>
      </c>
      <c r="ER13">
        <v>1</v>
      </c>
      <c r="ES13">
        <v>1</v>
      </c>
      <c r="ET13">
        <v>0</v>
      </c>
      <c r="EU13">
        <v>0</v>
      </c>
      <c r="EV13">
        <v>0</v>
      </c>
      <c r="EW13">
        <v>0</v>
      </c>
      <c r="EX13">
        <v>0</v>
      </c>
      <c r="EY13">
        <v>0</v>
      </c>
      <c r="EZ13">
        <v>1</v>
      </c>
      <c r="FA13">
        <v>0</v>
      </c>
      <c r="FB13">
        <v>0</v>
      </c>
      <c r="FC13">
        <v>1</v>
      </c>
      <c r="FD13">
        <v>0</v>
      </c>
      <c r="FE13">
        <v>0</v>
      </c>
      <c r="FF13">
        <v>0</v>
      </c>
      <c r="FG13">
        <v>1</v>
      </c>
      <c r="FH13">
        <v>0</v>
      </c>
      <c r="FI13">
        <v>0</v>
      </c>
      <c r="FJ13">
        <v>0</v>
      </c>
      <c r="FK13">
        <v>0</v>
      </c>
      <c r="FL13">
        <v>0</v>
      </c>
      <c r="FM13">
        <v>0</v>
      </c>
      <c r="FN13">
        <v>0</v>
      </c>
      <c r="FO13">
        <v>1</v>
      </c>
      <c r="FP13">
        <v>0</v>
      </c>
      <c r="FQ13">
        <v>0</v>
      </c>
      <c r="FR13">
        <v>0</v>
      </c>
      <c r="FS13">
        <v>0</v>
      </c>
      <c r="FT13">
        <v>1</v>
      </c>
      <c r="FU13">
        <v>0</v>
      </c>
      <c r="FV13">
        <v>0</v>
      </c>
      <c r="FW13">
        <v>0</v>
      </c>
      <c r="FX13">
        <v>0</v>
      </c>
      <c r="FY13">
        <v>1</v>
      </c>
      <c r="FZ13">
        <v>0</v>
      </c>
      <c r="GA13">
        <v>0</v>
      </c>
      <c r="GB13">
        <v>0</v>
      </c>
      <c r="GC13">
        <v>0</v>
      </c>
      <c r="GD13">
        <v>1</v>
      </c>
      <c r="GE13">
        <v>1</v>
      </c>
      <c r="GF13">
        <v>0</v>
      </c>
      <c r="GG13">
        <v>0</v>
      </c>
      <c r="GH13">
        <v>0</v>
      </c>
      <c r="GI13">
        <v>0</v>
      </c>
      <c r="GJ13" s="6">
        <f t="shared" si="26"/>
        <v>20</v>
      </c>
      <c r="GK13">
        <v>2</v>
      </c>
      <c r="GL13" s="1">
        <v>45488.451388888891</v>
      </c>
      <c r="GM13">
        <v>1</v>
      </c>
      <c r="GN13">
        <v>2</v>
      </c>
      <c r="GO13">
        <v>2</v>
      </c>
      <c r="GP13">
        <v>2</v>
      </c>
      <c r="GQ13" s="5">
        <v>2</v>
      </c>
      <c r="GR13">
        <f t="shared" si="27"/>
        <v>3</v>
      </c>
      <c r="GS13">
        <v>3</v>
      </c>
      <c r="GT13">
        <v>3</v>
      </c>
      <c r="GU13">
        <v>2</v>
      </c>
      <c r="GV13" s="5">
        <v>3</v>
      </c>
      <c r="GW13">
        <f t="shared" si="0"/>
        <v>2</v>
      </c>
      <c r="GX13">
        <v>3</v>
      </c>
      <c r="GY13">
        <v>2</v>
      </c>
      <c r="GZ13">
        <v>2</v>
      </c>
      <c r="HA13" s="5">
        <v>3</v>
      </c>
      <c r="HB13">
        <f t="shared" si="1"/>
        <v>2</v>
      </c>
      <c r="HC13">
        <v>3</v>
      </c>
      <c r="HD13">
        <v>2</v>
      </c>
      <c r="HE13">
        <v>2</v>
      </c>
      <c r="HF13" s="5">
        <v>3</v>
      </c>
      <c r="HG13">
        <f t="shared" si="2"/>
        <v>2</v>
      </c>
      <c r="HH13">
        <v>2</v>
      </c>
      <c r="HI13" s="6">
        <f t="shared" si="28"/>
        <v>15</v>
      </c>
      <c r="HJ13" s="6">
        <f t="shared" si="29"/>
        <v>13</v>
      </c>
      <c r="HK13" s="6">
        <f t="shared" si="30"/>
        <v>39</v>
      </c>
      <c r="HL13">
        <v>2</v>
      </c>
      <c r="HM13" s="1">
        <v>45488.45208333333</v>
      </c>
      <c r="HN13">
        <v>6</v>
      </c>
      <c r="HO13">
        <v>13</v>
      </c>
      <c r="HP13">
        <v>12</v>
      </c>
      <c r="HQ13">
        <v>2</v>
      </c>
      <c r="HR13" s="1">
        <v>45489.597222222219</v>
      </c>
      <c r="HS13">
        <v>0</v>
      </c>
      <c r="HT13">
        <v>0</v>
      </c>
      <c r="HU13">
        <v>1</v>
      </c>
      <c r="HV13">
        <v>1</v>
      </c>
      <c r="HW13">
        <v>0</v>
      </c>
      <c r="HX13">
        <v>0</v>
      </c>
      <c r="HY13">
        <v>0</v>
      </c>
      <c r="HZ13">
        <v>0</v>
      </c>
      <c r="IA13">
        <v>0</v>
      </c>
      <c r="IB13">
        <v>0</v>
      </c>
      <c r="IC13">
        <v>0</v>
      </c>
      <c r="ID13">
        <v>1</v>
      </c>
      <c r="IE13">
        <v>0</v>
      </c>
      <c r="IF13">
        <v>2</v>
      </c>
      <c r="IG13">
        <v>1</v>
      </c>
      <c r="IH13">
        <v>0</v>
      </c>
      <c r="II13">
        <v>0</v>
      </c>
      <c r="IJ13">
        <v>0</v>
      </c>
      <c r="IK13">
        <v>0</v>
      </c>
      <c r="IL13">
        <v>1</v>
      </c>
      <c r="IM13">
        <v>0</v>
      </c>
      <c r="IN13" s="6">
        <f t="shared" si="31"/>
        <v>7</v>
      </c>
      <c r="IO13">
        <v>2</v>
      </c>
      <c r="IP13" s="1">
        <v>45489.600694444445</v>
      </c>
      <c r="IQ13">
        <v>1</v>
      </c>
      <c r="IR13">
        <v>1</v>
      </c>
      <c r="IS13">
        <v>0</v>
      </c>
      <c r="IT13">
        <v>0</v>
      </c>
      <c r="IU13">
        <v>1</v>
      </c>
      <c r="IV13">
        <v>1</v>
      </c>
      <c r="IW13">
        <v>0</v>
      </c>
      <c r="IX13">
        <v>1</v>
      </c>
      <c r="IY13">
        <v>0</v>
      </c>
      <c r="IZ13">
        <v>0</v>
      </c>
      <c r="JA13">
        <v>1</v>
      </c>
      <c r="JB13">
        <v>0</v>
      </c>
      <c r="JC13">
        <v>1</v>
      </c>
      <c r="JD13">
        <v>1</v>
      </c>
      <c r="JE13">
        <v>1</v>
      </c>
      <c r="JF13">
        <v>0</v>
      </c>
      <c r="JG13">
        <v>1</v>
      </c>
      <c r="JH13">
        <v>1</v>
      </c>
      <c r="JI13">
        <v>1</v>
      </c>
      <c r="JJ13">
        <v>0</v>
      </c>
      <c r="JK13" t="s">
        <v>260</v>
      </c>
      <c r="JL13">
        <v>2</v>
      </c>
      <c r="JM13">
        <v>2</v>
      </c>
      <c r="JN13">
        <v>1</v>
      </c>
      <c r="JO13">
        <v>0</v>
      </c>
      <c r="JP13">
        <v>1</v>
      </c>
      <c r="JQ13">
        <v>1</v>
      </c>
      <c r="JR13" t="s">
        <v>261</v>
      </c>
      <c r="JS13" t="s">
        <v>262</v>
      </c>
      <c r="JT13" s="6">
        <f t="shared" si="32"/>
        <v>12</v>
      </c>
      <c r="JU13" s="6">
        <v>15</v>
      </c>
      <c r="JV13" s="6">
        <f t="shared" si="33"/>
        <v>5</v>
      </c>
      <c r="JW13" s="6">
        <f t="shared" si="34"/>
        <v>2</v>
      </c>
      <c r="JX13">
        <v>2</v>
      </c>
      <c r="JY13" s="1">
        <v>45489.600694444445</v>
      </c>
      <c r="JZ13">
        <v>0</v>
      </c>
      <c r="KA13">
        <v>0</v>
      </c>
      <c r="KB13">
        <v>0</v>
      </c>
      <c r="KC13" s="6">
        <f t="shared" si="35"/>
        <v>0</v>
      </c>
      <c r="KD13">
        <v>2</v>
      </c>
      <c r="KE13" s="1">
        <v>45489.601388888892</v>
      </c>
      <c r="KF13">
        <v>53.5</v>
      </c>
      <c r="KG13">
        <v>2.2999999999999998</v>
      </c>
      <c r="KP13">
        <v>3</v>
      </c>
      <c r="KQ13">
        <v>54.8</v>
      </c>
      <c r="KR13">
        <v>4.2</v>
      </c>
      <c r="KS13">
        <v>1</v>
      </c>
      <c r="UH13">
        <v>2</v>
      </c>
      <c r="UI13">
        <v>53.5</v>
      </c>
      <c r="UJ13">
        <v>2.2999999999999998</v>
      </c>
      <c r="UK13">
        <v>4</v>
      </c>
      <c r="UX13">
        <v>2</v>
      </c>
      <c r="UY13">
        <v>54.7</v>
      </c>
      <c r="UZ13">
        <v>2.6</v>
      </c>
      <c r="VA13">
        <v>3</v>
      </c>
      <c r="XN13" s="6">
        <v>3</v>
      </c>
      <c r="XO13" s="6">
        <v>56.6</v>
      </c>
      <c r="XP13" s="6">
        <v>3</v>
      </c>
      <c r="XQ13" s="6">
        <v>2</v>
      </c>
      <c r="YX13" s="6">
        <v>3</v>
      </c>
      <c r="YY13" s="6">
        <v>56.6</v>
      </c>
      <c r="YZ13" s="6">
        <v>3</v>
      </c>
      <c r="ZA13" s="6">
        <v>2</v>
      </c>
      <c r="ZB13">
        <v>2</v>
      </c>
      <c r="ZC13" s="1">
        <v>45086.661111111112</v>
      </c>
      <c r="ZD13">
        <v>2</v>
      </c>
      <c r="ZE13">
        <v>2</v>
      </c>
      <c r="ZF13">
        <v>1</v>
      </c>
      <c r="ZG13">
        <v>2</v>
      </c>
      <c r="ZH13">
        <v>2</v>
      </c>
      <c r="ZI13">
        <v>1</v>
      </c>
      <c r="ZJ13">
        <v>1</v>
      </c>
      <c r="ZK13">
        <v>1</v>
      </c>
      <c r="ZL13">
        <v>3</v>
      </c>
      <c r="ZM13">
        <v>3</v>
      </c>
      <c r="ZN13">
        <v>1</v>
      </c>
      <c r="ZO13">
        <v>3</v>
      </c>
      <c r="ZP13">
        <v>1</v>
      </c>
      <c r="ZQ13">
        <v>2</v>
      </c>
      <c r="ZR13">
        <v>3</v>
      </c>
      <c r="ZS13">
        <v>4</v>
      </c>
      <c r="ZT13">
        <v>3</v>
      </c>
      <c r="ZU13">
        <v>3</v>
      </c>
      <c r="ZV13">
        <v>4</v>
      </c>
      <c r="ZW13">
        <v>1</v>
      </c>
      <c r="ZX13" s="6">
        <f t="shared" si="36"/>
        <v>27</v>
      </c>
      <c r="ZY13" s="6">
        <f t="shared" si="37"/>
        <v>16</v>
      </c>
      <c r="ZZ13">
        <v>2</v>
      </c>
      <c r="AAA13" s="1">
        <v>45489.602777777778</v>
      </c>
      <c r="AAB13">
        <v>0</v>
      </c>
      <c r="AAC13">
        <v>1</v>
      </c>
      <c r="AAD13">
        <v>2</v>
      </c>
      <c r="AAE13">
        <v>0</v>
      </c>
      <c r="AAF13">
        <v>4</v>
      </c>
      <c r="AAG13">
        <v>2</v>
      </c>
      <c r="AAH13">
        <v>0</v>
      </c>
      <c r="AAI13">
        <v>1</v>
      </c>
      <c r="AAJ13">
        <v>0</v>
      </c>
      <c r="AAK13">
        <v>0</v>
      </c>
      <c r="AAL13">
        <v>0</v>
      </c>
      <c r="AAM13">
        <v>0</v>
      </c>
      <c r="AAN13">
        <v>0</v>
      </c>
      <c r="AAO13">
        <v>0</v>
      </c>
      <c r="AAP13">
        <v>1</v>
      </c>
      <c r="AAQ13">
        <v>0</v>
      </c>
      <c r="AAR13">
        <v>0</v>
      </c>
      <c r="AAS13">
        <v>0</v>
      </c>
      <c r="AAT13" s="6">
        <f t="shared" si="38"/>
        <v>0</v>
      </c>
      <c r="AAU13" s="6">
        <f t="shared" si="39"/>
        <v>6</v>
      </c>
      <c r="AAV13" s="6">
        <f t="shared" si="40"/>
        <v>5</v>
      </c>
      <c r="AAW13" s="6">
        <f t="shared" si="41"/>
        <v>11</v>
      </c>
      <c r="AAX13">
        <v>2</v>
      </c>
      <c r="AAY13" s="1">
        <v>45489.604166666664</v>
      </c>
      <c r="AAZ13">
        <v>1</v>
      </c>
      <c r="ABA13">
        <v>3</v>
      </c>
      <c r="ABB13">
        <v>1</v>
      </c>
      <c r="ABC13">
        <v>2</v>
      </c>
      <c r="ABD13">
        <v>2</v>
      </c>
      <c r="ABE13">
        <v>14</v>
      </c>
      <c r="ABF13">
        <v>1</v>
      </c>
      <c r="ABG13">
        <v>5</v>
      </c>
      <c r="ABH13">
        <v>0</v>
      </c>
      <c r="ABI13">
        <v>0</v>
      </c>
      <c r="ABJ13">
        <v>0</v>
      </c>
      <c r="ABK13">
        <v>3</v>
      </c>
      <c r="ABL13">
        <v>3</v>
      </c>
      <c r="ABM13">
        <v>3</v>
      </c>
      <c r="ABN13">
        <v>0</v>
      </c>
      <c r="ABO13" s="6">
        <f t="shared" si="42"/>
        <v>2</v>
      </c>
      <c r="ABP13" s="6">
        <f t="shared" si="43"/>
        <v>1.7142857142857142</v>
      </c>
      <c r="ABQ13">
        <v>2</v>
      </c>
      <c r="ABR13" s="1">
        <v>45489.606249999997</v>
      </c>
      <c r="ABS13">
        <v>1</v>
      </c>
      <c r="ABT13">
        <v>0</v>
      </c>
      <c r="ABU13">
        <v>1</v>
      </c>
      <c r="ABV13">
        <v>0</v>
      </c>
      <c r="ABW13">
        <v>0</v>
      </c>
      <c r="ABX13">
        <v>0</v>
      </c>
      <c r="ABY13">
        <v>0</v>
      </c>
      <c r="ABZ13">
        <v>1</v>
      </c>
      <c r="ACA13">
        <v>0</v>
      </c>
      <c r="ACB13">
        <v>0</v>
      </c>
      <c r="ACC13">
        <v>0</v>
      </c>
      <c r="ACD13">
        <v>0</v>
      </c>
      <c r="ACE13">
        <v>2</v>
      </c>
      <c r="ACF13">
        <v>0</v>
      </c>
      <c r="ACG13">
        <v>0</v>
      </c>
      <c r="ACH13">
        <v>1</v>
      </c>
      <c r="ACI13">
        <v>1</v>
      </c>
      <c r="ACJ13">
        <v>1</v>
      </c>
      <c r="ACK13">
        <v>1</v>
      </c>
      <c r="ACL13">
        <v>1</v>
      </c>
      <c r="ACM13">
        <v>1</v>
      </c>
      <c r="ACN13">
        <v>1</v>
      </c>
      <c r="ACO13">
        <v>1</v>
      </c>
      <c r="ACP13">
        <v>0</v>
      </c>
      <c r="ACQ13">
        <v>0</v>
      </c>
      <c r="ACR13">
        <v>2</v>
      </c>
      <c r="ACS13">
        <v>0</v>
      </c>
      <c r="ACT13">
        <v>0</v>
      </c>
      <c r="ACU13">
        <v>1</v>
      </c>
      <c r="ACV13">
        <v>0</v>
      </c>
      <c r="ACW13" s="6">
        <f t="shared" si="44"/>
        <v>3</v>
      </c>
      <c r="ACX13" s="6">
        <f t="shared" si="45"/>
        <v>2</v>
      </c>
      <c r="ACY13" s="6">
        <f t="shared" si="46"/>
        <v>0</v>
      </c>
      <c r="ACZ13" s="6">
        <f t="shared" si="47"/>
        <v>6</v>
      </c>
      <c r="ADA13" s="6">
        <f t="shared" si="48"/>
        <v>4</v>
      </c>
      <c r="ADB13" s="6">
        <f t="shared" si="49"/>
        <v>1</v>
      </c>
      <c r="ADC13" s="6">
        <f t="shared" si="50"/>
        <v>14</v>
      </c>
      <c r="ADD13">
        <v>2</v>
      </c>
      <c r="ADE13" s="1">
        <v>45489.606944444444</v>
      </c>
      <c r="ADF13" s="5">
        <v>3</v>
      </c>
      <c r="ADG13">
        <f t="shared" si="51"/>
        <v>2</v>
      </c>
      <c r="ADH13" s="5">
        <v>4</v>
      </c>
      <c r="ADI13">
        <f t="shared" si="52"/>
        <v>1</v>
      </c>
      <c r="ADJ13">
        <v>2</v>
      </c>
      <c r="ADK13">
        <v>1</v>
      </c>
      <c r="ADL13" s="5">
        <v>4</v>
      </c>
      <c r="ADM13">
        <f t="shared" si="3"/>
        <v>1</v>
      </c>
      <c r="ADN13">
        <v>1</v>
      </c>
      <c r="ADO13">
        <v>2</v>
      </c>
      <c r="ADP13" s="5">
        <v>3</v>
      </c>
      <c r="ADQ13">
        <f t="shared" si="4"/>
        <v>2</v>
      </c>
      <c r="ADR13">
        <v>1</v>
      </c>
      <c r="ADS13" s="5">
        <v>4</v>
      </c>
      <c r="ADT13">
        <f t="shared" si="5"/>
        <v>1</v>
      </c>
      <c r="ADU13" s="5">
        <v>4</v>
      </c>
      <c r="ADV13">
        <f t="shared" ref="ADV13" si="74">INDEX($AD$48:$AE$51, MATCH(ADU13, $AD$48:$AD$51, 0), 2)</f>
        <v>1</v>
      </c>
      <c r="ADW13">
        <v>2</v>
      </c>
      <c r="ADX13">
        <v>2</v>
      </c>
      <c r="ADY13">
        <v>1</v>
      </c>
      <c r="ADZ13" s="5">
        <v>3</v>
      </c>
      <c r="AEA13">
        <f t="shared" si="6"/>
        <v>2</v>
      </c>
      <c r="AEB13" s="5">
        <v>3</v>
      </c>
      <c r="AEC13">
        <f t="shared" ref="AEC13" si="75">INDEX($AD$48:$AE$51, MATCH(AEB13, $AD$48:$AD$51, 0), 2)</f>
        <v>2</v>
      </c>
      <c r="AED13">
        <v>2</v>
      </c>
      <c r="AEE13">
        <v>1</v>
      </c>
      <c r="AEF13" s="5">
        <v>4</v>
      </c>
      <c r="AEG13">
        <f t="shared" si="7"/>
        <v>1</v>
      </c>
      <c r="AEH13" s="5">
        <v>3</v>
      </c>
      <c r="AEI13">
        <f t="shared" si="8"/>
        <v>2</v>
      </c>
      <c r="AEJ13" s="6">
        <f t="shared" si="55"/>
        <v>32</v>
      </c>
      <c r="AEK13">
        <v>2</v>
      </c>
      <c r="AEL13" s="1">
        <v>45489.606944444444</v>
      </c>
      <c r="AEM13">
        <v>0</v>
      </c>
      <c r="AER13">
        <v>0</v>
      </c>
      <c r="AES13">
        <v>0</v>
      </c>
      <c r="AET13">
        <v>0</v>
      </c>
      <c r="AEU13">
        <v>0</v>
      </c>
      <c r="AEV13">
        <v>0</v>
      </c>
      <c r="AEX13">
        <v>2</v>
      </c>
    </row>
    <row r="14" spans="1:830">
      <c r="A14">
        <v>151</v>
      </c>
      <c r="B14" t="s">
        <v>1188</v>
      </c>
      <c r="C14">
        <v>2</v>
      </c>
      <c r="D14">
        <v>2</v>
      </c>
      <c r="E14">
        <v>31</v>
      </c>
      <c r="F14">
        <v>63</v>
      </c>
      <c r="G14">
        <v>145</v>
      </c>
      <c r="H14">
        <v>0</v>
      </c>
      <c r="I14">
        <v>3</v>
      </c>
      <c r="K14" t="s">
        <v>349</v>
      </c>
      <c r="L14">
        <v>2</v>
      </c>
      <c r="M14" s="1">
        <v>45533.802083333336</v>
      </c>
      <c r="N14">
        <v>7</v>
      </c>
      <c r="O14">
        <v>0</v>
      </c>
      <c r="Q14">
        <v>0</v>
      </c>
      <c r="R14">
        <v>1</v>
      </c>
      <c r="S14">
        <v>0</v>
      </c>
      <c r="T14">
        <v>0</v>
      </c>
      <c r="U14">
        <v>0</v>
      </c>
      <c r="V14">
        <v>0</v>
      </c>
      <c r="W14">
        <v>0</v>
      </c>
      <c r="X14">
        <v>0</v>
      </c>
      <c r="Y14">
        <v>0</v>
      </c>
      <c r="Z14">
        <v>0</v>
      </c>
      <c r="AA14">
        <v>0</v>
      </c>
      <c r="AB14" t="s">
        <v>208</v>
      </c>
      <c r="AC14">
        <v>2</v>
      </c>
      <c r="AD14" s="1">
        <v>45533.806250000001</v>
      </c>
      <c r="AE14" s="5">
        <v>3</v>
      </c>
      <c r="AF14">
        <f t="shared" si="9"/>
        <v>2</v>
      </c>
      <c r="AG14">
        <v>2</v>
      </c>
      <c r="AH14" s="5">
        <v>3</v>
      </c>
      <c r="AI14">
        <f t="shared" si="10"/>
        <v>2</v>
      </c>
      <c r="AJ14">
        <v>2</v>
      </c>
      <c r="AK14">
        <v>1</v>
      </c>
      <c r="AL14" s="5">
        <v>2</v>
      </c>
      <c r="AM14">
        <f t="shared" si="11"/>
        <v>3</v>
      </c>
      <c r="AN14" s="5">
        <v>2</v>
      </c>
      <c r="AO14">
        <f t="shared" si="12"/>
        <v>3</v>
      </c>
      <c r="AP14">
        <v>2</v>
      </c>
      <c r="AQ14">
        <v>2</v>
      </c>
      <c r="AR14" s="5">
        <v>3</v>
      </c>
      <c r="AS14">
        <f t="shared" si="13"/>
        <v>2</v>
      </c>
      <c r="AT14">
        <v>2</v>
      </c>
      <c r="AU14">
        <v>1</v>
      </c>
      <c r="AV14" s="5">
        <v>2</v>
      </c>
      <c r="AW14">
        <f t="shared" si="14"/>
        <v>3</v>
      </c>
      <c r="AX14" s="5">
        <v>3</v>
      </c>
      <c r="AY14">
        <f t="shared" si="15"/>
        <v>2</v>
      </c>
      <c r="AZ14">
        <v>1</v>
      </c>
      <c r="BA14" s="5">
        <v>3</v>
      </c>
      <c r="BB14">
        <f t="shared" si="16"/>
        <v>2</v>
      </c>
      <c r="BC14">
        <v>2</v>
      </c>
      <c r="BD14">
        <v>1</v>
      </c>
      <c r="BE14" s="5">
        <v>3</v>
      </c>
      <c r="BF14">
        <f t="shared" si="17"/>
        <v>2</v>
      </c>
      <c r="BG14">
        <v>1</v>
      </c>
      <c r="BH14" s="6">
        <f t="shared" si="18"/>
        <v>38</v>
      </c>
      <c r="BI14">
        <v>2</v>
      </c>
      <c r="BJ14" s="1">
        <v>45533.808333333334</v>
      </c>
      <c r="BK14">
        <v>12</v>
      </c>
      <c r="BL14">
        <v>2</v>
      </c>
      <c r="BM14">
        <v>1</v>
      </c>
      <c r="BQ14" s="2">
        <v>45513</v>
      </c>
      <c r="BU14">
        <v>28</v>
      </c>
      <c r="BV14">
        <v>5</v>
      </c>
      <c r="BW14">
        <v>1</v>
      </c>
      <c r="BX14">
        <v>2</v>
      </c>
      <c r="BY14" s="1">
        <v>45533.80972222222</v>
      </c>
      <c r="BZ14">
        <v>4</v>
      </c>
      <c r="CA14">
        <v>3</v>
      </c>
      <c r="CB14">
        <v>4</v>
      </c>
      <c r="CC14">
        <v>3</v>
      </c>
      <c r="CD14">
        <v>4</v>
      </c>
      <c r="CE14">
        <v>3</v>
      </c>
      <c r="CF14">
        <v>4</v>
      </c>
      <c r="CG14">
        <v>4</v>
      </c>
      <c r="CH14">
        <v>4</v>
      </c>
      <c r="CI14">
        <v>2</v>
      </c>
      <c r="CJ14">
        <v>4</v>
      </c>
      <c r="CK14">
        <v>4</v>
      </c>
      <c r="CL14" s="5">
        <v>2</v>
      </c>
      <c r="CM14">
        <f t="shared" si="19"/>
        <v>3</v>
      </c>
      <c r="CN14">
        <v>4</v>
      </c>
      <c r="CO14">
        <v>3</v>
      </c>
      <c r="CP14">
        <v>4</v>
      </c>
      <c r="CQ14">
        <v>3</v>
      </c>
      <c r="CR14" s="5">
        <v>3</v>
      </c>
      <c r="CS14">
        <f t="shared" si="20"/>
        <v>2</v>
      </c>
      <c r="CT14">
        <v>4</v>
      </c>
      <c r="CU14">
        <v>4</v>
      </c>
      <c r="CV14" s="6">
        <f>SUM(CB14,CE14,CN14,CQ14)</f>
        <v>14</v>
      </c>
      <c r="CW14" s="6">
        <f t="shared" si="22"/>
        <v>16</v>
      </c>
      <c r="CX14" s="6">
        <f t="shared" si="23"/>
        <v>20</v>
      </c>
      <c r="CY14" s="6">
        <f t="shared" si="24"/>
        <v>50</v>
      </c>
      <c r="CZ14" s="6">
        <f t="shared" si="25"/>
        <v>20</v>
      </c>
      <c r="DA14">
        <v>2</v>
      </c>
      <c r="DB14" s="1">
        <v>45533.811111111114</v>
      </c>
      <c r="DC14">
        <v>0</v>
      </c>
      <c r="DD14">
        <v>0</v>
      </c>
      <c r="DE14">
        <v>0</v>
      </c>
      <c r="DF14">
        <v>0</v>
      </c>
      <c r="DG14">
        <v>1</v>
      </c>
      <c r="DH14">
        <v>0</v>
      </c>
      <c r="DI14">
        <v>1</v>
      </c>
      <c r="DJ14">
        <v>0</v>
      </c>
      <c r="DK14">
        <v>0</v>
      </c>
      <c r="DL14">
        <v>0</v>
      </c>
      <c r="DM14">
        <v>1</v>
      </c>
      <c r="DN14">
        <v>0</v>
      </c>
      <c r="DO14">
        <v>0</v>
      </c>
      <c r="DP14">
        <v>0</v>
      </c>
      <c r="DQ14">
        <v>0</v>
      </c>
      <c r="DR14">
        <v>1</v>
      </c>
      <c r="DS14">
        <v>0</v>
      </c>
      <c r="DT14">
        <v>0</v>
      </c>
      <c r="DU14">
        <v>0</v>
      </c>
      <c r="DV14">
        <v>0</v>
      </c>
      <c r="DW14">
        <v>0</v>
      </c>
      <c r="DX14">
        <v>0</v>
      </c>
      <c r="DY14">
        <v>0</v>
      </c>
      <c r="DZ14">
        <v>0</v>
      </c>
      <c r="EA14">
        <v>1</v>
      </c>
      <c r="EB14">
        <v>0</v>
      </c>
      <c r="EC14">
        <v>0</v>
      </c>
      <c r="ED14">
        <v>0</v>
      </c>
      <c r="EE14">
        <v>0</v>
      </c>
      <c r="EF14">
        <v>1</v>
      </c>
      <c r="EG14">
        <v>0</v>
      </c>
      <c r="EH14">
        <v>0</v>
      </c>
      <c r="EI14">
        <v>0</v>
      </c>
      <c r="EJ14">
        <v>0</v>
      </c>
      <c r="EK14">
        <v>1</v>
      </c>
      <c r="EL14">
        <v>0</v>
      </c>
      <c r="EM14">
        <v>0</v>
      </c>
      <c r="EN14">
        <v>0</v>
      </c>
      <c r="EO14">
        <v>0</v>
      </c>
      <c r="EP14">
        <v>1</v>
      </c>
      <c r="EQ14">
        <v>0</v>
      </c>
      <c r="ER14">
        <v>0</v>
      </c>
      <c r="ES14">
        <v>0</v>
      </c>
      <c r="ET14">
        <v>0</v>
      </c>
      <c r="EU14">
        <v>1</v>
      </c>
      <c r="EV14">
        <v>0</v>
      </c>
      <c r="EW14">
        <v>0</v>
      </c>
      <c r="EX14">
        <v>0</v>
      </c>
      <c r="EY14">
        <v>0</v>
      </c>
      <c r="EZ14">
        <v>1</v>
      </c>
      <c r="FA14">
        <v>0</v>
      </c>
      <c r="FB14">
        <v>0</v>
      </c>
      <c r="FC14">
        <v>0</v>
      </c>
      <c r="FD14">
        <v>0</v>
      </c>
      <c r="FE14">
        <v>1</v>
      </c>
      <c r="FF14">
        <v>1</v>
      </c>
      <c r="FG14">
        <v>1</v>
      </c>
      <c r="FH14">
        <v>0</v>
      </c>
      <c r="FI14">
        <v>0</v>
      </c>
      <c r="FJ14">
        <v>0</v>
      </c>
      <c r="FK14">
        <v>0</v>
      </c>
      <c r="FL14">
        <v>0</v>
      </c>
      <c r="FM14">
        <v>0</v>
      </c>
      <c r="FN14">
        <v>0</v>
      </c>
      <c r="FO14">
        <v>1</v>
      </c>
      <c r="FP14">
        <v>0</v>
      </c>
      <c r="FQ14">
        <v>0</v>
      </c>
      <c r="FR14">
        <v>0</v>
      </c>
      <c r="FS14">
        <v>0</v>
      </c>
      <c r="FT14">
        <v>1</v>
      </c>
      <c r="FU14">
        <v>0</v>
      </c>
      <c r="FV14">
        <v>1</v>
      </c>
      <c r="FW14">
        <v>0</v>
      </c>
      <c r="FX14">
        <v>0</v>
      </c>
      <c r="FY14">
        <v>0</v>
      </c>
      <c r="FZ14">
        <v>0</v>
      </c>
      <c r="GA14">
        <v>0</v>
      </c>
      <c r="GB14">
        <v>0</v>
      </c>
      <c r="GC14">
        <v>0</v>
      </c>
      <c r="GD14">
        <v>1</v>
      </c>
      <c r="GE14">
        <v>1</v>
      </c>
      <c r="GF14">
        <v>1</v>
      </c>
      <c r="GG14">
        <v>0</v>
      </c>
      <c r="GH14">
        <v>0</v>
      </c>
      <c r="GI14">
        <v>0</v>
      </c>
      <c r="GJ14" s="6">
        <f t="shared" si="26"/>
        <v>19</v>
      </c>
      <c r="GK14">
        <v>2</v>
      </c>
      <c r="GL14" s="1">
        <v>45533.814583333333</v>
      </c>
      <c r="GM14">
        <v>1</v>
      </c>
      <c r="GN14">
        <v>3</v>
      </c>
      <c r="GO14">
        <v>3</v>
      </c>
      <c r="GP14">
        <v>2</v>
      </c>
      <c r="GQ14" s="5">
        <v>3</v>
      </c>
      <c r="GR14">
        <f t="shared" si="27"/>
        <v>2</v>
      </c>
      <c r="GS14">
        <v>4</v>
      </c>
      <c r="GT14">
        <v>3</v>
      </c>
      <c r="GU14">
        <v>2</v>
      </c>
      <c r="GV14" s="5">
        <v>3</v>
      </c>
      <c r="GW14">
        <f t="shared" si="0"/>
        <v>2</v>
      </c>
      <c r="GX14">
        <v>3</v>
      </c>
      <c r="GY14">
        <v>2</v>
      </c>
      <c r="GZ14">
        <v>3</v>
      </c>
      <c r="HA14" s="5">
        <v>3</v>
      </c>
      <c r="HB14">
        <f t="shared" si="1"/>
        <v>2</v>
      </c>
      <c r="HC14">
        <v>2</v>
      </c>
      <c r="HD14">
        <v>2</v>
      </c>
      <c r="HE14">
        <v>2</v>
      </c>
      <c r="HF14" s="5">
        <v>3</v>
      </c>
      <c r="HG14">
        <f t="shared" si="2"/>
        <v>2</v>
      </c>
      <c r="HH14">
        <v>3</v>
      </c>
      <c r="HI14" s="6">
        <f t="shared" si="28"/>
        <v>18</v>
      </c>
      <c r="HJ14" s="6">
        <f t="shared" si="29"/>
        <v>13</v>
      </c>
      <c r="HK14" s="6">
        <f t="shared" si="30"/>
        <v>42</v>
      </c>
      <c r="HL14">
        <v>2</v>
      </c>
      <c r="HM14" s="1">
        <v>45533.81527777778</v>
      </c>
      <c r="HN14">
        <v>6</v>
      </c>
      <c r="HO14">
        <v>6</v>
      </c>
      <c r="HP14">
        <v>6</v>
      </c>
      <c r="HQ14">
        <v>2</v>
      </c>
      <c r="HR14" s="1">
        <v>45541.618055555555</v>
      </c>
      <c r="HS14">
        <v>0</v>
      </c>
      <c r="HT14">
        <v>0</v>
      </c>
      <c r="HU14">
        <v>1</v>
      </c>
      <c r="HV14">
        <v>0</v>
      </c>
      <c r="HW14">
        <v>0</v>
      </c>
      <c r="HX14">
        <v>0</v>
      </c>
      <c r="HY14">
        <v>0</v>
      </c>
      <c r="HZ14">
        <v>1</v>
      </c>
      <c r="IA14">
        <v>0</v>
      </c>
      <c r="IB14">
        <v>0</v>
      </c>
      <c r="IC14">
        <v>1</v>
      </c>
      <c r="ID14">
        <v>0</v>
      </c>
      <c r="IE14">
        <v>1</v>
      </c>
      <c r="IF14">
        <v>0</v>
      </c>
      <c r="IG14">
        <v>2</v>
      </c>
      <c r="IH14">
        <v>1</v>
      </c>
      <c r="II14">
        <v>0</v>
      </c>
      <c r="IJ14">
        <v>0</v>
      </c>
      <c r="IK14">
        <v>1</v>
      </c>
      <c r="IL14">
        <v>2</v>
      </c>
      <c r="IM14">
        <v>1</v>
      </c>
      <c r="IN14" s="6">
        <f t="shared" si="31"/>
        <v>11</v>
      </c>
      <c r="IO14">
        <v>2</v>
      </c>
      <c r="IP14" s="1">
        <v>45541.619444444441</v>
      </c>
      <c r="IQ14">
        <v>1</v>
      </c>
      <c r="IR14">
        <v>1</v>
      </c>
      <c r="IS14">
        <v>1</v>
      </c>
      <c r="IT14">
        <v>1</v>
      </c>
      <c r="IU14">
        <v>1</v>
      </c>
      <c r="IV14">
        <v>1</v>
      </c>
      <c r="IW14">
        <v>1</v>
      </c>
      <c r="IX14">
        <v>1</v>
      </c>
      <c r="IY14">
        <v>1</v>
      </c>
      <c r="IZ14">
        <v>1</v>
      </c>
      <c r="JA14">
        <v>1</v>
      </c>
      <c r="JB14">
        <v>1</v>
      </c>
      <c r="JC14">
        <v>1</v>
      </c>
      <c r="JD14">
        <v>1</v>
      </c>
      <c r="JE14">
        <v>1</v>
      </c>
      <c r="JF14">
        <v>1</v>
      </c>
      <c r="JG14">
        <v>1</v>
      </c>
      <c r="JH14">
        <v>1</v>
      </c>
      <c r="JI14">
        <v>1</v>
      </c>
      <c r="JJ14">
        <v>1</v>
      </c>
      <c r="JK14" t="s">
        <v>351</v>
      </c>
      <c r="JL14">
        <v>2</v>
      </c>
      <c r="JM14">
        <v>2</v>
      </c>
      <c r="JN14">
        <v>2</v>
      </c>
      <c r="JO14">
        <v>1</v>
      </c>
      <c r="JP14">
        <v>0</v>
      </c>
      <c r="JQ14">
        <v>1</v>
      </c>
      <c r="JR14" t="s">
        <v>352</v>
      </c>
      <c r="JS14" t="s">
        <v>353</v>
      </c>
      <c r="JT14" s="6">
        <f t="shared" si="32"/>
        <v>19</v>
      </c>
      <c r="JU14" s="6">
        <v>11</v>
      </c>
      <c r="JV14" s="6">
        <f t="shared" si="33"/>
        <v>6</v>
      </c>
      <c r="JW14" s="6">
        <f t="shared" si="34"/>
        <v>2</v>
      </c>
      <c r="JX14">
        <v>2</v>
      </c>
      <c r="JY14" s="1">
        <v>45541.619444444441</v>
      </c>
      <c r="JZ14">
        <v>0</v>
      </c>
      <c r="KA14">
        <v>0</v>
      </c>
      <c r="KB14">
        <v>0</v>
      </c>
      <c r="KC14" s="6">
        <f t="shared" si="35"/>
        <v>0</v>
      </c>
      <c r="KD14">
        <v>2</v>
      </c>
      <c r="KE14" s="1">
        <v>45541.620138888888</v>
      </c>
      <c r="KF14">
        <v>64</v>
      </c>
      <c r="KG14">
        <v>2.2000000000000002</v>
      </c>
      <c r="KP14">
        <v>4</v>
      </c>
      <c r="KQ14">
        <v>62.3</v>
      </c>
      <c r="KR14">
        <v>4.2</v>
      </c>
      <c r="KS14">
        <v>1</v>
      </c>
      <c r="UH14">
        <v>4</v>
      </c>
      <c r="UI14">
        <v>64</v>
      </c>
      <c r="UJ14">
        <v>2.2000000000000002</v>
      </c>
      <c r="UK14">
        <v>4</v>
      </c>
      <c r="WX14">
        <v>4</v>
      </c>
      <c r="WY14">
        <v>63.8</v>
      </c>
      <c r="WZ14">
        <v>2.5</v>
      </c>
      <c r="XA14">
        <v>3</v>
      </c>
      <c r="XN14" s="6">
        <v>4</v>
      </c>
      <c r="XO14" s="6">
        <v>63.9</v>
      </c>
      <c r="XP14" s="6">
        <v>3</v>
      </c>
      <c r="XQ14" s="6">
        <v>2</v>
      </c>
      <c r="YX14" s="6">
        <v>4</v>
      </c>
      <c r="YY14" s="6">
        <v>63.9</v>
      </c>
      <c r="YZ14" s="6">
        <v>3</v>
      </c>
      <c r="ZA14" s="6">
        <v>2</v>
      </c>
      <c r="ZB14">
        <v>2</v>
      </c>
      <c r="ZC14" s="1">
        <v>45087.661111111112</v>
      </c>
      <c r="ZD14">
        <v>4</v>
      </c>
      <c r="ZE14">
        <v>2</v>
      </c>
      <c r="ZF14">
        <v>4</v>
      </c>
      <c r="ZG14">
        <v>2</v>
      </c>
      <c r="ZH14">
        <v>3</v>
      </c>
      <c r="ZI14">
        <v>1</v>
      </c>
      <c r="ZJ14">
        <v>1</v>
      </c>
      <c r="ZK14">
        <v>1</v>
      </c>
      <c r="ZL14">
        <v>4</v>
      </c>
      <c r="ZM14">
        <v>2</v>
      </c>
      <c r="ZN14">
        <v>2</v>
      </c>
      <c r="ZO14">
        <v>3</v>
      </c>
      <c r="ZP14">
        <v>1</v>
      </c>
      <c r="ZQ14">
        <v>3</v>
      </c>
      <c r="ZR14">
        <v>2</v>
      </c>
      <c r="ZS14">
        <v>3</v>
      </c>
      <c r="ZT14">
        <v>2</v>
      </c>
      <c r="ZU14">
        <v>2</v>
      </c>
      <c r="ZV14">
        <v>2</v>
      </c>
      <c r="ZW14">
        <v>1</v>
      </c>
      <c r="ZX14" s="6">
        <f t="shared" si="36"/>
        <v>30</v>
      </c>
      <c r="ZY14" s="6">
        <f t="shared" si="37"/>
        <v>15</v>
      </c>
      <c r="ZZ14">
        <v>2</v>
      </c>
      <c r="AAA14" s="1">
        <v>45541.620833333334</v>
      </c>
      <c r="AAB14">
        <v>1</v>
      </c>
      <c r="AAC14">
        <v>1</v>
      </c>
      <c r="AAD14">
        <v>1</v>
      </c>
      <c r="AAE14">
        <v>1</v>
      </c>
      <c r="AAF14">
        <v>0</v>
      </c>
      <c r="AAG14">
        <v>1</v>
      </c>
      <c r="AAH14">
        <v>0</v>
      </c>
      <c r="AAI14">
        <v>0</v>
      </c>
      <c r="AAJ14">
        <v>0</v>
      </c>
      <c r="AAK14">
        <v>0</v>
      </c>
      <c r="AAL14">
        <v>0</v>
      </c>
      <c r="AAM14">
        <v>0</v>
      </c>
      <c r="AAN14">
        <v>2</v>
      </c>
      <c r="AAO14">
        <v>0</v>
      </c>
      <c r="AAP14">
        <v>1</v>
      </c>
      <c r="AAQ14">
        <v>3</v>
      </c>
      <c r="AAR14">
        <v>0</v>
      </c>
      <c r="AAS14">
        <v>0</v>
      </c>
      <c r="AAT14" s="6">
        <f t="shared" si="38"/>
        <v>7</v>
      </c>
      <c r="AAU14" s="6">
        <f t="shared" si="39"/>
        <v>1</v>
      </c>
      <c r="AAV14" s="6">
        <f t="shared" si="40"/>
        <v>3</v>
      </c>
      <c r="AAW14" s="6">
        <f t="shared" si="41"/>
        <v>11</v>
      </c>
      <c r="AAX14">
        <v>2</v>
      </c>
      <c r="AAY14" s="1">
        <v>45541.621527777781</v>
      </c>
      <c r="AAZ14">
        <v>1</v>
      </c>
      <c r="ABA14">
        <v>5</v>
      </c>
      <c r="ABB14">
        <v>4</v>
      </c>
      <c r="ABC14">
        <v>6</v>
      </c>
      <c r="ABD14">
        <v>5</v>
      </c>
      <c r="ABE14">
        <v>14</v>
      </c>
      <c r="ABF14">
        <v>5</v>
      </c>
      <c r="ABG14">
        <v>7</v>
      </c>
      <c r="ABH14">
        <v>0</v>
      </c>
      <c r="ABI14">
        <v>5</v>
      </c>
      <c r="ABJ14">
        <v>0</v>
      </c>
      <c r="ABK14">
        <v>7</v>
      </c>
      <c r="ABL14">
        <v>2</v>
      </c>
      <c r="ABM14">
        <v>6</v>
      </c>
      <c r="ABN14">
        <v>0</v>
      </c>
      <c r="ABO14" s="6">
        <f t="shared" si="42"/>
        <v>5</v>
      </c>
      <c r="ABP14" s="6">
        <f t="shared" si="43"/>
        <v>3.7142857142857144</v>
      </c>
      <c r="ABQ14">
        <v>2</v>
      </c>
      <c r="ABR14" s="1">
        <v>45541.622916666667</v>
      </c>
      <c r="ABS14">
        <v>1</v>
      </c>
      <c r="ABT14">
        <v>0</v>
      </c>
      <c r="ABU14">
        <v>2</v>
      </c>
      <c r="ABV14">
        <v>2</v>
      </c>
      <c r="ABW14">
        <v>0</v>
      </c>
      <c r="ABX14">
        <v>0</v>
      </c>
      <c r="ABY14">
        <v>0</v>
      </c>
      <c r="ABZ14">
        <v>1</v>
      </c>
      <c r="ACA14">
        <v>1</v>
      </c>
      <c r="ACB14">
        <v>2</v>
      </c>
      <c r="ACC14">
        <v>0</v>
      </c>
      <c r="ACD14">
        <v>1</v>
      </c>
      <c r="ACE14">
        <v>3</v>
      </c>
      <c r="ACF14">
        <v>1</v>
      </c>
      <c r="ACG14">
        <v>0</v>
      </c>
      <c r="ACH14">
        <v>1</v>
      </c>
      <c r="ACI14">
        <v>0</v>
      </c>
      <c r="ACJ14">
        <v>1</v>
      </c>
      <c r="ACK14">
        <v>2</v>
      </c>
      <c r="ACL14">
        <v>1</v>
      </c>
      <c r="ACM14">
        <v>0</v>
      </c>
      <c r="ACN14">
        <v>1</v>
      </c>
      <c r="ACO14">
        <v>0</v>
      </c>
      <c r="ACP14">
        <v>0</v>
      </c>
      <c r="ACQ14">
        <v>0</v>
      </c>
      <c r="ACR14">
        <v>2</v>
      </c>
      <c r="ACS14">
        <v>2</v>
      </c>
      <c r="ACT14">
        <v>0</v>
      </c>
      <c r="ACU14">
        <v>2</v>
      </c>
      <c r="ACV14">
        <v>1</v>
      </c>
      <c r="ACW14" s="6">
        <f t="shared" si="44"/>
        <v>4</v>
      </c>
      <c r="ACX14" s="6">
        <f t="shared" si="45"/>
        <v>0</v>
      </c>
      <c r="ACY14" s="6">
        <f t="shared" si="46"/>
        <v>2</v>
      </c>
      <c r="ACZ14" s="6">
        <f t="shared" si="47"/>
        <v>8</v>
      </c>
      <c r="ADA14" s="6">
        <f t="shared" si="48"/>
        <v>5</v>
      </c>
      <c r="ADB14" s="6">
        <f t="shared" si="49"/>
        <v>8</v>
      </c>
      <c r="ADC14" s="6">
        <f t="shared" si="50"/>
        <v>11</v>
      </c>
      <c r="ADD14">
        <v>2</v>
      </c>
      <c r="ADE14" s="1">
        <v>45541.623611111114</v>
      </c>
      <c r="ADF14" s="5">
        <v>2</v>
      </c>
      <c r="ADG14">
        <f t="shared" si="51"/>
        <v>3</v>
      </c>
      <c r="ADH14" s="5">
        <v>2</v>
      </c>
      <c r="ADI14">
        <f t="shared" si="52"/>
        <v>3</v>
      </c>
      <c r="ADJ14">
        <v>2</v>
      </c>
      <c r="ADK14">
        <v>2</v>
      </c>
      <c r="ADL14" s="5">
        <v>2</v>
      </c>
      <c r="ADM14">
        <f t="shared" si="3"/>
        <v>3</v>
      </c>
      <c r="ADN14">
        <v>1</v>
      </c>
      <c r="ADO14">
        <v>1</v>
      </c>
      <c r="ADP14" s="5">
        <v>2</v>
      </c>
      <c r="ADQ14">
        <f t="shared" si="4"/>
        <v>3</v>
      </c>
      <c r="ADR14">
        <v>1</v>
      </c>
      <c r="ADS14" s="5">
        <v>2</v>
      </c>
      <c r="ADT14">
        <f t="shared" si="5"/>
        <v>3</v>
      </c>
      <c r="ADU14" s="5">
        <v>3</v>
      </c>
      <c r="ADV14">
        <f t="shared" ref="ADV14" si="76">INDEX($AD$48:$AE$51, MATCH(ADU14, $AD$48:$AD$51, 0), 2)</f>
        <v>2</v>
      </c>
      <c r="ADW14">
        <v>2</v>
      </c>
      <c r="ADX14">
        <v>1</v>
      </c>
      <c r="ADY14">
        <v>1</v>
      </c>
      <c r="ADZ14" s="5">
        <v>2</v>
      </c>
      <c r="AEA14">
        <f t="shared" si="6"/>
        <v>3</v>
      </c>
      <c r="AEB14" s="5">
        <v>3</v>
      </c>
      <c r="AEC14">
        <f t="shared" ref="AEC14" si="77">INDEX($AD$48:$AE$51, MATCH(AEB14, $AD$48:$AD$51, 0), 2)</f>
        <v>2</v>
      </c>
      <c r="AED14">
        <v>1</v>
      </c>
      <c r="AEE14">
        <v>1</v>
      </c>
      <c r="AEF14" s="5">
        <v>2</v>
      </c>
      <c r="AEG14">
        <f t="shared" si="7"/>
        <v>3</v>
      </c>
      <c r="AEH14" s="5">
        <v>3</v>
      </c>
      <c r="AEI14">
        <f t="shared" si="8"/>
        <v>2</v>
      </c>
      <c r="AEJ14" s="6">
        <f t="shared" si="55"/>
        <v>43</v>
      </c>
      <c r="AEK14">
        <v>2</v>
      </c>
      <c r="AEL14" s="1">
        <v>45541.623611111114</v>
      </c>
      <c r="AEM14">
        <v>0</v>
      </c>
      <c r="AER14">
        <v>0</v>
      </c>
      <c r="AES14">
        <v>0</v>
      </c>
      <c r="AET14">
        <v>0</v>
      </c>
      <c r="AEU14">
        <v>0</v>
      </c>
      <c r="AEV14">
        <v>0</v>
      </c>
      <c r="AEX14">
        <v>2</v>
      </c>
    </row>
    <row r="15" spans="1:830">
      <c r="A15">
        <v>127</v>
      </c>
      <c r="B15" t="s">
        <v>1175</v>
      </c>
      <c r="C15">
        <v>2</v>
      </c>
      <c r="D15">
        <v>1</v>
      </c>
      <c r="E15">
        <v>37</v>
      </c>
      <c r="F15">
        <v>64</v>
      </c>
      <c r="G15">
        <v>130</v>
      </c>
      <c r="H15">
        <v>0</v>
      </c>
      <c r="I15">
        <v>3</v>
      </c>
      <c r="K15" t="s">
        <v>253</v>
      </c>
      <c r="L15">
        <v>2</v>
      </c>
      <c r="M15" s="1">
        <v>45489.754166666666</v>
      </c>
      <c r="N15">
        <v>8</v>
      </c>
      <c r="O15">
        <v>0</v>
      </c>
      <c r="Q15">
        <v>0</v>
      </c>
      <c r="R15">
        <v>1</v>
      </c>
      <c r="S15">
        <v>0</v>
      </c>
      <c r="T15">
        <v>0</v>
      </c>
      <c r="U15">
        <v>0</v>
      </c>
      <c r="V15">
        <v>0</v>
      </c>
      <c r="W15">
        <v>0</v>
      </c>
      <c r="X15">
        <v>0</v>
      </c>
      <c r="Y15">
        <v>0</v>
      </c>
      <c r="Z15">
        <v>0</v>
      </c>
      <c r="AA15">
        <v>0</v>
      </c>
      <c r="AB15" t="s">
        <v>208</v>
      </c>
      <c r="AC15">
        <v>2</v>
      </c>
      <c r="AD15" s="1">
        <v>45489.755555555559</v>
      </c>
      <c r="AE15" s="5">
        <v>3</v>
      </c>
      <c r="AF15">
        <f t="shared" si="9"/>
        <v>2</v>
      </c>
      <c r="AG15">
        <v>2</v>
      </c>
      <c r="AH15" s="5">
        <v>3</v>
      </c>
      <c r="AI15">
        <f t="shared" si="10"/>
        <v>2</v>
      </c>
      <c r="AJ15">
        <v>2</v>
      </c>
      <c r="AK15">
        <v>1</v>
      </c>
      <c r="AL15" s="5">
        <v>2</v>
      </c>
      <c r="AM15">
        <f t="shared" si="11"/>
        <v>3</v>
      </c>
      <c r="AN15" s="5">
        <v>2</v>
      </c>
      <c r="AO15">
        <f t="shared" si="12"/>
        <v>3</v>
      </c>
      <c r="AP15">
        <v>2</v>
      </c>
      <c r="AQ15">
        <v>2</v>
      </c>
      <c r="AR15" s="5">
        <v>3</v>
      </c>
      <c r="AS15">
        <f t="shared" si="13"/>
        <v>2</v>
      </c>
      <c r="AT15">
        <v>2</v>
      </c>
      <c r="AU15">
        <v>2</v>
      </c>
      <c r="AV15" s="5">
        <v>2</v>
      </c>
      <c r="AW15">
        <f t="shared" si="14"/>
        <v>3</v>
      </c>
      <c r="AX15" s="5">
        <v>3</v>
      </c>
      <c r="AY15">
        <f t="shared" si="15"/>
        <v>2</v>
      </c>
      <c r="AZ15">
        <v>2</v>
      </c>
      <c r="BA15" s="5">
        <v>2</v>
      </c>
      <c r="BB15">
        <f t="shared" si="16"/>
        <v>3</v>
      </c>
      <c r="BC15">
        <v>2</v>
      </c>
      <c r="BD15">
        <v>3</v>
      </c>
      <c r="BE15" s="5">
        <v>2</v>
      </c>
      <c r="BF15">
        <f t="shared" si="17"/>
        <v>3</v>
      </c>
      <c r="BG15">
        <v>1</v>
      </c>
      <c r="BH15" s="6">
        <f t="shared" si="18"/>
        <v>44</v>
      </c>
      <c r="BI15">
        <v>2</v>
      </c>
      <c r="BJ15" s="1">
        <v>45489.757638888892</v>
      </c>
      <c r="BK15">
        <v>12</v>
      </c>
      <c r="BL15">
        <v>2</v>
      </c>
      <c r="BM15">
        <v>2</v>
      </c>
      <c r="BQ15" s="2">
        <v>45473</v>
      </c>
      <c r="BU15">
        <v>23</v>
      </c>
      <c r="BV15">
        <v>5</v>
      </c>
      <c r="BW15">
        <v>2</v>
      </c>
      <c r="BX15">
        <v>2</v>
      </c>
      <c r="BY15" s="1">
        <v>45489.759722222225</v>
      </c>
      <c r="BZ15">
        <v>4</v>
      </c>
      <c r="CA15">
        <v>3</v>
      </c>
      <c r="CB15">
        <v>4</v>
      </c>
      <c r="CC15">
        <v>3</v>
      </c>
      <c r="CD15">
        <v>4</v>
      </c>
      <c r="CE15">
        <v>4</v>
      </c>
      <c r="CF15">
        <v>3</v>
      </c>
      <c r="CG15">
        <v>4</v>
      </c>
      <c r="CH15">
        <v>3</v>
      </c>
      <c r="CI15">
        <v>3</v>
      </c>
      <c r="CJ15">
        <v>2</v>
      </c>
      <c r="CK15">
        <v>4</v>
      </c>
      <c r="CL15" s="5">
        <v>1</v>
      </c>
      <c r="CM15">
        <f t="shared" si="19"/>
        <v>4</v>
      </c>
      <c r="CN15">
        <v>3</v>
      </c>
      <c r="CO15">
        <v>4</v>
      </c>
      <c r="CP15">
        <v>4</v>
      </c>
      <c r="CQ15">
        <v>2</v>
      </c>
      <c r="CR15" s="5">
        <v>2</v>
      </c>
      <c r="CS15">
        <f t="shared" si="20"/>
        <v>3</v>
      </c>
      <c r="CT15">
        <v>3</v>
      </c>
      <c r="CU15">
        <v>4</v>
      </c>
      <c r="CV15" s="6">
        <f t="shared" si="21"/>
        <v>13</v>
      </c>
      <c r="CW15" s="6">
        <f t="shared" si="22"/>
        <v>13</v>
      </c>
      <c r="CX15" s="6">
        <f t="shared" si="23"/>
        <v>19</v>
      </c>
      <c r="CY15" s="6">
        <f t="shared" si="24"/>
        <v>45</v>
      </c>
      <c r="CZ15" s="6">
        <f t="shared" si="25"/>
        <v>23</v>
      </c>
      <c r="DA15">
        <v>2</v>
      </c>
      <c r="DB15" s="1">
        <v>45489.761111111111</v>
      </c>
      <c r="DC15">
        <v>1</v>
      </c>
      <c r="DD15">
        <v>1</v>
      </c>
      <c r="DE15">
        <v>1</v>
      </c>
      <c r="DF15">
        <v>0</v>
      </c>
      <c r="DG15">
        <v>0</v>
      </c>
      <c r="DH15">
        <v>0</v>
      </c>
      <c r="DI15">
        <v>1</v>
      </c>
      <c r="DJ15">
        <v>1</v>
      </c>
      <c r="DK15">
        <v>0</v>
      </c>
      <c r="DL15">
        <v>0</v>
      </c>
      <c r="DM15">
        <v>1</v>
      </c>
      <c r="DN15">
        <v>1</v>
      </c>
      <c r="DO15">
        <v>1</v>
      </c>
      <c r="DP15">
        <v>0</v>
      </c>
      <c r="DQ15">
        <v>0</v>
      </c>
      <c r="DR15">
        <v>1</v>
      </c>
      <c r="DS15">
        <v>1</v>
      </c>
      <c r="DT15">
        <v>1</v>
      </c>
      <c r="DU15">
        <v>0</v>
      </c>
      <c r="DV15">
        <v>0</v>
      </c>
      <c r="DW15">
        <v>0</v>
      </c>
      <c r="DX15">
        <v>0</v>
      </c>
      <c r="DY15">
        <v>0</v>
      </c>
      <c r="DZ15">
        <v>0</v>
      </c>
      <c r="EA15">
        <v>1</v>
      </c>
      <c r="EB15">
        <v>1</v>
      </c>
      <c r="EC15">
        <v>0</v>
      </c>
      <c r="ED15">
        <v>1</v>
      </c>
      <c r="EE15">
        <v>0</v>
      </c>
      <c r="EF15">
        <v>0</v>
      </c>
      <c r="EG15">
        <v>0</v>
      </c>
      <c r="EH15">
        <v>0</v>
      </c>
      <c r="EI15">
        <v>1</v>
      </c>
      <c r="EJ15">
        <v>0</v>
      </c>
      <c r="EK15">
        <v>0</v>
      </c>
      <c r="EL15">
        <v>0</v>
      </c>
      <c r="EM15">
        <v>0</v>
      </c>
      <c r="EN15">
        <v>1</v>
      </c>
      <c r="EO15">
        <v>0</v>
      </c>
      <c r="EP15">
        <v>0</v>
      </c>
      <c r="EQ15">
        <v>1</v>
      </c>
      <c r="ER15">
        <v>0</v>
      </c>
      <c r="ES15">
        <v>1</v>
      </c>
      <c r="ET15">
        <v>0</v>
      </c>
      <c r="EU15">
        <v>0</v>
      </c>
      <c r="EV15">
        <v>0</v>
      </c>
      <c r="EW15">
        <v>0</v>
      </c>
      <c r="EX15">
        <v>1</v>
      </c>
      <c r="EY15">
        <v>0</v>
      </c>
      <c r="EZ15">
        <v>0</v>
      </c>
      <c r="FA15">
        <v>0</v>
      </c>
      <c r="FB15">
        <v>0</v>
      </c>
      <c r="FC15">
        <v>1</v>
      </c>
      <c r="FD15">
        <v>0</v>
      </c>
      <c r="FE15">
        <v>0</v>
      </c>
      <c r="FF15">
        <v>0</v>
      </c>
      <c r="FG15">
        <v>1</v>
      </c>
      <c r="FH15">
        <v>1</v>
      </c>
      <c r="FI15">
        <v>0</v>
      </c>
      <c r="FJ15">
        <v>0</v>
      </c>
      <c r="FK15">
        <v>0</v>
      </c>
      <c r="FL15">
        <v>0</v>
      </c>
      <c r="FM15">
        <v>1</v>
      </c>
      <c r="FN15">
        <v>0</v>
      </c>
      <c r="FO15">
        <v>0</v>
      </c>
      <c r="FP15">
        <v>0</v>
      </c>
      <c r="FQ15">
        <v>0</v>
      </c>
      <c r="FR15">
        <v>1</v>
      </c>
      <c r="FS15">
        <v>0</v>
      </c>
      <c r="FT15">
        <v>0</v>
      </c>
      <c r="FU15">
        <v>0</v>
      </c>
      <c r="FV15">
        <v>0</v>
      </c>
      <c r="FW15">
        <v>1</v>
      </c>
      <c r="FX15">
        <v>0</v>
      </c>
      <c r="FY15">
        <v>0</v>
      </c>
      <c r="FZ15">
        <v>0</v>
      </c>
      <c r="GA15">
        <v>0</v>
      </c>
      <c r="GB15">
        <v>1</v>
      </c>
      <c r="GC15">
        <v>0</v>
      </c>
      <c r="GD15">
        <v>0</v>
      </c>
      <c r="GE15">
        <v>1</v>
      </c>
      <c r="GF15">
        <v>1</v>
      </c>
      <c r="GG15">
        <v>1</v>
      </c>
      <c r="GH15">
        <v>0</v>
      </c>
      <c r="GI15">
        <v>0</v>
      </c>
      <c r="GJ15" s="6">
        <f t="shared" si="26"/>
        <v>29</v>
      </c>
      <c r="GK15">
        <v>2</v>
      </c>
      <c r="GL15" s="1">
        <v>45489.762499999997</v>
      </c>
      <c r="GM15">
        <v>1</v>
      </c>
      <c r="GN15">
        <v>3</v>
      </c>
      <c r="GO15">
        <v>2</v>
      </c>
      <c r="GP15">
        <v>3</v>
      </c>
      <c r="GQ15" s="5">
        <v>2</v>
      </c>
      <c r="GR15">
        <f t="shared" si="27"/>
        <v>3</v>
      </c>
      <c r="GS15">
        <v>3</v>
      </c>
      <c r="GT15">
        <v>2</v>
      </c>
      <c r="GU15">
        <v>2</v>
      </c>
      <c r="GV15" s="5">
        <v>3</v>
      </c>
      <c r="GW15">
        <f t="shared" si="0"/>
        <v>2</v>
      </c>
      <c r="GX15">
        <v>3</v>
      </c>
      <c r="GY15">
        <v>1</v>
      </c>
      <c r="GZ15">
        <v>1</v>
      </c>
      <c r="HA15" s="5">
        <v>4</v>
      </c>
      <c r="HB15">
        <f t="shared" si="1"/>
        <v>1</v>
      </c>
      <c r="HC15">
        <v>3</v>
      </c>
      <c r="HD15">
        <v>1</v>
      </c>
      <c r="HE15">
        <v>2</v>
      </c>
      <c r="HF15" s="5">
        <v>4</v>
      </c>
      <c r="HG15">
        <f t="shared" si="2"/>
        <v>1</v>
      </c>
      <c r="HH15">
        <v>2</v>
      </c>
      <c r="HI15" s="6">
        <f t="shared" si="28"/>
        <v>13</v>
      </c>
      <c r="HJ15" s="6">
        <f t="shared" si="29"/>
        <v>13</v>
      </c>
      <c r="HK15" s="6">
        <f t="shared" si="30"/>
        <v>35</v>
      </c>
      <c r="HL15">
        <v>2</v>
      </c>
      <c r="HM15" s="1">
        <v>45489.762499999997</v>
      </c>
      <c r="HN15">
        <v>8</v>
      </c>
      <c r="HO15">
        <v>14</v>
      </c>
      <c r="HP15">
        <v>14</v>
      </c>
      <c r="HQ15">
        <v>2</v>
      </c>
      <c r="HR15" s="1">
        <v>45490.38958333333</v>
      </c>
      <c r="HS15">
        <v>1</v>
      </c>
      <c r="HT15">
        <v>1</v>
      </c>
      <c r="HU15">
        <v>0</v>
      </c>
      <c r="HV15">
        <v>1</v>
      </c>
      <c r="HW15">
        <v>0</v>
      </c>
      <c r="HX15">
        <v>0</v>
      </c>
      <c r="HY15">
        <v>1</v>
      </c>
      <c r="HZ15">
        <v>2</v>
      </c>
      <c r="IA15">
        <v>0</v>
      </c>
      <c r="IB15">
        <v>0</v>
      </c>
      <c r="IC15">
        <v>1</v>
      </c>
      <c r="ID15">
        <v>1</v>
      </c>
      <c r="IE15">
        <v>0</v>
      </c>
      <c r="IF15">
        <v>0</v>
      </c>
      <c r="IG15">
        <v>2</v>
      </c>
      <c r="IH15">
        <v>2</v>
      </c>
      <c r="II15">
        <v>1</v>
      </c>
      <c r="IJ15">
        <v>0</v>
      </c>
      <c r="IK15">
        <v>2</v>
      </c>
      <c r="IL15">
        <v>2</v>
      </c>
      <c r="IM15">
        <v>1</v>
      </c>
      <c r="IN15" s="6">
        <f t="shared" si="31"/>
        <v>18</v>
      </c>
      <c r="IO15">
        <v>2</v>
      </c>
      <c r="IP15" s="1">
        <v>45490.390972222223</v>
      </c>
      <c r="IQ15">
        <v>1</v>
      </c>
      <c r="IR15">
        <v>1</v>
      </c>
      <c r="IS15">
        <v>0</v>
      </c>
      <c r="IT15">
        <v>1</v>
      </c>
      <c r="IU15">
        <v>0</v>
      </c>
      <c r="IV15">
        <v>1</v>
      </c>
      <c r="IW15">
        <v>1</v>
      </c>
      <c r="IX15">
        <v>1</v>
      </c>
      <c r="IY15">
        <v>0</v>
      </c>
      <c r="IZ15">
        <v>1</v>
      </c>
      <c r="JA15">
        <v>0</v>
      </c>
      <c r="JB15">
        <v>1</v>
      </c>
      <c r="JC15">
        <v>0</v>
      </c>
      <c r="JD15">
        <v>0</v>
      </c>
      <c r="JE15">
        <v>0</v>
      </c>
      <c r="JF15">
        <v>0</v>
      </c>
      <c r="JG15">
        <v>1</v>
      </c>
      <c r="JH15">
        <v>1</v>
      </c>
      <c r="JI15">
        <v>1</v>
      </c>
      <c r="JJ15">
        <v>0</v>
      </c>
      <c r="JK15">
        <v>3</v>
      </c>
      <c r="JL15">
        <v>3</v>
      </c>
      <c r="JM15">
        <v>2</v>
      </c>
      <c r="JN15">
        <v>3</v>
      </c>
      <c r="JO15">
        <v>1</v>
      </c>
      <c r="JP15">
        <v>0</v>
      </c>
      <c r="JQ15">
        <v>1</v>
      </c>
      <c r="JR15" t="s">
        <v>208</v>
      </c>
      <c r="JS15" t="s">
        <v>255</v>
      </c>
      <c r="JT15" s="6">
        <f t="shared" si="32"/>
        <v>11</v>
      </c>
      <c r="JU15" s="6">
        <v>3</v>
      </c>
      <c r="JV15" s="6">
        <f t="shared" si="33"/>
        <v>8</v>
      </c>
      <c r="JW15" s="6">
        <f t="shared" si="34"/>
        <v>2</v>
      </c>
      <c r="JX15">
        <v>2</v>
      </c>
      <c r="JY15" s="1">
        <v>45490.390972222223</v>
      </c>
      <c r="JZ15">
        <v>0</v>
      </c>
      <c r="KA15">
        <v>0</v>
      </c>
      <c r="KB15">
        <v>0</v>
      </c>
      <c r="KC15" s="6">
        <f t="shared" si="35"/>
        <v>0</v>
      </c>
      <c r="KD15">
        <v>2</v>
      </c>
      <c r="KE15" s="1">
        <v>45490.390972222223</v>
      </c>
      <c r="KF15">
        <v>68.3</v>
      </c>
      <c r="KG15">
        <v>2.2999999999999998</v>
      </c>
      <c r="KP15">
        <v>4</v>
      </c>
      <c r="KQ15">
        <v>62.3</v>
      </c>
      <c r="KR15">
        <v>4.2</v>
      </c>
      <c r="KS15">
        <v>1</v>
      </c>
      <c r="UX15">
        <v>4</v>
      </c>
      <c r="UY15">
        <v>66.900000000000006</v>
      </c>
      <c r="UZ15">
        <v>2.7</v>
      </c>
      <c r="VA15">
        <v>3</v>
      </c>
      <c r="WX15">
        <v>5</v>
      </c>
      <c r="WY15">
        <v>68.3</v>
      </c>
      <c r="WZ15">
        <v>2.2999999999999998</v>
      </c>
      <c r="XA15">
        <v>4</v>
      </c>
      <c r="XN15" s="6">
        <v>5</v>
      </c>
      <c r="XO15" s="6">
        <v>67.3</v>
      </c>
      <c r="XP15" s="6">
        <v>3.4</v>
      </c>
      <c r="XQ15" s="6">
        <v>2</v>
      </c>
      <c r="YX15" s="6">
        <v>5</v>
      </c>
      <c r="YY15" s="6">
        <v>67.3</v>
      </c>
      <c r="YZ15" s="6">
        <v>3.4</v>
      </c>
      <c r="ZA15" s="6">
        <v>2</v>
      </c>
      <c r="ZB15">
        <v>2</v>
      </c>
      <c r="ZC15" s="1">
        <v>45088.661111111112</v>
      </c>
      <c r="ZD15">
        <v>3</v>
      </c>
      <c r="ZE15">
        <v>2</v>
      </c>
      <c r="ZF15">
        <v>2</v>
      </c>
      <c r="ZG15">
        <v>2</v>
      </c>
      <c r="ZH15">
        <v>2</v>
      </c>
      <c r="ZI15">
        <v>1</v>
      </c>
      <c r="ZJ15">
        <v>1</v>
      </c>
      <c r="ZK15">
        <v>1</v>
      </c>
      <c r="ZL15">
        <v>2</v>
      </c>
      <c r="ZM15">
        <v>2</v>
      </c>
      <c r="ZN15">
        <v>3</v>
      </c>
      <c r="ZO15">
        <v>2</v>
      </c>
      <c r="ZP15">
        <v>1</v>
      </c>
      <c r="ZQ15">
        <v>2</v>
      </c>
      <c r="ZR15">
        <v>3</v>
      </c>
      <c r="ZS15">
        <v>2</v>
      </c>
      <c r="ZT15">
        <v>2</v>
      </c>
      <c r="ZU15">
        <v>2</v>
      </c>
      <c r="ZV15">
        <v>3</v>
      </c>
      <c r="ZW15">
        <v>1</v>
      </c>
      <c r="ZX15" s="6">
        <f t="shared" si="36"/>
        <v>22</v>
      </c>
      <c r="ZY15" s="6">
        <f t="shared" si="37"/>
        <v>17</v>
      </c>
      <c r="ZZ15">
        <v>2</v>
      </c>
      <c r="AAA15" s="1">
        <v>45490.392361111109</v>
      </c>
      <c r="AAB15">
        <v>3</v>
      </c>
      <c r="AAC15">
        <v>1</v>
      </c>
      <c r="AAD15">
        <v>1</v>
      </c>
      <c r="AAE15">
        <v>0</v>
      </c>
      <c r="AAF15">
        <v>1</v>
      </c>
      <c r="AAG15">
        <v>1</v>
      </c>
      <c r="AAH15">
        <v>1</v>
      </c>
      <c r="AAI15">
        <v>1</v>
      </c>
      <c r="AAJ15">
        <v>0</v>
      </c>
      <c r="AAK15">
        <v>0</v>
      </c>
      <c r="AAL15">
        <v>0</v>
      </c>
      <c r="AAM15">
        <v>0</v>
      </c>
      <c r="AAN15">
        <v>2</v>
      </c>
      <c r="AAO15">
        <v>1</v>
      </c>
      <c r="AAP15">
        <v>2</v>
      </c>
      <c r="AAQ15">
        <v>2</v>
      </c>
      <c r="AAR15">
        <v>0</v>
      </c>
      <c r="AAS15">
        <v>0</v>
      </c>
      <c r="AAT15" s="6">
        <f t="shared" si="38"/>
        <v>8</v>
      </c>
      <c r="AAU15" s="6">
        <f t="shared" si="39"/>
        <v>4</v>
      </c>
      <c r="AAV15" s="6">
        <f t="shared" si="40"/>
        <v>4</v>
      </c>
      <c r="AAW15" s="6">
        <f t="shared" si="41"/>
        <v>16</v>
      </c>
      <c r="AAX15">
        <v>2</v>
      </c>
      <c r="AAY15" s="1">
        <v>45490.393750000003</v>
      </c>
      <c r="AAZ15">
        <v>1</v>
      </c>
      <c r="ABA15">
        <v>6</v>
      </c>
      <c r="ABB15">
        <v>2</v>
      </c>
      <c r="ABC15">
        <v>5</v>
      </c>
      <c r="ABD15">
        <v>6</v>
      </c>
      <c r="ABE15">
        <v>12</v>
      </c>
      <c r="ABF15">
        <v>6</v>
      </c>
      <c r="ABG15">
        <v>5</v>
      </c>
      <c r="ABH15">
        <v>4</v>
      </c>
      <c r="ABI15">
        <v>7</v>
      </c>
      <c r="ABJ15">
        <v>1</v>
      </c>
      <c r="ABK15">
        <v>9</v>
      </c>
      <c r="ABL15">
        <v>7</v>
      </c>
      <c r="ABM15">
        <v>6</v>
      </c>
      <c r="ABN15">
        <v>0</v>
      </c>
      <c r="ABO15" s="6">
        <f t="shared" si="42"/>
        <v>4.75</v>
      </c>
      <c r="ABP15" s="6">
        <f t="shared" si="43"/>
        <v>5.5714285714285712</v>
      </c>
      <c r="ABQ15">
        <v>2</v>
      </c>
      <c r="ABR15" s="1">
        <v>45490.394444444442</v>
      </c>
      <c r="ABS15">
        <v>1</v>
      </c>
      <c r="ABT15">
        <v>0</v>
      </c>
      <c r="ABU15">
        <v>2</v>
      </c>
      <c r="ABV15">
        <v>0</v>
      </c>
      <c r="ABW15">
        <v>0</v>
      </c>
      <c r="ABX15">
        <v>0</v>
      </c>
      <c r="ABY15">
        <v>0</v>
      </c>
      <c r="ABZ15">
        <v>1</v>
      </c>
      <c r="ACA15">
        <v>0</v>
      </c>
      <c r="ACB15">
        <v>0</v>
      </c>
      <c r="ACC15">
        <v>0</v>
      </c>
      <c r="ACD15">
        <v>0</v>
      </c>
      <c r="ACE15">
        <v>2</v>
      </c>
      <c r="ACF15">
        <v>0</v>
      </c>
      <c r="ACG15">
        <v>0</v>
      </c>
      <c r="ACH15">
        <v>0</v>
      </c>
      <c r="ACI15">
        <v>0</v>
      </c>
      <c r="ACJ15">
        <v>0</v>
      </c>
      <c r="ACK15">
        <v>2</v>
      </c>
      <c r="ACL15">
        <v>0</v>
      </c>
      <c r="ACM15">
        <v>0</v>
      </c>
      <c r="ACN15">
        <v>1</v>
      </c>
      <c r="ACO15">
        <v>0</v>
      </c>
      <c r="ACP15">
        <v>0</v>
      </c>
      <c r="ACQ15">
        <v>0</v>
      </c>
      <c r="ACR15">
        <v>0</v>
      </c>
      <c r="ACS15">
        <v>0</v>
      </c>
      <c r="ACT15">
        <v>0</v>
      </c>
      <c r="ACU15">
        <v>0</v>
      </c>
      <c r="ACV15">
        <v>0</v>
      </c>
      <c r="ACW15" s="6">
        <f t="shared" si="44"/>
        <v>1</v>
      </c>
      <c r="ACX15" s="6">
        <f t="shared" si="45"/>
        <v>0</v>
      </c>
      <c r="ACY15" s="6">
        <f t="shared" si="46"/>
        <v>0</v>
      </c>
      <c r="ACZ15" s="6">
        <f t="shared" si="47"/>
        <v>7</v>
      </c>
      <c r="ADA15" s="6">
        <f t="shared" si="48"/>
        <v>0</v>
      </c>
      <c r="ADB15" s="6">
        <f t="shared" si="49"/>
        <v>1</v>
      </c>
      <c r="ADC15" s="6">
        <f t="shared" si="50"/>
        <v>7</v>
      </c>
      <c r="ADD15">
        <v>2</v>
      </c>
      <c r="ADE15" s="1">
        <v>45490.395138888889</v>
      </c>
      <c r="ADF15" s="5">
        <v>3</v>
      </c>
      <c r="ADG15">
        <f t="shared" si="51"/>
        <v>2</v>
      </c>
      <c r="ADH15" s="5">
        <v>2</v>
      </c>
      <c r="ADI15">
        <f t="shared" si="52"/>
        <v>3</v>
      </c>
      <c r="ADJ15">
        <v>2</v>
      </c>
      <c r="ADK15">
        <v>1</v>
      </c>
      <c r="ADL15" s="5">
        <v>3</v>
      </c>
      <c r="ADM15">
        <f t="shared" si="3"/>
        <v>2</v>
      </c>
      <c r="ADN15">
        <v>1</v>
      </c>
      <c r="ADO15">
        <v>1</v>
      </c>
      <c r="ADP15" s="5">
        <v>2</v>
      </c>
      <c r="ADQ15">
        <f t="shared" si="4"/>
        <v>3</v>
      </c>
      <c r="ADR15">
        <v>1</v>
      </c>
      <c r="ADS15" s="5">
        <v>3</v>
      </c>
      <c r="ADT15">
        <f t="shared" si="5"/>
        <v>2</v>
      </c>
      <c r="ADU15" s="5">
        <v>2</v>
      </c>
      <c r="ADV15">
        <f t="shared" ref="ADV15" si="78">INDEX($AD$48:$AE$51, MATCH(ADU15, $AD$48:$AD$51, 0), 2)</f>
        <v>3</v>
      </c>
      <c r="ADW15">
        <v>1</v>
      </c>
      <c r="ADX15">
        <v>1</v>
      </c>
      <c r="ADY15">
        <v>1</v>
      </c>
      <c r="ADZ15" s="5">
        <v>2</v>
      </c>
      <c r="AEA15">
        <f t="shared" si="6"/>
        <v>3</v>
      </c>
      <c r="AEB15" s="5">
        <v>2</v>
      </c>
      <c r="AEC15">
        <f t="shared" ref="AEC15" si="79">INDEX($AD$48:$AE$51, MATCH(AEB15, $AD$48:$AD$51, 0), 2)</f>
        <v>3</v>
      </c>
      <c r="AED15">
        <v>1</v>
      </c>
      <c r="AEE15">
        <v>1</v>
      </c>
      <c r="AEF15" s="5">
        <v>2</v>
      </c>
      <c r="AEG15">
        <f t="shared" si="7"/>
        <v>3</v>
      </c>
      <c r="AEH15" s="5">
        <v>2</v>
      </c>
      <c r="AEI15">
        <f t="shared" si="8"/>
        <v>3</v>
      </c>
      <c r="AEJ15" s="6">
        <f t="shared" si="55"/>
        <v>41</v>
      </c>
      <c r="AEK15">
        <v>2</v>
      </c>
      <c r="AEL15" s="1">
        <v>45490.395138888889</v>
      </c>
      <c r="AEM15">
        <v>0</v>
      </c>
      <c r="AER15">
        <v>0</v>
      </c>
      <c r="AES15">
        <v>0</v>
      </c>
      <c r="AET15">
        <v>0</v>
      </c>
      <c r="AEU15">
        <v>0</v>
      </c>
      <c r="AEV15">
        <v>0</v>
      </c>
      <c r="AEX15">
        <v>2</v>
      </c>
    </row>
    <row r="16" spans="1:830">
      <c r="A16">
        <v>159</v>
      </c>
      <c r="B16" t="s">
        <v>1195</v>
      </c>
      <c r="C16">
        <v>2</v>
      </c>
      <c r="D16">
        <v>2</v>
      </c>
      <c r="E16">
        <v>27</v>
      </c>
      <c r="F16">
        <v>65</v>
      </c>
      <c r="G16">
        <v>150</v>
      </c>
      <c r="H16">
        <v>0</v>
      </c>
      <c r="I16">
        <v>3</v>
      </c>
      <c r="K16" t="s">
        <v>406</v>
      </c>
      <c r="L16">
        <v>2</v>
      </c>
      <c r="M16" s="1">
        <v>45532.982638888891</v>
      </c>
      <c r="N16">
        <v>8</v>
      </c>
      <c r="O16">
        <v>0</v>
      </c>
      <c r="Q16">
        <v>0</v>
      </c>
      <c r="R16">
        <v>1</v>
      </c>
      <c r="S16">
        <v>1</v>
      </c>
      <c r="T16">
        <v>0</v>
      </c>
      <c r="U16">
        <v>0</v>
      </c>
      <c r="V16">
        <v>0</v>
      </c>
      <c r="W16">
        <v>0</v>
      </c>
      <c r="X16">
        <v>0</v>
      </c>
      <c r="Y16">
        <v>0</v>
      </c>
      <c r="Z16">
        <v>0</v>
      </c>
      <c r="AA16">
        <v>0</v>
      </c>
      <c r="AB16" t="s">
        <v>208</v>
      </c>
      <c r="AC16">
        <v>2</v>
      </c>
      <c r="AD16" s="1">
        <v>45532.982638888891</v>
      </c>
      <c r="AE16" s="5">
        <v>2</v>
      </c>
      <c r="AF16">
        <f t="shared" si="9"/>
        <v>3</v>
      </c>
      <c r="AG16">
        <v>3</v>
      </c>
      <c r="AH16" s="5">
        <v>3</v>
      </c>
      <c r="AI16">
        <f t="shared" si="10"/>
        <v>2</v>
      </c>
      <c r="AJ16">
        <v>3</v>
      </c>
      <c r="AK16">
        <v>2</v>
      </c>
      <c r="AL16" s="5">
        <v>2</v>
      </c>
      <c r="AM16">
        <f t="shared" si="11"/>
        <v>3</v>
      </c>
      <c r="AN16" s="5">
        <v>2</v>
      </c>
      <c r="AO16">
        <f t="shared" si="12"/>
        <v>3</v>
      </c>
      <c r="AP16">
        <v>2</v>
      </c>
      <c r="AQ16">
        <v>3</v>
      </c>
      <c r="AR16" s="5">
        <v>3</v>
      </c>
      <c r="AS16">
        <f t="shared" si="13"/>
        <v>2</v>
      </c>
      <c r="AT16">
        <v>3</v>
      </c>
      <c r="AU16">
        <v>2</v>
      </c>
      <c r="AV16" s="5">
        <v>2</v>
      </c>
      <c r="AW16">
        <f t="shared" si="14"/>
        <v>3</v>
      </c>
      <c r="AX16" s="5">
        <v>2</v>
      </c>
      <c r="AY16">
        <f t="shared" si="15"/>
        <v>3</v>
      </c>
      <c r="AZ16">
        <v>2</v>
      </c>
      <c r="BA16" s="5">
        <v>3</v>
      </c>
      <c r="BB16">
        <f t="shared" si="16"/>
        <v>2</v>
      </c>
      <c r="BC16">
        <v>3</v>
      </c>
      <c r="BD16">
        <v>2</v>
      </c>
      <c r="BE16" s="5">
        <v>2</v>
      </c>
      <c r="BF16">
        <f t="shared" si="17"/>
        <v>3</v>
      </c>
      <c r="BG16">
        <v>3</v>
      </c>
      <c r="BH16" s="6">
        <f t="shared" si="18"/>
        <v>52</v>
      </c>
      <c r="BI16">
        <v>2</v>
      </c>
      <c r="BJ16" s="1">
        <v>45532.98333333333</v>
      </c>
      <c r="BK16">
        <v>13</v>
      </c>
      <c r="BL16">
        <v>6</v>
      </c>
      <c r="BM16">
        <v>1</v>
      </c>
      <c r="BQ16" s="2">
        <v>45529</v>
      </c>
      <c r="BU16">
        <v>29</v>
      </c>
      <c r="BV16">
        <v>5</v>
      </c>
      <c r="BW16">
        <v>2</v>
      </c>
      <c r="BX16">
        <v>2</v>
      </c>
      <c r="BY16" s="1">
        <v>45532.984027777777</v>
      </c>
      <c r="BZ16">
        <v>4</v>
      </c>
      <c r="CA16">
        <v>3</v>
      </c>
      <c r="CB16">
        <v>3</v>
      </c>
      <c r="CC16">
        <v>3</v>
      </c>
      <c r="CD16">
        <v>3</v>
      </c>
      <c r="CE16">
        <v>4</v>
      </c>
      <c r="CF16">
        <v>3</v>
      </c>
      <c r="CG16">
        <v>4</v>
      </c>
      <c r="CH16">
        <v>2</v>
      </c>
      <c r="CI16">
        <v>4</v>
      </c>
      <c r="CJ16">
        <v>3</v>
      </c>
      <c r="CK16">
        <v>4</v>
      </c>
      <c r="CL16" s="5">
        <v>1</v>
      </c>
      <c r="CM16">
        <f t="shared" si="19"/>
        <v>4</v>
      </c>
      <c r="CN16">
        <v>3</v>
      </c>
      <c r="CO16">
        <v>4</v>
      </c>
      <c r="CP16">
        <v>3</v>
      </c>
      <c r="CQ16">
        <v>2</v>
      </c>
      <c r="CR16" s="5">
        <v>1</v>
      </c>
      <c r="CS16">
        <f t="shared" si="20"/>
        <v>4</v>
      </c>
      <c r="CT16">
        <v>4</v>
      </c>
      <c r="CU16">
        <v>3</v>
      </c>
      <c r="CV16" s="6">
        <f t="shared" si="21"/>
        <v>12</v>
      </c>
      <c r="CW16" s="6">
        <f t="shared" si="22"/>
        <v>11</v>
      </c>
      <c r="CX16" s="6">
        <f t="shared" si="23"/>
        <v>19</v>
      </c>
      <c r="CY16" s="6">
        <f t="shared" si="24"/>
        <v>42</v>
      </c>
      <c r="CZ16" s="6">
        <f t="shared" si="25"/>
        <v>25</v>
      </c>
      <c r="DA16">
        <v>2</v>
      </c>
      <c r="DB16" s="1">
        <v>45532.98541666667</v>
      </c>
      <c r="DC16">
        <v>1</v>
      </c>
      <c r="DD16">
        <v>0</v>
      </c>
      <c r="DE16">
        <v>0</v>
      </c>
      <c r="DF16">
        <v>0</v>
      </c>
      <c r="DG16">
        <v>0</v>
      </c>
      <c r="DH16">
        <v>0</v>
      </c>
      <c r="DI16">
        <v>0</v>
      </c>
      <c r="DJ16">
        <v>1</v>
      </c>
      <c r="DK16">
        <v>0</v>
      </c>
      <c r="DL16">
        <v>0</v>
      </c>
      <c r="DM16">
        <v>0</v>
      </c>
      <c r="DN16">
        <v>0</v>
      </c>
      <c r="DO16">
        <v>1</v>
      </c>
      <c r="DP16">
        <v>0</v>
      </c>
      <c r="DQ16">
        <v>0</v>
      </c>
      <c r="DR16">
        <v>0</v>
      </c>
      <c r="DS16">
        <v>0</v>
      </c>
      <c r="DT16">
        <v>1</v>
      </c>
      <c r="DU16">
        <v>0</v>
      </c>
      <c r="DV16">
        <v>0</v>
      </c>
      <c r="DW16">
        <v>0</v>
      </c>
      <c r="DX16">
        <v>0</v>
      </c>
      <c r="DY16">
        <v>0</v>
      </c>
      <c r="DZ16">
        <v>0</v>
      </c>
      <c r="EA16">
        <v>1</v>
      </c>
      <c r="EB16">
        <v>0</v>
      </c>
      <c r="EC16">
        <v>1</v>
      </c>
      <c r="ED16">
        <v>0</v>
      </c>
      <c r="EE16">
        <v>0</v>
      </c>
      <c r="EF16">
        <v>0</v>
      </c>
      <c r="EG16">
        <v>0</v>
      </c>
      <c r="EH16">
        <v>0</v>
      </c>
      <c r="EI16">
        <v>1</v>
      </c>
      <c r="EJ16">
        <v>0</v>
      </c>
      <c r="EK16">
        <v>1</v>
      </c>
      <c r="EL16">
        <v>0</v>
      </c>
      <c r="EM16">
        <v>0</v>
      </c>
      <c r="EN16">
        <v>1</v>
      </c>
      <c r="EO16">
        <v>0</v>
      </c>
      <c r="EP16">
        <v>0</v>
      </c>
      <c r="EQ16">
        <v>1</v>
      </c>
      <c r="ER16">
        <v>0</v>
      </c>
      <c r="ES16">
        <v>0</v>
      </c>
      <c r="ET16">
        <v>0</v>
      </c>
      <c r="EU16">
        <v>0</v>
      </c>
      <c r="EV16">
        <v>0</v>
      </c>
      <c r="EW16">
        <v>0</v>
      </c>
      <c r="EX16">
        <v>0</v>
      </c>
      <c r="EY16">
        <v>0</v>
      </c>
      <c r="EZ16">
        <v>1</v>
      </c>
      <c r="FA16">
        <v>0</v>
      </c>
      <c r="FB16">
        <v>0</v>
      </c>
      <c r="FC16">
        <v>0</v>
      </c>
      <c r="FD16">
        <v>0</v>
      </c>
      <c r="FE16">
        <v>1</v>
      </c>
      <c r="FF16">
        <v>0</v>
      </c>
      <c r="FG16">
        <v>0</v>
      </c>
      <c r="FH16">
        <v>1</v>
      </c>
      <c r="FI16">
        <v>0</v>
      </c>
      <c r="FJ16">
        <v>0</v>
      </c>
      <c r="FK16">
        <v>0</v>
      </c>
      <c r="FL16">
        <v>0</v>
      </c>
      <c r="FM16">
        <v>0</v>
      </c>
      <c r="FN16">
        <v>1</v>
      </c>
      <c r="FO16">
        <v>0</v>
      </c>
      <c r="FP16">
        <v>0</v>
      </c>
      <c r="FQ16">
        <v>0</v>
      </c>
      <c r="FR16">
        <v>1</v>
      </c>
      <c r="FS16">
        <v>0</v>
      </c>
      <c r="FT16">
        <v>0</v>
      </c>
      <c r="FU16">
        <v>1</v>
      </c>
      <c r="FV16">
        <v>0</v>
      </c>
      <c r="FW16">
        <v>0</v>
      </c>
      <c r="FX16">
        <v>0</v>
      </c>
      <c r="FY16">
        <v>0</v>
      </c>
      <c r="FZ16">
        <v>0</v>
      </c>
      <c r="GA16">
        <v>0</v>
      </c>
      <c r="GB16">
        <v>0</v>
      </c>
      <c r="GC16">
        <v>0</v>
      </c>
      <c r="GD16">
        <v>1</v>
      </c>
      <c r="GE16">
        <v>1</v>
      </c>
      <c r="GF16">
        <v>0</v>
      </c>
      <c r="GG16">
        <v>0</v>
      </c>
      <c r="GH16">
        <v>0</v>
      </c>
      <c r="GI16">
        <v>0</v>
      </c>
      <c r="GJ16" s="6">
        <f t="shared" si="26"/>
        <v>18</v>
      </c>
      <c r="GK16">
        <v>2</v>
      </c>
      <c r="GL16" s="1">
        <v>45532.986111111109</v>
      </c>
      <c r="GM16">
        <v>1</v>
      </c>
      <c r="GN16">
        <v>3</v>
      </c>
      <c r="GO16">
        <v>3</v>
      </c>
      <c r="GP16">
        <v>3</v>
      </c>
      <c r="GQ16" s="5">
        <v>2</v>
      </c>
      <c r="GR16">
        <f t="shared" si="27"/>
        <v>3</v>
      </c>
      <c r="GS16">
        <v>3</v>
      </c>
      <c r="GT16">
        <v>3</v>
      </c>
      <c r="GU16">
        <v>2</v>
      </c>
      <c r="GV16" s="5">
        <v>3</v>
      </c>
      <c r="GW16">
        <f t="shared" si="0"/>
        <v>2</v>
      </c>
      <c r="GX16">
        <v>3</v>
      </c>
      <c r="GY16">
        <v>2</v>
      </c>
      <c r="GZ16">
        <v>2</v>
      </c>
      <c r="HA16" s="5">
        <v>3</v>
      </c>
      <c r="HB16">
        <f t="shared" si="1"/>
        <v>2</v>
      </c>
      <c r="HC16">
        <v>3</v>
      </c>
      <c r="HD16">
        <v>2</v>
      </c>
      <c r="HE16">
        <v>2</v>
      </c>
      <c r="HF16" s="5">
        <v>2</v>
      </c>
      <c r="HG16">
        <f t="shared" si="2"/>
        <v>3</v>
      </c>
      <c r="HH16">
        <v>3</v>
      </c>
      <c r="HI16" s="6">
        <f t="shared" si="28"/>
        <v>17</v>
      </c>
      <c r="HJ16" s="6">
        <f t="shared" si="29"/>
        <v>14</v>
      </c>
      <c r="HK16" s="6">
        <f t="shared" si="30"/>
        <v>44</v>
      </c>
      <c r="HL16">
        <v>2</v>
      </c>
      <c r="HM16" s="1">
        <v>45532.986805555556</v>
      </c>
      <c r="HN16">
        <v>7</v>
      </c>
      <c r="HO16">
        <v>13</v>
      </c>
      <c r="HP16">
        <v>7</v>
      </c>
      <c r="HQ16">
        <v>2</v>
      </c>
      <c r="HR16" s="1">
        <v>45542.517361111109</v>
      </c>
      <c r="HS16">
        <v>1</v>
      </c>
      <c r="HT16">
        <v>1</v>
      </c>
      <c r="HU16">
        <v>0</v>
      </c>
      <c r="HV16">
        <v>1</v>
      </c>
      <c r="HW16">
        <v>2</v>
      </c>
      <c r="HX16">
        <v>1</v>
      </c>
      <c r="HY16">
        <v>1</v>
      </c>
      <c r="HZ16">
        <v>1</v>
      </c>
      <c r="IA16">
        <v>0</v>
      </c>
      <c r="IB16">
        <v>0</v>
      </c>
      <c r="IC16">
        <v>1</v>
      </c>
      <c r="ID16">
        <v>1</v>
      </c>
      <c r="IE16">
        <v>0</v>
      </c>
      <c r="IF16">
        <v>0</v>
      </c>
      <c r="IG16">
        <v>1</v>
      </c>
      <c r="IH16">
        <v>2</v>
      </c>
      <c r="II16">
        <v>1</v>
      </c>
      <c r="IJ16">
        <v>1</v>
      </c>
      <c r="IK16">
        <v>1</v>
      </c>
      <c r="IL16">
        <v>1</v>
      </c>
      <c r="IM16">
        <v>2</v>
      </c>
      <c r="IN16" s="6">
        <f t="shared" si="31"/>
        <v>19</v>
      </c>
      <c r="IO16">
        <v>2</v>
      </c>
      <c r="IP16" s="1">
        <v>45542.520138888889</v>
      </c>
      <c r="IQ16">
        <v>1</v>
      </c>
      <c r="IR16">
        <v>1</v>
      </c>
      <c r="IS16">
        <v>1</v>
      </c>
      <c r="IT16">
        <v>1</v>
      </c>
      <c r="IU16">
        <v>1</v>
      </c>
      <c r="IV16">
        <v>1</v>
      </c>
      <c r="IW16">
        <v>0</v>
      </c>
      <c r="IX16">
        <v>0</v>
      </c>
      <c r="IY16">
        <v>0</v>
      </c>
      <c r="IZ16">
        <v>0</v>
      </c>
      <c r="JA16">
        <v>1</v>
      </c>
      <c r="JB16">
        <v>1</v>
      </c>
      <c r="JC16">
        <v>1</v>
      </c>
      <c r="JD16">
        <v>1</v>
      </c>
      <c r="JE16">
        <v>1</v>
      </c>
      <c r="JF16">
        <v>1</v>
      </c>
      <c r="JG16">
        <v>1</v>
      </c>
      <c r="JH16">
        <v>1</v>
      </c>
      <c r="JI16">
        <v>1</v>
      </c>
      <c r="JJ16">
        <v>0</v>
      </c>
      <c r="JK16" t="s">
        <v>407</v>
      </c>
      <c r="JL16">
        <v>2</v>
      </c>
      <c r="JM16">
        <v>1</v>
      </c>
      <c r="JN16">
        <v>2</v>
      </c>
      <c r="JO16">
        <v>1</v>
      </c>
      <c r="JP16">
        <v>1</v>
      </c>
      <c r="JQ16">
        <v>1</v>
      </c>
      <c r="JR16" t="s">
        <v>408</v>
      </c>
      <c r="JS16" t="s">
        <v>409</v>
      </c>
      <c r="JT16" s="6">
        <f t="shared" si="32"/>
        <v>15</v>
      </c>
      <c r="JU16" s="6">
        <v>10</v>
      </c>
      <c r="JV16" s="6">
        <f t="shared" si="33"/>
        <v>5</v>
      </c>
      <c r="JW16" s="6">
        <f t="shared" si="34"/>
        <v>3</v>
      </c>
      <c r="JX16">
        <v>2</v>
      </c>
      <c r="JY16" s="1">
        <v>45542.520138888889</v>
      </c>
      <c r="JZ16">
        <v>0</v>
      </c>
      <c r="KA16">
        <v>0</v>
      </c>
      <c r="KB16">
        <v>0</v>
      </c>
      <c r="KC16" s="6">
        <f t="shared" si="35"/>
        <v>0</v>
      </c>
      <c r="KD16">
        <v>2</v>
      </c>
      <c r="KE16" s="1">
        <v>45542.520138888889</v>
      </c>
      <c r="KF16">
        <v>73.900000000000006</v>
      </c>
      <c r="KG16">
        <v>2.9</v>
      </c>
      <c r="KP16">
        <v>5</v>
      </c>
      <c r="KQ16">
        <v>70.5</v>
      </c>
      <c r="KR16">
        <v>5.0999999999999996</v>
      </c>
      <c r="KS16">
        <v>1</v>
      </c>
      <c r="UT16">
        <v>5</v>
      </c>
      <c r="UU16">
        <v>75.400000000000006</v>
      </c>
      <c r="UV16">
        <v>3.9</v>
      </c>
      <c r="UW16">
        <v>3</v>
      </c>
      <c r="UX16">
        <v>5</v>
      </c>
      <c r="UY16">
        <v>73.599999999999994</v>
      </c>
      <c r="UZ16">
        <v>4.2</v>
      </c>
      <c r="VA16">
        <v>2</v>
      </c>
      <c r="WT16" s="6" t="s">
        <v>307</v>
      </c>
      <c r="WU16" s="6">
        <v>73.900000000000006</v>
      </c>
      <c r="WV16" s="6">
        <v>2.9</v>
      </c>
      <c r="WW16" s="6">
        <v>4</v>
      </c>
      <c r="YX16" s="6">
        <v>4</v>
      </c>
      <c r="YY16" s="6">
        <v>73.900000000000006</v>
      </c>
      <c r="YZ16" s="6">
        <v>2.9</v>
      </c>
      <c r="ZA16" s="6">
        <v>4</v>
      </c>
      <c r="ZB16">
        <v>2</v>
      </c>
      <c r="ZC16" s="1">
        <v>45089.661111111112</v>
      </c>
      <c r="ZD16">
        <v>3</v>
      </c>
      <c r="ZE16">
        <v>2</v>
      </c>
      <c r="ZF16">
        <v>3</v>
      </c>
      <c r="ZG16">
        <v>3</v>
      </c>
      <c r="ZH16">
        <v>2</v>
      </c>
      <c r="ZI16">
        <v>3</v>
      </c>
      <c r="ZJ16">
        <v>2</v>
      </c>
      <c r="ZK16">
        <v>1</v>
      </c>
      <c r="ZL16">
        <v>3</v>
      </c>
      <c r="ZM16">
        <v>3</v>
      </c>
      <c r="ZN16">
        <v>3</v>
      </c>
      <c r="ZO16">
        <v>2</v>
      </c>
      <c r="ZP16">
        <v>1</v>
      </c>
      <c r="ZQ16">
        <v>3</v>
      </c>
      <c r="ZR16">
        <v>2</v>
      </c>
      <c r="ZS16">
        <v>3</v>
      </c>
      <c r="ZT16">
        <v>3</v>
      </c>
      <c r="ZU16">
        <v>3</v>
      </c>
      <c r="ZV16">
        <v>2</v>
      </c>
      <c r="ZW16">
        <v>2</v>
      </c>
      <c r="ZX16" s="6">
        <f t="shared" si="36"/>
        <v>27</v>
      </c>
      <c r="ZY16" s="6">
        <f t="shared" si="37"/>
        <v>22</v>
      </c>
      <c r="ZZ16">
        <v>2</v>
      </c>
      <c r="AAA16" s="1">
        <v>45542.521527777775</v>
      </c>
      <c r="AAB16">
        <v>3</v>
      </c>
      <c r="AAC16">
        <v>1</v>
      </c>
      <c r="AAD16">
        <v>3</v>
      </c>
      <c r="AAE16">
        <v>2</v>
      </c>
      <c r="AAF16">
        <v>0</v>
      </c>
      <c r="AAG16">
        <v>2</v>
      </c>
      <c r="AAH16">
        <v>2</v>
      </c>
      <c r="AAI16">
        <v>1</v>
      </c>
      <c r="AAJ16">
        <v>1</v>
      </c>
      <c r="AAK16">
        <v>1</v>
      </c>
      <c r="AAL16">
        <v>0</v>
      </c>
      <c r="AAM16">
        <v>1</v>
      </c>
      <c r="AAN16">
        <v>2</v>
      </c>
      <c r="AAO16">
        <v>1</v>
      </c>
      <c r="AAP16">
        <v>1</v>
      </c>
      <c r="AAQ16">
        <v>2</v>
      </c>
      <c r="AAR16">
        <v>0</v>
      </c>
      <c r="AAS16">
        <v>1</v>
      </c>
      <c r="AAT16" s="6">
        <f t="shared" si="38"/>
        <v>12</v>
      </c>
      <c r="AAU16" s="6">
        <f t="shared" si="39"/>
        <v>3</v>
      </c>
      <c r="AAV16" s="6">
        <f t="shared" si="40"/>
        <v>9</v>
      </c>
      <c r="AAW16" s="6">
        <f t="shared" si="41"/>
        <v>24</v>
      </c>
      <c r="AAX16">
        <v>2</v>
      </c>
      <c r="AAY16" s="1">
        <v>45542.522916666669</v>
      </c>
      <c r="AAZ16">
        <v>1</v>
      </c>
      <c r="ABA16">
        <v>4</v>
      </c>
      <c r="ABB16">
        <v>2</v>
      </c>
      <c r="ABC16">
        <v>4</v>
      </c>
      <c r="ABD16">
        <v>4</v>
      </c>
      <c r="ABE16">
        <v>12</v>
      </c>
      <c r="ABF16">
        <v>3</v>
      </c>
      <c r="ABG16">
        <v>3</v>
      </c>
      <c r="ABH16">
        <v>1</v>
      </c>
      <c r="ABI16">
        <v>1</v>
      </c>
      <c r="ABJ16">
        <v>0</v>
      </c>
      <c r="ABK16">
        <v>3</v>
      </c>
      <c r="ABL16">
        <v>2</v>
      </c>
      <c r="ABM16">
        <v>2</v>
      </c>
      <c r="ABN16">
        <v>4</v>
      </c>
      <c r="ABO16" s="6">
        <f t="shared" si="42"/>
        <v>3.5</v>
      </c>
      <c r="ABP16" s="6">
        <f t="shared" si="43"/>
        <v>1.8571428571428572</v>
      </c>
      <c r="ABQ16">
        <v>2</v>
      </c>
      <c r="ABR16" s="1">
        <v>45542.524305555555</v>
      </c>
      <c r="ABS16">
        <v>0</v>
      </c>
      <c r="ABT16">
        <v>0</v>
      </c>
      <c r="ABU16">
        <v>2</v>
      </c>
      <c r="ABV16">
        <v>1</v>
      </c>
      <c r="ABW16">
        <v>0</v>
      </c>
      <c r="ABX16">
        <v>1</v>
      </c>
      <c r="ABY16">
        <v>0</v>
      </c>
      <c r="ABZ16">
        <v>1</v>
      </c>
      <c r="ACA16">
        <v>0</v>
      </c>
      <c r="ACB16">
        <v>1</v>
      </c>
      <c r="ACC16">
        <v>0</v>
      </c>
      <c r="ACD16">
        <v>1</v>
      </c>
      <c r="ACE16">
        <v>2</v>
      </c>
      <c r="ACF16">
        <v>0</v>
      </c>
      <c r="ACG16">
        <v>1</v>
      </c>
      <c r="ACH16">
        <v>1</v>
      </c>
      <c r="ACI16">
        <v>0</v>
      </c>
      <c r="ACJ16">
        <v>1</v>
      </c>
      <c r="ACK16">
        <v>2</v>
      </c>
      <c r="ACL16">
        <v>1</v>
      </c>
      <c r="ACM16">
        <v>0</v>
      </c>
      <c r="ACN16">
        <v>2</v>
      </c>
      <c r="ACO16">
        <v>1</v>
      </c>
      <c r="ACP16">
        <v>0</v>
      </c>
      <c r="ACQ16">
        <v>0</v>
      </c>
      <c r="ACR16">
        <v>1</v>
      </c>
      <c r="ACS16">
        <v>1</v>
      </c>
      <c r="ACT16">
        <v>0</v>
      </c>
      <c r="ACU16">
        <v>0</v>
      </c>
      <c r="ACV16">
        <v>0</v>
      </c>
      <c r="ACW16" s="6">
        <f t="shared" si="44"/>
        <v>4</v>
      </c>
      <c r="ACX16" s="6">
        <f t="shared" si="45"/>
        <v>1</v>
      </c>
      <c r="ACY16" s="6">
        <f t="shared" si="46"/>
        <v>0</v>
      </c>
      <c r="ACZ16" s="6">
        <f t="shared" si="47"/>
        <v>9</v>
      </c>
      <c r="ADA16" s="6">
        <f t="shared" si="48"/>
        <v>2</v>
      </c>
      <c r="ADB16" s="6">
        <f t="shared" si="49"/>
        <v>4</v>
      </c>
      <c r="ADC16" s="6">
        <f t="shared" si="50"/>
        <v>12</v>
      </c>
      <c r="ADD16">
        <v>2</v>
      </c>
      <c r="ADE16" s="1">
        <v>45542.525000000001</v>
      </c>
      <c r="ADF16" s="5">
        <v>2</v>
      </c>
      <c r="ADG16">
        <f t="shared" si="51"/>
        <v>3</v>
      </c>
      <c r="ADH16" s="5">
        <v>2</v>
      </c>
      <c r="ADI16">
        <f t="shared" si="52"/>
        <v>3</v>
      </c>
      <c r="ADJ16">
        <v>1</v>
      </c>
      <c r="ADK16">
        <v>1</v>
      </c>
      <c r="ADL16" s="5">
        <v>2</v>
      </c>
      <c r="ADM16">
        <f t="shared" si="3"/>
        <v>3</v>
      </c>
      <c r="ADN16">
        <v>1</v>
      </c>
      <c r="ADO16">
        <v>1</v>
      </c>
      <c r="ADP16" s="5">
        <v>2</v>
      </c>
      <c r="ADQ16">
        <f t="shared" si="4"/>
        <v>3</v>
      </c>
      <c r="ADR16">
        <v>1</v>
      </c>
      <c r="ADS16" s="5">
        <v>2</v>
      </c>
      <c r="ADT16">
        <f t="shared" si="5"/>
        <v>3</v>
      </c>
      <c r="ADU16" s="5">
        <v>2</v>
      </c>
      <c r="ADV16">
        <f t="shared" ref="ADV16" si="80">INDEX($AD$48:$AE$51, MATCH(ADU16, $AD$48:$AD$51, 0), 2)</f>
        <v>3</v>
      </c>
      <c r="ADW16">
        <v>2</v>
      </c>
      <c r="ADX16">
        <v>2</v>
      </c>
      <c r="ADY16">
        <v>2</v>
      </c>
      <c r="ADZ16" s="5">
        <v>2</v>
      </c>
      <c r="AEA16">
        <f t="shared" si="6"/>
        <v>3</v>
      </c>
      <c r="AEB16" s="5">
        <v>3</v>
      </c>
      <c r="AEC16">
        <f t="shared" ref="AEC16" si="81">INDEX($AD$48:$AE$51, MATCH(AEB16, $AD$48:$AD$51, 0), 2)</f>
        <v>2</v>
      </c>
      <c r="AED16">
        <v>2</v>
      </c>
      <c r="AEE16">
        <v>1</v>
      </c>
      <c r="AEF16" s="5">
        <v>2</v>
      </c>
      <c r="AEG16">
        <f t="shared" si="7"/>
        <v>3</v>
      </c>
      <c r="AEH16" s="5">
        <v>2</v>
      </c>
      <c r="AEI16">
        <f t="shared" si="8"/>
        <v>3</v>
      </c>
      <c r="AEJ16" s="6">
        <f t="shared" si="55"/>
        <v>46</v>
      </c>
      <c r="AEK16">
        <v>2</v>
      </c>
      <c r="AEL16" s="1">
        <v>45542.525000000001</v>
      </c>
      <c r="AEM16">
        <v>0</v>
      </c>
      <c r="AER16">
        <v>0</v>
      </c>
      <c r="AES16">
        <v>0</v>
      </c>
      <c r="AET16">
        <v>0</v>
      </c>
      <c r="AEU16">
        <v>0</v>
      </c>
      <c r="AEV16">
        <v>0</v>
      </c>
      <c r="AEX16">
        <v>2</v>
      </c>
    </row>
    <row r="17" spans="1:830">
      <c r="A17">
        <v>147</v>
      </c>
      <c r="B17" t="s">
        <v>1185</v>
      </c>
      <c r="C17">
        <v>2</v>
      </c>
      <c r="D17">
        <v>2</v>
      </c>
      <c r="E17">
        <v>60</v>
      </c>
      <c r="F17">
        <v>64</v>
      </c>
      <c r="G17">
        <v>115.6</v>
      </c>
      <c r="H17">
        <v>0</v>
      </c>
      <c r="I17">
        <v>6</v>
      </c>
      <c r="J17" t="s">
        <v>322</v>
      </c>
      <c r="K17" t="s">
        <v>323</v>
      </c>
      <c r="L17">
        <v>2</v>
      </c>
      <c r="M17" s="1">
        <v>45509.821527777778</v>
      </c>
      <c r="N17">
        <v>6</v>
      </c>
      <c r="O17">
        <v>0</v>
      </c>
      <c r="Q17">
        <v>0</v>
      </c>
      <c r="R17">
        <v>1</v>
      </c>
      <c r="S17">
        <v>0</v>
      </c>
      <c r="T17">
        <v>0</v>
      </c>
      <c r="U17">
        <v>0</v>
      </c>
      <c r="V17">
        <v>0</v>
      </c>
      <c r="W17">
        <v>0</v>
      </c>
      <c r="X17">
        <v>0</v>
      </c>
      <c r="Y17">
        <v>0</v>
      </c>
      <c r="Z17">
        <v>0</v>
      </c>
      <c r="AA17">
        <v>0</v>
      </c>
      <c r="AB17" t="s">
        <v>208</v>
      </c>
      <c r="AC17">
        <v>2</v>
      </c>
      <c r="AD17" s="1">
        <v>45509.824999999997</v>
      </c>
      <c r="AE17" s="5">
        <v>4</v>
      </c>
      <c r="AF17">
        <f t="shared" si="9"/>
        <v>1</v>
      </c>
      <c r="AG17">
        <v>1</v>
      </c>
      <c r="AH17" s="5">
        <v>4</v>
      </c>
      <c r="AI17">
        <f t="shared" si="10"/>
        <v>1</v>
      </c>
      <c r="AJ17">
        <v>1</v>
      </c>
      <c r="AK17">
        <v>1</v>
      </c>
      <c r="AL17" s="5">
        <v>1</v>
      </c>
      <c r="AM17">
        <f t="shared" si="11"/>
        <v>4</v>
      </c>
      <c r="AN17" s="5">
        <v>3</v>
      </c>
      <c r="AO17">
        <f t="shared" si="12"/>
        <v>2</v>
      </c>
      <c r="AP17">
        <v>1</v>
      </c>
      <c r="AQ17">
        <v>1</v>
      </c>
      <c r="AR17" s="5">
        <v>4</v>
      </c>
      <c r="AS17">
        <f t="shared" si="13"/>
        <v>1</v>
      </c>
      <c r="AT17">
        <v>1</v>
      </c>
      <c r="AU17">
        <v>1</v>
      </c>
      <c r="AV17" s="5">
        <v>4</v>
      </c>
      <c r="AW17">
        <f t="shared" si="14"/>
        <v>1</v>
      </c>
      <c r="AX17" s="5">
        <v>3</v>
      </c>
      <c r="AY17">
        <f t="shared" si="15"/>
        <v>2</v>
      </c>
      <c r="AZ17">
        <v>1</v>
      </c>
      <c r="BA17" s="5">
        <v>4</v>
      </c>
      <c r="BB17">
        <f t="shared" si="16"/>
        <v>1</v>
      </c>
      <c r="BC17">
        <v>1</v>
      </c>
      <c r="BD17">
        <v>1</v>
      </c>
      <c r="BE17" s="5">
        <v>4</v>
      </c>
      <c r="BF17">
        <f t="shared" si="17"/>
        <v>1</v>
      </c>
      <c r="BG17">
        <v>1</v>
      </c>
      <c r="BH17" s="6">
        <f t="shared" si="18"/>
        <v>25</v>
      </c>
      <c r="BI17">
        <v>2</v>
      </c>
      <c r="BJ17" s="1">
        <v>45509.82708333333</v>
      </c>
      <c r="BK17">
        <v>16</v>
      </c>
      <c r="BL17">
        <v>4</v>
      </c>
      <c r="BM17">
        <v>4</v>
      </c>
      <c r="BQ17" s="2">
        <v>43831</v>
      </c>
      <c r="BR17">
        <v>7</v>
      </c>
      <c r="BS17">
        <v>2</v>
      </c>
      <c r="BU17">
        <v>17</v>
      </c>
      <c r="BV17">
        <v>10</v>
      </c>
      <c r="BW17">
        <v>3</v>
      </c>
      <c r="BX17">
        <v>2</v>
      </c>
      <c r="BY17" s="1">
        <v>45509.828472222223</v>
      </c>
      <c r="BZ17">
        <v>4</v>
      </c>
      <c r="CA17">
        <v>3</v>
      </c>
      <c r="CB17">
        <v>3</v>
      </c>
      <c r="CC17">
        <v>3</v>
      </c>
      <c r="CD17">
        <v>4</v>
      </c>
      <c r="CE17">
        <v>4</v>
      </c>
      <c r="CF17">
        <v>1</v>
      </c>
      <c r="CG17">
        <v>3</v>
      </c>
      <c r="CH17">
        <v>4</v>
      </c>
      <c r="CI17">
        <v>3</v>
      </c>
      <c r="CJ17">
        <v>3</v>
      </c>
      <c r="CK17">
        <v>4</v>
      </c>
      <c r="CL17" s="5">
        <v>3</v>
      </c>
      <c r="CM17">
        <f t="shared" si="19"/>
        <v>2</v>
      </c>
      <c r="CN17">
        <v>3</v>
      </c>
      <c r="CO17">
        <v>3</v>
      </c>
      <c r="CP17">
        <v>4</v>
      </c>
      <c r="CQ17">
        <v>3</v>
      </c>
      <c r="CR17" s="5">
        <v>4</v>
      </c>
      <c r="CS17">
        <f t="shared" si="20"/>
        <v>1</v>
      </c>
      <c r="CT17">
        <v>3</v>
      </c>
      <c r="CU17">
        <v>4</v>
      </c>
      <c r="CV17" s="6">
        <f t="shared" si="21"/>
        <v>13</v>
      </c>
      <c r="CW17" s="6">
        <f t="shared" si="22"/>
        <v>15</v>
      </c>
      <c r="CX17" s="6">
        <f t="shared" si="23"/>
        <v>18</v>
      </c>
      <c r="CY17" s="6">
        <f t="shared" si="24"/>
        <v>46</v>
      </c>
      <c r="CZ17" s="6">
        <f t="shared" si="25"/>
        <v>16</v>
      </c>
      <c r="DA17">
        <v>2</v>
      </c>
      <c r="DB17" s="1">
        <v>45509.830555555556</v>
      </c>
      <c r="DC17">
        <v>0</v>
      </c>
      <c r="DD17">
        <v>0</v>
      </c>
      <c r="DE17">
        <v>0</v>
      </c>
      <c r="DF17">
        <v>0</v>
      </c>
      <c r="DG17">
        <v>1</v>
      </c>
      <c r="DH17">
        <v>0</v>
      </c>
      <c r="DI17">
        <v>0</v>
      </c>
      <c r="DJ17">
        <v>1</v>
      </c>
      <c r="DK17">
        <v>0</v>
      </c>
      <c r="DL17">
        <v>0</v>
      </c>
      <c r="DM17">
        <v>0</v>
      </c>
      <c r="DN17">
        <v>0</v>
      </c>
      <c r="DO17">
        <v>0</v>
      </c>
      <c r="DP17">
        <v>0</v>
      </c>
      <c r="DQ17">
        <v>1</v>
      </c>
      <c r="DR17">
        <v>0</v>
      </c>
      <c r="DS17">
        <v>0</v>
      </c>
      <c r="DT17">
        <v>0</v>
      </c>
      <c r="DU17">
        <v>0</v>
      </c>
      <c r="DV17">
        <v>1</v>
      </c>
      <c r="DW17">
        <v>0</v>
      </c>
      <c r="DX17">
        <v>0</v>
      </c>
      <c r="DY17">
        <v>0</v>
      </c>
      <c r="DZ17">
        <v>0</v>
      </c>
      <c r="EA17">
        <v>1</v>
      </c>
      <c r="EB17">
        <v>0</v>
      </c>
      <c r="EC17">
        <v>0</v>
      </c>
      <c r="ED17">
        <v>1</v>
      </c>
      <c r="EE17">
        <v>0</v>
      </c>
      <c r="EF17">
        <v>0</v>
      </c>
      <c r="EG17">
        <v>0</v>
      </c>
      <c r="EH17">
        <v>0</v>
      </c>
      <c r="EI17">
        <v>1</v>
      </c>
      <c r="EJ17">
        <v>0</v>
      </c>
      <c r="EK17">
        <v>0</v>
      </c>
      <c r="EL17">
        <v>1</v>
      </c>
      <c r="EM17">
        <v>0</v>
      </c>
      <c r="EN17">
        <v>0</v>
      </c>
      <c r="EO17">
        <v>0</v>
      </c>
      <c r="EP17">
        <v>0</v>
      </c>
      <c r="EQ17">
        <v>0</v>
      </c>
      <c r="ER17">
        <v>0</v>
      </c>
      <c r="ES17">
        <v>0</v>
      </c>
      <c r="ET17">
        <v>0</v>
      </c>
      <c r="EU17">
        <v>1</v>
      </c>
      <c r="EV17">
        <v>0</v>
      </c>
      <c r="EW17">
        <v>0</v>
      </c>
      <c r="EX17">
        <v>0</v>
      </c>
      <c r="EY17">
        <v>0</v>
      </c>
      <c r="EZ17">
        <v>1</v>
      </c>
      <c r="FA17">
        <v>0</v>
      </c>
      <c r="FB17">
        <v>0</v>
      </c>
      <c r="FC17">
        <v>0</v>
      </c>
      <c r="FD17">
        <v>0</v>
      </c>
      <c r="FE17">
        <v>1</v>
      </c>
      <c r="FF17">
        <v>1</v>
      </c>
      <c r="FG17">
        <v>0</v>
      </c>
      <c r="FH17">
        <v>0</v>
      </c>
      <c r="FI17">
        <v>0</v>
      </c>
      <c r="FJ17">
        <v>0</v>
      </c>
      <c r="FK17">
        <v>0</v>
      </c>
      <c r="FL17">
        <v>0</v>
      </c>
      <c r="FM17">
        <v>0</v>
      </c>
      <c r="FN17">
        <v>0</v>
      </c>
      <c r="FO17">
        <v>1</v>
      </c>
      <c r="FP17">
        <v>0</v>
      </c>
      <c r="FQ17">
        <v>0</v>
      </c>
      <c r="FR17">
        <v>1</v>
      </c>
      <c r="FS17">
        <v>0</v>
      </c>
      <c r="FT17">
        <v>0</v>
      </c>
      <c r="FU17">
        <v>0</v>
      </c>
      <c r="FV17">
        <v>0</v>
      </c>
      <c r="FW17">
        <v>1</v>
      </c>
      <c r="FX17">
        <v>0</v>
      </c>
      <c r="FY17">
        <v>0</v>
      </c>
      <c r="FZ17">
        <v>0</v>
      </c>
      <c r="GA17">
        <v>0</v>
      </c>
      <c r="GB17">
        <v>0</v>
      </c>
      <c r="GC17">
        <v>0</v>
      </c>
      <c r="GD17">
        <v>1</v>
      </c>
      <c r="GE17">
        <v>0</v>
      </c>
      <c r="GF17">
        <v>0</v>
      </c>
      <c r="GG17">
        <v>0</v>
      </c>
      <c r="GH17">
        <v>0</v>
      </c>
      <c r="GI17">
        <v>1</v>
      </c>
      <c r="GJ17" s="6">
        <f t="shared" si="26"/>
        <v>17</v>
      </c>
      <c r="GK17">
        <v>2</v>
      </c>
      <c r="GL17" s="1">
        <v>45509.832638888889</v>
      </c>
      <c r="GM17">
        <v>1</v>
      </c>
      <c r="GN17">
        <v>3</v>
      </c>
      <c r="GO17">
        <v>1</v>
      </c>
      <c r="GP17">
        <v>2</v>
      </c>
      <c r="GQ17" s="5">
        <v>4</v>
      </c>
      <c r="GR17">
        <f t="shared" si="27"/>
        <v>1</v>
      </c>
      <c r="GS17">
        <v>3</v>
      </c>
      <c r="GT17">
        <v>1</v>
      </c>
      <c r="GU17">
        <v>1</v>
      </c>
      <c r="GV17" s="5">
        <v>4</v>
      </c>
      <c r="GW17">
        <f t="shared" si="0"/>
        <v>1</v>
      </c>
      <c r="GX17">
        <v>2</v>
      </c>
      <c r="GY17">
        <v>1</v>
      </c>
      <c r="GZ17">
        <v>1</v>
      </c>
      <c r="HA17" s="5">
        <v>4</v>
      </c>
      <c r="HB17">
        <f t="shared" si="1"/>
        <v>1</v>
      </c>
      <c r="HC17">
        <v>1</v>
      </c>
      <c r="HD17">
        <v>1</v>
      </c>
      <c r="HE17">
        <v>2</v>
      </c>
      <c r="HF17" s="5">
        <v>4</v>
      </c>
      <c r="HG17">
        <f t="shared" si="2"/>
        <v>1</v>
      </c>
      <c r="HH17">
        <v>2</v>
      </c>
      <c r="HI17" s="6">
        <f t="shared" si="28"/>
        <v>10</v>
      </c>
      <c r="HJ17" s="6">
        <f t="shared" si="29"/>
        <v>8</v>
      </c>
      <c r="HK17" s="6">
        <f t="shared" si="30"/>
        <v>25</v>
      </c>
      <c r="HL17">
        <v>2</v>
      </c>
      <c r="HM17" s="1">
        <v>45509.833333333336</v>
      </c>
      <c r="HN17">
        <v>4</v>
      </c>
      <c r="HO17">
        <v>11</v>
      </c>
      <c r="HP17">
        <v>1</v>
      </c>
      <c r="HQ17">
        <v>2</v>
      </c>
      <c r="HR17" s="1">
        <v>45510.604166666664</v>
      </c>
      <c r="HS17">
        <v>0</v>
      </c>
      <c r="HT17">
        <v>1</v>
      </c>
      <c r="HU17">
        <v>0</v>
      </c>
      <c r="HV17">
        <v>0</v>
      </c>
      <c r="HW17">
        <v>0</v>
      </c>
      <c r="HX17">
        <v>0</v>
      </c>
      <c r="HY17">
        <v>0</v>
      </c>
      <c r="HZ17">
        <v>0</v>
      </c>
      <c r="IA17">
        <v>0</v>
      </c>
      <c r="IB17">
        <v>0</v>
      </c>
      <c r="IC17">
        <v>0</v>
      </c>
      <c r="ID17">
        <v>0</v>
      </c>
      <c r="IE17">
        <v>0</v>
      </c>
      <c r="IF17">
        <v>0</v>
      </c>
      <c r="IG17">
        <v>0</v>
      </c>
      <c r="IH17">
        <v>0</v>
      </c>
      <c r="II17">
        <v>0</v>
      </c>
      <c r="IJ17">
        <v>0</v>
      </c>
      <c r="IK17">
        <v>0</v>
      </c>
      <c r="IL17">
        <v>0</v>
      </c>
      <c r="IM17">
        <v>0</v>
      </c>
      <c r="IN17" s="6">
        <f t="shared" si="31"/>
        <v>1</v>
      </c>
      <c r="IO17">
        <v>2</v>
      </c>
      <c r="IP17" s="1">
        <v>45510.606944444444</v>
      </c>
      <c r="IQ17">
        <v>1</v>
      </c>
      <c r="IR17">
        <v>1</v>
      </c>
      <c r="IS17">
        <v>0</v>
      </c>
      <c r="IT17">
        <v>1</v>
      </c>
      <c r="IU17">
        <v>0</v>
      </c>
      <c r="IV17">
        <v>0</v>
      </c>
      <c r="IW17">
        <v>0</v>
      </c>
      <c r="IX17">
        <v>0</v>
      </c>
      <c r="IY17">
        <v>0</v>
      </c>
      <c r="IZ17">
        <v>0</v>
      </c>
      <c r="JA17">
        <v>1</v>
      </c>
      <c r="JB17">
        <v>1</v>
      </c>
      <c r="JC17">
        <v>1</v>
      </c>
      <c r="JD17">
        <v>1</v>
      </c>
      <c r="JE17">
        <v>0</v>
      </c>
      <c r="JF17">
        <v>0</v>
      </c>
      <c r="JG17">
        <v>1</v>
      </c>
      <c r="JH17">
        <v>0</v>
      </c>
      <c r="JI17">
        <v>1</v>
      </c>
      <c r="JJ17">
        <v>0</v>
      </c>
      <c r="JK17" t="s">
        <v>324</v>
      </c>
      <c r="JL17">
        <v>2</v>
      </c>
      <c r="JM17">
        <v>2</v>
      </c>
      <c r="JN17">
        <v>3</v>
      </c>
      <c r="JO17">
        <v>0</v>
      </c>
      <c r="JP17">
        <v>0</v>
      </c>
      <c r="JQ17">
        <v>0</v>
      </c>
      <c r="JR17" t="s">
        <v>325</v>
      </c>
      <c r="JS17" t="s">
        <v>326</v>
      </c>
      <c r="JT17" s="6">
        <f t="shared" si="32"/>
        <v>9</v>
      </c>
      <c r="JU17" s="6">
        <v>20</v>
      </c>
      <c r="JV17" s="6">
        <f t="shared" si="33"/>
        <v>7</v>
      </c>
      <c r="JW17" s="6">
        <f t="shared" si="34"/>
        <v>0</v>
      </c>
      <c r="JX17">
        <v>2</v>
      </c>
      <c r="JY17" s="1">
        <v>45510.607638888891</v>
      </c>
      <c r="JZ17">
        <v>0</v>
      </c>
      <c r="KA17">
        <v>0</v>
      </c>
      <c r="KB17">
        <v>0</v>
      </c>
      <c r="KC17" s="6">
        <f t="shared" si="35"/>
        <v>0</v>
      </c>
      <c r="KD17">
        <v>2</v>
      </c>
      <c r="KE17" s="1">
        <v>45510.60833333333</v>
      </c>
      <c r="KF17">
        <v>64.400000000000006</v>
      </c>
      <c r="KG17">
        <v>2.5</v>
      </c>
      <c r="KP17">
        <v>5</v>
      </c>
      <c r="KQ17">
        <v>70.5</v>
      </c>
      <c r="KR17">
        <v>5.0999999999999996</v>
      </c>
      <c r="KS17">
        <v>1</v>
      </c>
      <c r="UX17">
        <v>4</v>
      </c>
      <c r="UY17">
        <v>68.2</v>
      </c>
      <c r="UZ17">
        <v>3.3</v>
      </c>
      <c r="VA17">
        <v>2</v>
      </c>
      <c r="WX17">
        <v>4</v>
      </c>
      <c r="WY17">
        <v>64.400000000000006</v>
      </c>
      <c r="WZ17">
        <v>2.5</v>
      </c>
      <c r="XA17">
        <v>4</v>
      </c>
      <c r="XN17" s="6">
        <v>3</v>
      </c>
      <c r="XO17" s="6">
        <v>64.8</v>
      </c>
      <c r="XP17" s="6">
        <v>3</v>
      </c>
      <c r="XQ17" s="6">
        <v>3</v>
      </c>
      <c r="YX17" s="6">
        <v>3</v>
      </c>
      <c r="YY17" s="6">
        <v>64.8</v>
      </c>
      <c r="YZ17" s="6">
        <v>3</v>
      </c>
      <c r="ZA17" s="6">
        <v>3</v>
      </c>
      <c r="ZB17">
        <v>2</v>
      </c>
      <c r="ZC17" s="1">
        <v>45090.661111111112</v>
      </c>
      <c r="ZD17">
        <v>4</v>
      </c>
      <c r="ZE17">
        <v>2</v>
      </c>
      <c r="ZF17">
        <v>4</v>
      </c>
      <c r="ZG17">
        <v>2</v>
      </c>
      <c r="ZH17">
        <v>4</v>
      </c>
      <c r="ZI17">
        <v>1</v>
      </c>
      <c r="ZJ17">
        <v>1</v>
      </c>
      <c r="ZK17">
        <v>1</v>
      </c>
      <c r="ZL17">
        <v>3</v>
      </c>
      <c r="ZM17">
        <v>2</v>
      </c>
      <c r="ZN17">
        <v>1</v>
      </c>
      <c r="ZO17">
        <v>2</v>
      </c>
      <c r="ZP17">
        <v>1</v>
      </c>
      <c r="ZQ17">
        <v>2</v>
      </c>
      <c r="ZR17">
        <v>1</v>
      </c>
      <c r="ZS17">
        <v>4</v>
      </c>
      <c r="ZT17">
        <v>3</v>
      </c>
      <c r="ZU17">
        <v>1</v>
      </c>
      <c r="ZV17">
        <v>3</v>
      </c>
      <c r="ZW17">
        <v>1</v>
      </c>
      <c r="ZX17" s="6">
        <f t="shared" si="36"/>
        <v>31</v>
      </c>
      <c r="ZY17" s="6">
        <f t="shared" si="37"/>
        <v>12</v>
      </c>
      <c r="ZZ17">
        <v>2</v>
      </c>
      <c r="AAA17" s="1">
        <v>45510.611805555556</v>
      </c>
      <c r="AAB17">
        <v>1</v>
      </c>
      <c r="AAC17">
        <v>0</v>
      </c>
      <c r="AAD17">
        <v>0</v>
      </c>
      <c r="AAE17">
        <v>0</v>
      </c>
      <c r="AAF17">
        <v>0</v>
      </c>
      <c r="AAG17">
        <v>0</v>
      </c>
      <c r="AAH17">
        <v>0</v>
      </c>
      <c r="AAI17">
        <v>0</v>
      </c>
      <c r="AAJ17">
        <v>0</v>
      </c>
      <c r="AAK17">
        <v>0</v>
      </c>
      <c r="AAL17">
        <v>0</v>
      </c>
      <c r="AAM17">
        <v>0</v>
      </c>
      <c r="AAN17">
        <v>1</v>
      </c>
      <c r="AAO17">
        <v>1</v>
      </c>
      <c r="AAP17">
        <v>1</v>
      </c>
      <c r="AAQ17">
        <v>1</v>
      </c>
      <c r="AAR17">
        <v>0</v>
      </c>
      <c r="AAS17">
        <v>0</v>
      </c>
      <c r="AAT17" s="6">
        <f t="shared" si="38"/>
        <v>3</v>
      </c>
      <c r="AAU17" s="6">
        <f t="shared" si="39"/>
        <v>1</v>
      </c>
      <c r="AAV17" s="6">
        <f t="shared" si="40"/>
        <v>1</v>
      </c>
      <c r="AAW17" s="6">
        <f t="shared" si="41"/>
        <v>5</v>
      </c>
      <c r="AAX17">
        <v>2</v>
      </c>
      <c r="AAY17" s="1">
        <v>45510.613888888889</v>
      </c>
      <c r="AAZ17">
        <v>1</v>
      </c>
      <c r="ABA17">
        <v>4</v>
      </c>
      <c r="ABB17">
        <v>3</v>
      </c>
      <c r="ABC17">
        <v>5</v>
      </c>
      <c r="ABD17">
        <v>3</v>
      </c>
      <c r="ABE17">
        <v>18</v>
      </c>
      <c r="ABF17">
        <v>4</v>
      </c>
      <c r="ABG17">
        <v>3</v>
      </c>
      <c r="ABH17">
        <v>2</v>
      </c>
      <c r="ABI17">
        <v>4</v>
      </c>
      <c r="ABJ17">
        <v>3</v>
      </c>
      <c r="ABK17">
        <v>7</v>
      </c>
      <c r="ABL17">
        <v>3</v>
      </c>
      <c r="ABM17">
        <v>6</v>
      </c>
      <c r="ABN17">
        <v>0</v>
      </c>
      <c r="ABO17" s="6">
        <f t="shared" si="42"/>
        <v>3.75</v>
      </c>
      <c r="ABP17" s="6">
        <f t="shared" si="43"/>
        <v>3.7142857142857144</v>
      </c>
      <c r="ABQ17">
        <v>2</v>
      </c>
      <c r="ABR17" s="1">
        <v>45510.615972222222</v>
      </c>
      <c r="ABS17">
        <v>1</v>
      </c>
      <c r="ABT17">
        <v>0</v>
      </c>
      <c r="ABU17">
        <v>1</v>
      </c>
      <c r="ABV17">
        <v>2</v>
      </c>
      <c r="ABW17">
        <v>1</v>
      </c>
      <c r="ABX17">
        <v>0</v>
      </c>
      <c r="ABY17">
        <v>0</v>
      </c>
      <c r="ABZ17">
        <v>2</v>
      </c>
      <c r="ACA17">
        <v>0</v>
      </c>
      <c r="ACB17">
        <v>2</v>
      </c>
      <c r="ACC17">
        <v>0</v>
      </c>
      <c r="ACD17">
        <v>0</v>
      </c>
      <c r="ACE17">
        <v>2</v>
      </c>
      <c r="ACF17">
        <v>0</v>
      </c>
      <c r="ACG17">
        <v>1</v>
      </c>
      <c r="ACH17">
        <v>0</v>
      </c>
      <c r="ACI17">
        <v>0</v>
      </c>
      <c r="ACJ17">
        <v>1</v>
      </c>
      <c r="ACK17">
        <v>2</v>
      </c>
      <c r="ACL17">
        <v>0</v>
      </c>
      <c r="ACM17">
        <v>0</v>
      </c>
      <c r="ACN17">
        <v>0</v>
      </c>
      <c r="ACO17">
        <v>1</v>
      </c>
      <c r="ACP17">
        <v>1</v>
      </c>
      <c r="ACQ17">
        <v>0</v>
      </c>
      <c r="ACR17">
        <v>2</v>
      </c>
      <c r="ACS17">
        <v>2</v>
      </c>
      <c r="ACT17">
        <v>0</v>
      </c>
      <c r="ACU17">
        <v>2</v>
      </c>
      <c r="ACV17">
        <v>1</v>
      </c>
      <c r="ACW17" s="6">
        <f t="shared" si="44"/>
        <v>1</v>
      </c>
      <c r="ACX17" s="6">
        <f t="shared" si="45"/>
        <v>1</v>
      </c>
      <c r="ACY17" s="6">
        <f t="shared" si="46"/>
        <v>0</v>
      </c>
      <c r="ACZ17" s="6">
        <f t="shared" si="47"/>
        <v>6</v>
      </c>
      <c r="ADA17" s="6">
        <f t="shared" si="48"/>
        <v>7</v>
      </c>
      <c r="ADB17" s="6">
        <f t="shared" si="49"/>
        <v>9</v>
      </c>
      <c r="ADC17" s="6">
        <f t="shared" si="50"/>
        <v>6</v>
      </c>
      <c r="ADD17">
        <v>2</v>
      </c>
      <c r="ADE17" s="1">
        <v>45510.617361111108</v>
      </c>
      <c r="ADF17" s="5">
        <v>2</v>
      </c>
      <c r="ADG17">
        <f t="shared" si="51"/>
        <v>3</v>
      </c>
      <c r="ADH17" s="5">
        <v>4</v>
      </c>
      <c r="ADI17">
        <f t="shared" si="52"/>
        <v>1</v>
      </c>
      <c r="ADJ17">
        <v>2</v>
      </c>
      <c r="ADK17">
        <v>1</v>
      </c>
      <c r="ADL17" s="5">
        <v>4</v>
      </c>
      <c r="ADM17">
        <f t="shared" si="3"/>
        <v>1</v>
      </c>
      <c r="ADN17">
        <v>1</v>
      </c>
      <c r="ADO17">
        <v>2</v>
      </c>
      <c r="ADP17" s="5">
        <v>4</v>
      </c>
      <c r="ADQ17">
        <f t="shared" si="4"/>
        <v>1</v>
      </c>
      <c r="ADR17">
        <v>1</v>
      </c>
      <c r="ADS17" s="5">
        <v>4</v>
      </c>
      <c r="ADT17">
        <f t="shared" si="5"/>
        <v>1</v>
      </c>
      <c r="ADU17" s="5">
        <v>4</v>
      </c>
      <c r="ADV17">
        <f t="shared" ref="ADV17" si="82">INDEX($AD$48:$AE$51, MATCH(ADU17, $AD$48:$AD$51, 0), 2)</f>
        <v>1</v>
      </c>
      <c r="ADW17">
        <v>1</v>
      </c>
      <c r="ADX17">
        <v>1</v>
      </c>
      <c r="ADY17">
        <v>2</v>
      </c>
      <c r="ADZ17" s="5">
        <v>2</v>
      </c>
      <c r="AEA17">
        <f t="shared" si="6"/>
        <v>3</v>
      </c>
      <c r="AEB17" s="5">
        <v>4</v>
      </c>
      <c r="AEC17">
        <f t="shared" ref="AEC17" si="83">INDEX($AD$48:$AE$51, MATCH(AEB17, $AD$48:$AD$51, 0), 2)</f>
        <v>1</v>
      </c>
      <c r="AED17">
        <v>2</v>
      </c>
      <c r="AEE17">
        <v>1</v>
      </c>
      <c r="AEF17" s="5">
        <v>3</v>
      </c>
      <c r="AEG17">
        <f t="shared" si="7"/>
        <v>2</v>
      </c>
      <c r="AEH17" s="5">
        <v>4</v>
      </c>
      <c r="AEI17">
        <f t="shared" si="8"/>
        <v>1</v>
      </c>
      <c r="AEJ17" s="6">
        <f t="shared" si="55"/>
        <v>32</v>
      </c>
      <c r="AEK17">
        <v>2</v>
      </c>
      <c r="AEL17" s="1">
        <v>45510.617361111108</v>
      </c>
      <c r="AEM17">
        <v>0</v>
      </c>
      <c r="AER17">
        <v>0</v>
      </c>
      <c r="AES17">
        <v>0</v>
      </c>
      <c r="AET17">
        <v>0</v>
      </c>
      <c r="AEU17">
        <v>0</v>
      </c>
      <c r="AEV17">
        <v>0</v>
      </c>
      <c r="AEX17">
        <v>2</v>
      </c>
    </row>
    <row r="18" spans="1:830">
      <c r="A18">
        <v>143</v>
      </c>
      <c r="B18" t="s">
        <v>1181</v>
      </c>
      <c r="C18">
        <v>2</v>
      </c>
      <c r="D18">
        <v>2</v>
      </c>
      <c r="E18">
        <v>41</v>
      </c>
      <c r="F18">
        <v>68</v>
      </c>
      <c r="G18">
        <v>186</v>
      </c>
      <c r="H18">
        <v>0</v>
      </c>
      <c r="I18">
        <v>3</v>
      </c>
      <c r="K18" t="s">
        <v>282</v>
      </c>
      <c r="L18">
        <v>2</v>
      </c>
      <c r="M18" s="1">
        <v>45501.487500000003</v>
      </c>
      <c r="N18">
        <v>7</v>
      </c>
      <c r="O18">
        <v>0</v>
      </c>
      <c r="Q18">
        <v>0</v>
      </c>
      <c r="R18">
        <v>1</v>
      </c>
      <c r="S18">
        <v>0</v>
      </c>
      <c r="T18">
        <v>0</v>
      </c>
      <c r="U18">
        <v>0</v>
      </c>
      <c r="V18">
        <v>0</v>
      </c>
      <c r="W18">
        <v>0</v>
      </c>
      <c r="X18">
        <v>0</v>
      </c>
      <c r="Y18">
        <v>0</v>
      </c>
      <c r="Z18">
        <v>0</v>
      </c>
      <c r="AA18">
        <v>0</v>
      </c>
      <c r="AB18" t="s">
        <v>208</v>
      </c>
      <c r="AC18">
        <v>2</v>
      </c>
      <c r="AD18" s="1">
        <v>45501.488888888889</v>
      </c>
      <c r="AE18" s="5">
        <v>3</v>
      </c>
      <c r="AF18">
        <f t="shared" si="9"/>
        <v>2</v>
      </c>
      <c r="AG18">
        <v>2</v>
      </c>
      <c r="AH18" s="5">
        <v>3</v>
      </c>
      <c r="AI18">
        <f t="shared" si="10"/>
        <v>2</v>
      </c>
      <c r="AJ18">
        <v>1</v>
      </c>
      <c r="AK18">
        <v>1</v>
      </c>
      <c r="AL18" s="5">
        <v>1</v>
      </c>
      <c r="AM18">
        <f t="shared" si="11"/>
        <v>4</v>
      </c>
      <c r="AN18" s="5">
        <v>3</v>
      </c>
      <c r="AO18">
        <f t="shared" si="12"/>
        <v>2</v>
      </c>
      <c r="AP18">
        <v>2</v>
      </c>
      <c r="AQ18">
        <v>1</v>
      </c>
      <c r="AR18" s="5">
        <v>4</v>
      </c>
      <c r="AS18">
        <f t="shared" si="13"/>
        <v>1</v>
      </c>
      <c r="AT18">
        <v>1</v>
      </c>
      <c r="AU18">
        <v>2</v>
      </c>
      <c r="AV18" s="5">
        <v>4</v>
      </c>
      <c r="AW18">
        <f t="shared" si="14"/>
        <v>1</v>
      </c>
      <c r="AX18" s="5">
        <v>2</v>
      </c>
      <c r="AY18">
        <f t="shared" si="15"/>
        <v>3</v>
      </c>
      <c r="AZ18">
        <v>2</v>
      </c>
      <c r="BA18" s="5">
        <v>4</v>
      </c>
      <c r="BB18">
        <f t="shared" si="16"/>
        <v>1</v>
      </c>
      <c r="BC18">
        <v>2</v>
      </c>
      <c r="BD18">
        <v>1</v>
      </c>
      <c r="BE18" s="5">
        <v>3</v>
      </c>
      <c r="BF18">
        <f t="shared" si="17"/>
        <v>2</v>
      </c>
      <c r="BG18">
        <v>2</v>
      </c>
      <c r="BH18" s="6">
        <f t="shared" si="18"/>
        <v>35</v>
      </c>
      <c r="BI18">
        <v>2</v>
      </c>
      <c r="BJ18" s="1">
        <v>45501.490277777775</v>
      </c>
      <c r="BK18">
        <v>15</v>
      </c>
      <c r="BL18">
        <v>3</v>
      </c>
      <c r="BM18">
        <v>1</v>
      </c>
      <c r="BQ18" s="2">
        <v>45501</v>
      </c>
      <c r="BU18">
        <v>28</v>
      </c>
      <c r="BV18">
        <v>5</v>
      </c>
      <c r="BW18">
        <v>2</v>
      </c>
      <c r="BX18">
        <v>2</v>
      </c>
      <c r="BY18" s="1">
        <v>45501.491666666669</v>
      </c>
      <c r="BZ18">
        <v>3</v>
      </c>
      <c r="CA18">
        <v>3</v>
      </c>
      <c r="CB18">
        <v>3</v>
      </c>
      <c r="CC18">
        <v>3</v>
      </c>
      <c r="CD18">
        <v>4</v>
      </c>
      <c r="CE18">
        <v>3</v>
      </c>
      <c r="CF18">
        <v>2</v>
      </c>
      <c r="CG18">
        <v>3</v>
      </c>
      <c r="CH18">
        <v>3</v>
      </c>
      <c r="CI18">
        <v>3</v>
      </c>
      <c r="CJ18">
        <v>3</v>
      </c>
      <c r="CK18">
        <v>3</v>
      </c>
      <c r="CL18" s="5">
        <v>2</v>
      </c>
      <c r="CM18">
        <f t="shared" si="19"/>
        <v>3</v>
      </c>
      <c r="CN18">
        <v>3</v>
      </c>
      <c r="CO18">
        <v>3</v>
      </c>
      <c r="CP18">
        <v>2</v>
      </c>
      <c r="CQ18">
        <v>2</v>
      </c>
      <c r="CR18" s="5">
        <v>2</v>
      </c>
      <c r="CS18">
        <f t="shared" si="20"/>
        <v>3</v>
      </c>
      <c r="CT18">
        <v>2</v>
      </c>
      <c r="CU18">
        <v>2</v>
      </c>
      <c r="CV18" s="6">
        <f t="shared" si="21"/>
        <v>11</v>
      </c>
      <c r="CW18" s="6">
        <f t="shared" si="22"/>
        <v>12</v>
      </c>
      <c r="CX18" s="6">
        <f t="shared" si="23"/>
        <v>13</v>
      </c>
      <c r="CY18" s="6">
        <f t="shared" si="24"/>
        <v>36</v>
      </c>
      <c r="CZ18" s="6">
        <f t="shared" si="25"/>
        <v>20</v>
      </c>
      <c r="DA18">
        <v>2</v>
      </c>
      <c r="DB18" s="1">
        <v>45501.496527777781</v>
      </c>
      <c r="DC18">
        <v>1</v>
      </c>
      <c r="DD18">
        <v>1</v>
      </c>
      <c r="DE18">
        <v>1</v>
      </c>
      <c r="DF18">
        <v>0</v>
      </c>
      <c r="DG18">
        <v>0</v>
      </c>
      <c r="DH18">
        <v>1</v>
      </c>
      <c r="DI18">
        <v>1</v>
      </c>
      <c r="DJ18">
        <v>1</v>
      </c>
      <c r="DK18">
        <v>0</v>
      </c>
      <c r="DL18">
        <v>0</v>
      </c>
      <c r="DM18">
        <v>1</v>
      </c>
      <c r="DN18">
        <v>1</v>
      </c>
      <c r="DO18">
        <v>1</v>
      </c>
      <c r="DP18">
        <v>0</v>
      </c>
      <c r="DQ18">
        <v>0</v>
      </c>
      <c r="DR18">
        <v>1</v>
      </c>
      <c r="DS18">
        <v>1</v>
      </c>
      <c r="DT18">
        <v>1</v>
      </c>
      <c r="DU18">
        <v>0</v>
      </c>
      <c r="DV18">
        <v>0</v>
      </c>
      <c r="DW18">
        <v>0</v>
      </c>
      <c r="DX18">
        <v>0</v>
      </c>
      <c r="DY18">
        <v>0</v>
      </c>
      <c r="DZ18">
        <v>1</v>
      </c>
      <c r="EA18">
        <v>0</v>
      </c>
      <c r="EB18">
        <v>1</v>
      </c>
      <c r="EC18">
        <v>1</v>
      </c>
      <c r="ED18">
        <v>1</v>
      </c>
      <c r="EE18">
        <v>0</v>
      </c>
      <c r="EF18">
        <v>0</v>
      </c>
      <c r="EG18">
        <v>1</v>
      </c>
      <c r="EH18">
        <v>1</v>
      </c>
      <c r="EI18">
        <v>1</v>
      </c>
      <c r="EJ18">
        <v>0</v>
      </c>
      <c r="EK18">
        <v>0</v>
      </c>
      <c r="EL18">
        <v>1</v>
      </c>
      <c r="EM18">
        <v>0</v>
      </c>
      <c r="EN18">
        <v>0</v>
      </c>
      <c r="EO18">
        <v>0</v>
      </c>
      <c r="EP18">
        <v>0</v>
      </c>
      <c r="EQ18">
        <v>1</v>
      </c>
      <c r="ER18">
        <v>0</v>
      </c>
      <c r="ES18">
        <v>0</v>
      </c>
      <c r="ET18">
        <v>0</v>
      </c>
      <c r="EU18">
        <v>0</v>
      </c>
      <c r="EV18">
        <v>0</v>
      </c>
      <c r="EW18">
        <v>0</v>
      </c>
      <c r="EX18">
        <v>0</v>
      </c>
      <c r="EY18">
        <v>0</v>
      </c>
      <c r="EZ18">
        <v>1</v>
      </c>
      <c r="FA18">
        <v>0</v>
      </c>
      <c r="FB18">
        <v>0</v>
      </c>
      <c r="FC18">
        <v>0</v>
      </c>
      <c r="FD18">
        <v>0</v>
      </c>
      <c r="FE18">
        <v>1</v>
      </c>
      <c r="FF18">
        <v>1</v>
      </c>
      <c r="FG18">
        <v>1</v>
      </c>
      <c r="FH18">
        <v>1</v>
      </c>
      <c r="FI18">
        <v>0</v>
      </c>
      <c r="FJ18">
        <v>0</v>
      </c>
      <c r="FK18">
        <v>0</v>
      </c>
      <c r="FL18">
        <v>1</v>
      </c>
      <c r="FM18">
        <v>0</v>
      </c>
      <c r="FN18">
        <v>0</v>
      </c>
      <c r="FO18">
        <v>0</v>
      </c>
      <c r="FP18">
        <v>0</v>
      </c>
      <c r="FQ18">
        <v>0</v>
      </c>
      <c r="FR18">
        <v>0</v>
      </c>
      <c r="FS18">
        <v>0</v>
      </c>
      <c r="FT18">
        <v>1</v>
      </c>
      <c r="FU18">
        <v>1</v>
      </c>
      <c r="FV18">
        <v>0</v>
      </c>
      <c r="FW18">
        <v>1</v>
      </c>
      <c r="FX18">
        <v>0</v>
      </c>
      <c r="FY18">
        <v>0</v>
      </c>
      <c r="FZ18">
        <v>0</v>
      </c>
      <c r="GA18">
        <v>0</v>
      </c>
      <c r="GB18">
        <v>0</v>
      </c>
      <c r="GC18">
        <v>0</v>
      </c>
      <c r="GD18">
        <v>1</v>
      </c>
      <c r="GE18">
        <v>1</v>
      </c>
      <c r="GF18">
        <v>1</v>
      </c>
      <c r="GG18">
        <v>1</v>
      </c>
      <c r="GH18">
        <v>0</v>
      </c>
      <c r="GI18">
        <v>0</v>
      </c>
      <c r="GJ18" s="6">
        <f t="shared" si="26"/>
        <v>34</v>
      </c>
      <c r="GK18">
        <v>2</v>
      </c>
      <c r="GL18" s="1">
        <v>45501.498611111114</v>
      </c>
      <c r="GM18">
        <v>1</v>
      </c>
      <c r="GN18">
        <v>3</v>
      </c>
      <c r="GO18">
        <v>2</v>
      </c>
      <c r="GP18">
        <v>2</v>
      </c>
      <c r="GQ18" s="5">
        <v>3</v>
      </c>
      <c r="GR18">
        <f t="shared" si="27"/>
        <v>2</v>
      </c>
      <c r="GS18">
        <v>3</v>
      </c>
      <c r="GT18">
        <v>3</v>
      </c>
      <c r="GU18">
        <v>2</v>
      </c>
      <c r="GV18" s="5">
        <v>3</v>
      </c>
      <c r="GW18">
        <f t="shared" si="0"/>
        <v>2</v>
      </c>
      <c r="GX18">
        <v>3</v>
      </c>
      <c r="GY18">
        <v>2</v>
      </c>
      <c r="GZ18">
        <v>2</v>
      </c>
      <c r="HA18" s="5">
        <v>3</v>
      </c>
      <c r="HB18">
        <f t="shared" si="1"/>
        <v>2</v>
      </c>
      <c r="HC18">
        <v>3</v>
      </c>
      <c r="HD18">
        <v>2</v>
      </c>
      <c r="HE18">
        <v>2</v>
      </c>
      <c r="HF18" s="5">
        <v>3</v>
      </c>
      <c r="HG18">
        <f t="shared" si="2"/>
        <v>2</v>
      </c>
      <c r="HH18">
        <v>2</v>
      </c>
      <c r="HI18" s="6">
        <f t="shared" si="28"/>
        <v>16</v>
      </c>
      <c r="HJ18" s="6">
        <f t="shared" si="29"/>
        <v>12</v>
      </c>
      <c r="HK18" s="6">
        <f t="shared" si="30"/>
        <v>39</v>
      </c>
      <c r="HL18">
        <v>2</v>
      </c>
      <c r="HM18" s="1">
        <v>45501.499305555553</v>
      </c>
      <c r="HN18">
        <v>8</v>
      </c>
      <c r="HO18">
        <v>11</v>
      </c>
      <c r="HP18">
        <v>6</v>
      </c>
      <c r="HQ18">
        <v>2</v>
      </c>
      <c r="HR18" s="1">
        <v>45507.402083333334</v>
      </c>
      <c r="HS18">
        <v>0</v>
      </c>
      <c r="HT18">
        <v>0</v>
      </c>
      <c r="HU18">
        <v>0</v>
      </c>
      <c r="HV18">
        <v>0</v>
      </c>
      <c r="HW18">
        <v>0</v>
      </c>
      <c r="HX18">
        <v>0</v>
      </c>
      <c r="HY18">
        <v>0</v>
      </c>
      <c r="HZ18">
        <v>0</v>
      </c>
      <c r="IA18">
        <v>0</v>
      </c>
      <c r="IB18">
        <v>0</v>
      </c>
      <c r="IC18">
        <v>1</v>
      </c>
      <c r="ID18">
        <v>0</v>
      </c>
      <c r="IE18">
        <v>0</v>
      </c>
      <c r="IF18">
        <v>0</v>
      </c>
      <c r="IG18">
        <v>1</v>
      </c>
      <c r="IH18">
        <v>1</v>
      </c>
      <c r="II18">
        <v>1</v>
      </c>
      <c r="IJ18">
        <v>0</v>
      </c>
      <c r="IK18">
        <v>1</v>
      </c>
      <c r="IL18">
        <v>1</v>
      </c>
      <c r="IM18">
        <v>1</v>
      </c>
      <c r="IN18" s="6">
        <f t="shared" si="31"/>
        <v>7</v>
      </c>
      <c r="IO18">
        <v>2</v>
      </c>
      <c r="IP18" s="1">
        <v>45507.40347222222</v>
      </c>
      <c r="IQ18">
        <v>0</v>
      </c>
      <c r="IR18">
        <v>0</v>
      </c>
      <c r="IS18">
        <v>1</v>
      </c>
      <c r="IT18">
        <v>1</v>
      </c>
      <c r="IU18">
        <v>1</v>
      </c>
      <c r="IV18">
        <v>1</v>
      </c>
      <c r="IW18">
        <v>1</v>
      </c>
      <c r="IX18">
        <v>1</v>
      </c>
      <c r="IY18">
        <v>1</v>
      </c>
      <c r="IZ18">
        <v>1</v>
      </c>
      <c r="JA18">
        <v>0</v>
      </c>
      <c r="JB18">
        <v>0</v>
      </c>
      <c r="JC18">
        <v>0</v>
      </c>
      <c r="JD18">
        <v>0</v>
      </c>
      <c r="JE18">
        <v>1</v>
      </c>
      <c r="JF18">
        <v>0</v>
      </c>
      <c r="JG18">
        <v>1</v>
      </c>
      <c r="JH18">
        <v>0</v>
      </c>
      <c r="JI18">
        <v>1</v>
      </c>
      <c r="JJ18">
        <v>0</v>
      </c>
      <c r="JK18">
        <v>2</v>
      </c>
      <c r="JL18">
        <v>2</v>
      </c>
      <c r="JM18">
        <v>1</v>
      </c>
      <c r="JN18">
        <v>2</v>
      </c>
      <c r="JO18">
        <v>0</v>
      </c>
      <c r="JP18">
        <v>0</v>
      </c>
      <c r="JQ18">
        <v>1</v>
      </c>
      <c r="JR18" t="s">
        <v>284</v>
      </c>
      <c r="JS18" t="s">
        <v>285</v>
      </c>
      <c r="JT18" s="6">
        <f t="shared" si="32"/>
        <v>11</v>
      </c>
      <c r="JU18" s="6">
        <v>2</v>
      </c>
      <c r="JV18" s="6">
        <f t="shared" si="33"/>
        <v>5</v>
      </c>
      <c r="JW18" s="6">
        <f t="shared" si="34"/>
        <v>1</v>
      </c>
      <c r="JX18">
        <v>2</v>
      </c>
      <c r="JY18" s="1">
        <v>45507.40347222222</v>
      </c>
      <c r="JZ18">
        <v>0</v>
      </c>
      <c r="KA18">
        <v>0</v>
      </c>
      <c r="KB18">
        <v>0</v>
      </c>
      <c r="KC18" s="6">
        <f t="shared" si="35"/>
        <v>0</v>
      </c>
      <c r="KD18">
        <v>2</v>
      </c>
      <c r="KE18" s="1">
        <v>45507.406944444447</v>
      </c>
      <c r="KF18">
        <v>56</v>
      </c>
      <c r="KG18">
        <v>2.6</v>
      </c>
      <c r="KP18">
        <v>1</v>
      </c>
      <c r="KQ18">
        <v>38.700000000000003</v>
      </c>
      <c r="KR18">
        <v>5.9</v>
      </c>
      <c r="KS18">
        <v>1</v>
      </c>
      <c r="UH18">
        <v>3</v>
      </c>
      <c r="UI18">
        <v>56</v>
      </c>
      <c r="UJ18">
        <v>2.6</v>
      </c>
      <c r="UK18">
        <v>4</v>
      </c>
      <c r="WX18">
        <v>4</v>
      </c>
      <c r="WY18">
        <v>49.9</v>
      </c>
      <c r="WZ18">
        <v>5.2</v>
      </c>
      <c r="XA18">
        <v>2</v>
      </c>
      <c r="XN18" s="6">
        <v>3</v>
      </c>
      <c r="XO18" s="6">
        <v>55</v>
      </c>
      <c r="XP18" s="6">
        <v>3.5</v>
      </c>
      <c r="XQ18" s="6">
        <v>3</v>
      </c>
      <c r="YX18" s="6">
        <v>3</v>
      </c>
      <c r="YY18" s="6">
        <v>55</v>
      </c>
      <c r="YZ18" s="6">
        <v>3.5</v>
      </c>
      <c r="ZA18" s="6">
        <v>3</v>
      </c>
      <c r="ZB18">
        <v>2</v>
      </c>
      <c r="ZC18" s="1">
        <v>45091.661111111112</v>
      </c>
      <c r="ZD18">
        <v>4</v>
      </c>
      <c r="ZE18">
        <v>2</v>
      </c>
      <c r="ZF18">
        <v>4</v>
      </c>
      <c r="ZG18">
        <v>2</v>
      </c>
      <c r="ZH18">
        <v>2</v>
      </c>
      <c r="ZI18">
        <v>1</v>
      </c>
      <c r="ZJ18">
        <v>1</v>
      </c>
      <c r="ZK18">
        <v>1</v>
      </c>
      <c r="ZL18">
        <v>4</v>
      </c>
      <c r="ZM18">
        <v>4</v>
      </c>
      <c r="ZN18">
        <v>3</v>
      </c>
      <c r="ZO18">
        <v>3</v>
      </c>
      <c r="ZP18">
        <v>1</v>
      </c>
      <c r="ZQ18">
        <v>4</v>
      </c>
      <c r="ZR18">
        <v>1</v>
      </c>
      <c r="ZS18">
        <v>4</v>
      </c>
      <c r="ZT18">
        <v>3</v>
      </c>
      <c r="ZU18">
        <v>1</v>
      </c>
      <c r="ZV18">
        <v>4</v>
      </c>
      <c r="ZW18">
        <v>1</v>
      </c>
      <c r="ZX18" s="6">
        <f t="shared" si="36"/>
        <v>36</v>
      </c>
      <c r="ZY18" s="6">
        <f t="shared" si="37"/>
        <v>14</v>
      </c>
      <c r="ZZ18">
        <v>2</v>
      </c>
      <c r="AAA18" s="1">
        <v>45507.40902777778</v>
      </c>
      <c r="AAB18">
        <v>2</v>
      </c>
      <c r="AAC18">
        <v>0</v>
      </c>
      <c r="AAD18">
        <v>0</v>
      </c>
      <c r="AAE18">
        <v>2</v>
      </c>
      <c r="AAF18">
        <v>0</v>
      </c>
      <c r="AAG18">
        <v>1</v>
      </c>
      <c r="AAH18">
        <v>1</v>
      </c>
      <c r="AAI18">
        <v>0</v>
      </c>
      <c r="AAJ18">
        <v>1</v>
      </c>
      <c r="AAK18">
        <v>2</v>
      </c>
      <c r="AAL18">
        <v>0</v>
      </c>
      <c r="AAM18">
        <v>0</v>
      </c>
      <c r="AAN18">
        <v>0</v>
      </c>
      <c r="AAO18">
        <v>0</v>
      </c>
      <c r="AAP18">
        <v>1</v>
      </c>
      <c r="AAQ18">
        <v>0</v>
      </c>
      <c r="AAR18">
        <v>0</v>
      </c>
      <c r="AAS18">
        <v>0</v>
      </c>
      <c r="AAT18" s="6">
        <f t="shared" si="38"/>
        <v>7</v>
      </c>
      <c r="AAU18" s="6">
        <f t="shared" si="39"/>
        <v>0</v>
      </c>
      <c r="AAV18" s="6">
        <f t="shared" si="40"/>
        <v>3</v>
      </c>
      <c r="AAW18" s="6">
        <f t="shared" si="41"/>
        <v>10</v>
      </c>
      <c r="AAX18">
        <v>2</v>
      </c>
      <c r="AAY18" s="1">
        <v>45507.409722222219</v>
      </c>
      <c r="AAZ18">
        <v>1</v>
      </c>
      <c r="ABA18">
        <v>7</v>
      </c>
      <c r="ABB18">
        <v>7</v>
      </c>
      <c r="ABC18">
        <v>5</v>
      </c>
      <c r="ABD18">
        <v>3</v>
      </c>
      <c r="ABE18">
        <v>19</v>
      </c>
      <c r="ABF18">
        <v>5</v>
      </c>
      <c r="ABG18">
        <v>5</v>
      </c>
      <c r="ABH18">
        <v>3</v>
      </c>
      <c r="ABI18">
        <v>4</v>
      </c>
      <c r="ABJ18">
        <v>2</v>
      </c>
      <c r="ABK18">
        <v>3</v>
      </c>
      <c r="ABL18">
        <v>3</v>
      </c>
      <c r="ABM18">
        <v>5</v>
      </c>
      <c r="ABN18">
        <v>3</v>
      </c>
      <c r="ABO18" s="6">
        <f t="shared" si="42"/>
        <v>5.5</v>
      </c>
      <c r="ABP18" s="6">
        <f t="shared" si="43"/>
        <v>3.5714285714285716</v>
      </c>
      <c r="ABQ18">
        <v>2</v>
      </c>
      <c r="ABR18" s="1">
        <v>45507.411111111112</v>
      </c>
      <c r="ABS18">
        <v>1</v>
      </c>
      <c r="ABT18">
        <v>0</v>
      </c>
      <c r="ABU18">
        <v>2</v>
      </c>
      <c r="ABV18">
        <v>3</v>
      </c>
      <c r="ABW18">
        <v>0</v>
      </c>
      <c r="ABX18">
        <v>0</v>
      </c>
      <c r="ABY18">
        <v>0</v>
      </c>
      <c r="ABZ18">
        <v>3</v>
      </c>
      <c r="ACA18">
        <v>0</v>
      </c>
      <c r="ACB18">
        <v>3</v>
      </c>
      <c r="ACC18">
        <v>0</v>
      </c>
      <c r="ACD18">
        <v>0</v>
      </c>
      <c r="ACE18">
        <v>2</v>
      </c>
      <c r="ACF18">
        <v>0</v>
      </c>
      <c r="ACG18">
        <v>0</v>
      </c>
      <c r="ACH18">
        <v>0</v>
      </c>
      <c r="ACI18">
        <v>0</v>
      </c>
      <c r="ACJ18">
        <v>1</v>
      </c>
      <c r="ACK18">
        <v>2</v>
      </c>
      <c r="ACL18">
        <v>0</v>
      </c>
      <c r="ACM18">
        <v>0</v>
      </c>
      <c r="ACN18">
        <v>0</v>
      </c>
      <c r="ACO18">
        <v>1</v>
      </c>
      <c r="ACP18">
        <v>0</v>
      </c>
      <c r="ACQ18">
        <v>0</v>
      </c>
      <c r="ACR18">
        <v>2</v>
      </c>
      <c r="ACS18">
        <v>1</v>
      </c>
      <c r="ACT18">
        <v>0</v>
      </c>
      <c r="ACU18">
        <v>1</v>
      </c>
      <c r="ACV18">
        <v>1</v>
      </c>
      <c r="ACW18" s="6">
        <f t="shared" si="44"/>
        <v>1</v>
      </c>
      <c r="ACX18" s="6">
        <f t="shared" si="45"/>
        <v>0</v>
      </c>
      <c r="ACY18" s="6">
        <f t="shared" si="46"/>
        <v>0</v>
      </c>
      <c r="ACZ18" s="6">
        <f t="shared" si="47"/>
        <v>7</v>
      </c>
      <c r="ADA18" s="6">
        <f t="shared" si="48"/>
        <v>4</v>
      </c>
      <c r="ADB18" s="6">
        <f t="shared" si="49"/>
        <v>11</v>
      </c>
      <c r="ADC18" s="6">
        <f t="shared" si="50"/>
        <v>1</v>
      </c>
      <c r="ADD18">
        <v>2</v>
      </c>
      <c r="ADE18" s="1">
        <v>45507.411805555559</v>
      </c>
      <c r="ADF18" s="5">
        <v>3</v>
      </c>
      <c r="ADG18">
        <f t="shared" si="51"/>
        <v>2</v>
      </c>
      <c r="ADH18" s="5">
        <v>3</v>
      </c>
      <c r="ADI18">
        <f t="shared" si="52"/>
        <v>2</v>
      </c>
      <c r="ADJ18">
        <v>1</v>
      </c>
      <c r="ADK18">
        <v>1</v>
      </c>
      <c r="ADL18" s="5">
        <v>3</v>
      </c>
      <c r="ADM18">
        <f t="shared" si="3"/>
        <v>2</v>
      </c>
      <c r="ADN18">
        <v>1</v>
      </c>
      <c r="ADO18">
        <v>1</v>
      </c>
      <c r="ADP18" s="5">
        <v>3</v>
      </c>
      <c r="ADQ18">
        <f t="shared" si="4"/>
        <v>2</v>
      </c>
      <c r="ADR18">
        <v>1</v>
      </c>
      <c r="ADS18" s="5">
        <v>4</v>
      </c>
      <c r="ADT18">
        <f t="shared" si="5"/>
        <v>1</v>
      </c>
      <c r="ADU18" s="5">
        <v>3</v>
      </c>
      <c r="ADV18">
        <f t="shared" ref="ADV18" si="84">INDEX($AD$48:$AE$51, MATCH(ADU18, $AD$48:$AD$51, 0), 2)</f>
        <v>2</v>
      </c>
      <c r="ADW18">
        <v>1</v>
      </c>
      <c r="ADX18">
        <v>1</v>
      </c>
      <c r="ADY18">
        <v>1</v>
      </c>
      <c r="ADZ18" s="5">
        <v>3</v>
      </c>
      <c r="AEA18">
        <f t="shared" si="6"/>
        <v>2</v>
      </c>
      <c r="AEB18" s="5">
        <v>3</v>
      </c>
      <c r="AEC18">
        <f t="shared" ref="AEC18" si="85">INDEX($AD$48:$AE$51, MATCH(AEB18, $AD$48:$AD$51, 0), 2)</f>
        <v>2</v>
      </c>
      <c r="AED18">
        <v>1</v>
      </c>
      <c r="AEE18">
        <v>1</v>
      </c>
      <c r="AEF18" s="5">
        <v>3</v>
      </c>
      <c r="AEG18">
        <f t="shared" si="7"/>
        <v>2</v>
      </c>
      <c r="AEH18" s="5">
        <v>3</v>
      </c>
      <c r="AEI18">
        <f t="shared" si="8"/>
        <v>2</v>
      </c>
      <c r="AEJ18" s="6">
        <f t="shared" si="55"/>
        <v>31</v>
      </c>
      <c r="AEK18">
        <v>2</v>
      </c>
      <c r="AEL18" s="1">
        <v>45507.411805555559</v>
      </c>
      <c r="AEM18">
        <v>0</v>
      </c>
      <c r="AER18">
        <v>0</v>
      </c>
      <c r="AES18">
        <v>0</v>
      </c>
      <c r="AET18">
        <v>0</v>
      </c>
      <c r="AEU18">
        <v>0</v>
      </c>
      <c r="AEV18">
        <v>0</v>
      </c>
      <c r="AEX18">
        <v>2</v>
      </c>
    </row>
    <row r="19" spans="1:830">
      <c r="A19">
        <v>157</v>
      </c>
      <c r="B19" t="s">
        <v>1193</v>
      </c>
      <c r="C19">
        <v>2</v>
      </c>
      <c r="D19">
        <v>2</v>
      </c>
      <c r="E19">
        <v>25</v>
      </c>
      <c r="F19">
        <v>65</v>
      </c>
      <c r="G19">
        <v>125</v>
      </c>
      <c r="H19">
        <v>0</v>
      </c>
      <c r="I19">
        <v>3</v>
      </c>
      <c r="K19" t="s">
        <v>386</v>
      </c>
      <c r="L19">
        <v>2</v>
      </c>
      <c r="M19" s="1">
        <v>45527.663194444445</v>
      </c>
      <c r="N19">
        <v>8</v>
      </c>
      <c r="O19">
        <v>0</v>
      </c>
      <c r="Q19">
        <v>0</v>
      </c>
      <c r="R19">
        <v>0</v>
      </c>
      <c r="S19">
        <v>1</v>
      </c>
      <c r="T19">
        <v>0</v>
      </c>
      <c r="U19">
        <v>0</v>
      </c>
      <c r="V19">
        <v>0</v>
      </c>
      <c r="W19">
        <v>0</v>
      </c>
      <c r="X19">
        <v>0</v>
      </c>
      <c r="Y19">
        <v>0</v>
      </c>
      <c r="Z19">
        <v>0</v>
      </c>
      <c r="AA19">
        <v>0</v>
      </c>
      <c r="AB19" t="s">
        <v>208</v>
      </c>
      <c r="AC19">
        <v>2</v>
      </c>
      <c r="AD19" s="1">
        <v>45527.663888888892</v>
      </c>
      <c r="AE19" s="5">
        <v>2</v>
      </c>
      <c r="AF19">
        <f t="shared" si="9"/>
        <v>3</v>
      </c>
      <c r="AG19">
        <v>2</v>
      </c>
      <c r="AH19" s="5">
        <v>3</v>
      </c>
      <c r="AI19">
        <f t="shared" si="10"/>
        <v>2</v>
      </c>
      <c r="AJ19">
        <v>4</v>
      </c>
      <c r="AK19">
        <v>2</v>
      </c>
      <c r="AL19" s="5">
        <v>1</v>
      </c>
      <c r="AM19">
        <f t="shared" si="11"/>
        <v>4</v>
      </c>
      <c r="AN19" s="5">
        <v>4</v>
      </c>
      <c r="AO19">
        <f t="shared" si="12"/>
        <v>1</v>
      </c>
      <c r="AP19">
        <v>1</v>
      </c>
      <c r="AQ19">
        <v>1</v>
      </c>
      <c r="AR19" s="5">
        <v>2</v>
      </c>
      <c r="AS19">
        <f t="shared" si="13"/>
        <v>3</v>
      </c>
      <c r="AT19">
        <v>4</v>
      </c>
      <c r="AU19">
        <v>2</v>
      </c>
      <c r="AV19" s="5">
        <v>2</v>
      </c>
      <c r="AW19">
        <f t="shared" si="14"/>
        <v>3</v>
      </c>
      <c r="AX19" s="5">
        <v>4</v>
      </c>
      <c r="AY19">
        <f t="shared" si="15"/>
        <v>1</v>
      </c>
      <c r="AZ19">
        <v>2</v>
      </c>
      <c r="BA19" s="5">
        <v>1</v>
      </c>
      <c r="BB19">
        <f t="shared" si="16"/>
        <v>4</v>
      </c>
      <c r="BC19">
        <v>2</v>
      </c>
      <c r="BD19">
        <v>2</v>
      </c>
      <c r="BE19" s="5">
        <v>2</v>
      </c>
      <c r="BF19">
        <f t="shared" si="17"/>
        <v>3</v>
      </c>
      <c r="BG19">
        <v>2</v>
      </c>
      <c r="BH19" s="6">
        <f t="shared" si="18"/>
        <v>48</v>
      </c>
      <c r="BI19">
        <v>2</v>
      </c>
      <c r="BJ19" s="1">
        <v>45527.664583333331</v>
      </c>
      <c r="BK19">
        <v>12</v>
      </c>
      <c r="BL19">
        <v>2</v>
      </c>
      <c r="BM19">
        <v>1</v>
      </c>
      <c r="BQ19" s="2">
        <v>45527</v>
      </c>
      <c r="BU19">
        <v>23</v>
      </c>
      <c r="BV19">
        <v>5</v>
      </c>
      <c r="BW19">
        <v>1</v>
      </c>
      <c r="BX19">
        <v>2</v>
      </c>
      <c r="BY19" s="1">
        <v>45527.665277777778</v>
      </c>
      <c r="BZ19">
        <v>2</v>
      </c>
      <c r="CA19">
        <v>3</v>
      </c>
      <c r="CB19">
        <v>3</v>
      </c>
      <c r="CC19">
        <v>2</v>
      </c>
      <c r="CD19">
        <v>4</v>
      </c>
      <c r="CE19">
        <v>2</v>
      </c>
      <c r="CF19">
        <v>2</v>
      </c>
      <c r="CG19">
        <v>4</v>
      </c>
      <c r="CH19">
        <v>3</v>
      </c>
      <c r="CI19">
        <v>3</v>
      </c>
      <c r="CJ19">
        <v>4</v>
      </c>
      <c r="CK19">
        <v>3</v>
      </c>
      <c r="CL19" s="5">
        <v>4</v>
      </c>
      <c r="CM19">
        <f t="shared" si="19"/>
        <v>1</v>
      </c>
      <c r="CN19">
        <v>3</v>
      </c>
      <c r="CO19">
        <v>3</v>
      </c>
      <c r="CP19">
        <v>4</v>
      </c>
      <c r="CQ19">
        <v>2</v>
      </c>
      <c r="CR19" s="5">
        <v>4</v>
      </c>
      <c r="CS19">
        <f t="shared" si="20"/>
        <v>1</v>
      </c>
      <c r="CT19">
        <v>1</v>
      </c>
      <c r="CU19">
        <v>2</v>
      </c>
      <c r="CV19" s="6">
        <f t="shared" si="21"/>
        <v>10</v>
      </c>
      <c r="CW19" s="6">
        <f t="shared" si="22"/>
        <v>15</v>
      </c>
      <c r="CX19" s="6">
        <f t="shared" si="23"/>
        <v>12</v>
      </c>
      <c r="CY19" s="6">
        <f t="shared" si="24"/>
        <v>37</v>
      </c>
      <c r="CZ19" s="6">
        <f t="shared" si="25"/>
        <v>15</v>
      </c>
      <c r="DA19">
        <v>2</v>
      </c>
      <c r="DB19" s="1">
        <v>45527.665972222225</v>
      </c>
      <c r="DC19">
        <v>1</v>
      </c>
      <c r="DD19">
        <v>1</v>
      </c>
      <c r="DE19">
        <v>1</v>
      </c>
      <c r="DF19">
        <v>0</v>
      </c>
      <c r="DG19">
        <v>0</v>
      </c>
      <c r="DH19">
        <v>0</v>
      </c>
      <c r="DI19">
        <v>0</v>
      </c>
      <c r="DJ19">
        <v>1</v>
      </c>
      <c r="DK19">
        <v>0</v>
      </c>
      <c r="DL19">
        <v>0</v>
      </c>
      <c r="DM19">
        <v>1</v>
      </c>
      <c r="DN19">
        <v>0</v>
      </c>
      <c r="DO19">
        <v>1</v>
      </c>
      <c r="DP19">
        <v>0</v>
      </c>
      <c r="DQ19">
        <v>0</v>
      </c>
      <c r="DR19">
        <v>0</v>
      </c>
      <c r="DS19">
        <v>0</v>
      </c>
      <c r="DT19">
        <v>1</v>
      </c>
      <c r="DU19">
        <v>0</v>
      </c>
      <c r="DV19">
        <v>0</v>
      </c>
      <c r="DW19">
        <v>0</v>
      </c>
      <c r="DX19">
        <v>0</v>
      </c>
      <c r="DY19">
        <v>0</v>
      </c>
      <c r="DZ19">
        <v>0</v>
      </c>
      <c r="EA19">
        <v>1</v>
      </c>
      <c r="EB19">
        <v>0</v>
      </c>
      <c r="EC19">
        <v>1</v>
      </c>
      <c r="ED19">
        <v>1</v>
      </c>
      <c r="EE19">
        <v>0</v>
      </c>
      <c r="EF19">
        <v>0</v>
      </c>
      <c r="EG19">
        <v>1</v>
      </c>
      <c r="EH19">
        <v>1</v>
      </c>
      <c r="EI19">
        <v>1</v>
      </c>
      <c r="EJ19">
        <v>0</v>
      </c>
      <c r="EK19">
        <v>0</v>
      </c>
      <c r="EL19">
        <v>1</v>
      </c>
      <c r="EM19">
        <v>0</v>
      </c>
      <c r="EN19">
        <v>1</v>
      </c>
      <c r="EO19">
        <v>0</v>
      </c>
      <c r="EP19">
        <v>0</v>
      </c>
      <c r="EQ19">
        <v>1</v>
      </c>
      <c r="ER19">
        <v>0</v>
      </c>
      <c r="ES19">
        <v>1</v>
      </c>
      <c r="ET19">
        <v>0</v>
      </c>
      <c r="EU19">
        <v>0</v>
      </c>
      <c r="EV19">
        <v>0</v>
      </c>
      <c r="EW19">
        <v>0</v>
      </c>
      <c r="EX19">
        <v>0</v>
      </c>
      <c r="EY19">
        <v>0</v>
      </c>
      <c r="EZ19">
        <v>1</v>
      </c>
      <c r="FA19">
        <v>0</v>
      </c>
      <c r="FB19">
        <v>0</v>
      </c>
      <c r="FC19">
        <v>0</v>
      </c>
      <c r="FD19">
        <v>0</v>
      </c>
      <c r="FE19">
        <v>1</v>
      </c>
      <c r="FF19">
        <v>0</v>
      </c>
      <c r="FG19">
        <v>0</v>
      </c>
      <c r="FH19">
        <v>1</v>
      </c>
      <c r="FI19">
        <v>0</v>
      </c>
      <c r="FJ19">
        <v>0</v>
      </c>
      <c r="FK19">
        <v>0</v>
      </c>
      <c r="FL19">
        <v>0</v>
      </c>
      <c r="FM19">
        <v>1</v>
      </c>
      <c r="FN19">
        <v>0</v>
      </c>
      <c r="FO19">
        <v>0</v>
      </c>
      <c r="FP19">
        <v>0</v>
      </c>
      <c r="FQ19">
        <v>0</v>
      </c>
      <c r="FR19">
        <v>1</v>
      </c>
      <c r="FS19">
        <v>0</v>
      </c>
      <c r="FT19">
        <v>0</v>
      </c>
      <c r="FU19">
        <v>1</v>
      </c>
      <c r="FV19">
        <v>0</v>
      </c>
      <c r="FW19">
        <v>1</v>
      </c>
      <c r="FX19">
        <v>0</v>
      </c>
      <c r="FY19">
        <v>0</v>
      </c>
      <c r="FZ19">
        <v>0</v>
      </c>
      <c r="GA19">
        <v>0</v>
      </c>
      <c r="GB19">
        <v>0</v>
      </c>
      <c r="GC19">
        <v>0</v>
      </c>
      <c r="GD19">
        <v>1</v>
      </c>
      <c r="GE19">
        <v>1</v>
      </c>
      <c r="GF19">
        <v>1</v>
      </c>
      <c r="GG19">
        <v>1</v>
      </c>
      <c r="GH19">
        <v>0</v>
      </c>
      <c r="GI19">
        <v>0</v>
      </c>
      <c r="GJ19" s="6">
        <f t="shared" si="26"/>
        <v>28</v>
      </c>
      <c r="GK19">
        <v>2</v>
      </c>
      <c r="GL19" s="1">
        <v>45527.666666666664</v>
      </c>
      <c r="GM19">
        <v>1</v>
      </c>
      <c r="GN19">
        <v>3</v>
      </c>
      <c r="GO19">
        <v>2</v>
      </c>
      <c r="GP19">
        <v>2</v>
      </c>
      <c r="GQ19" s="5">
        <v>3</v>
      </c>
      <c r="GR19">
        <f t="shared" si="27"/>
        <v>2</v>
      </c>
      <c r="GS19">
        <v>3</v>
      </c>
      <c r="GT19">
        <v>1</v>
      </c>
      <c r="GU19">
        <v>1</v>
      </c>
      <c r="GV19" s="5">
        <v>2</v>
      </c>
      <c r="GW19">
        <f t="shared" si="0"/>
        <v>3</v>
      </c>
      <c r="GX19">
        <v>3</v>
      </c>
      <c r="GY19">
        <v>1</v>
      </c>
      <c r="GZ19">
        <v>2</v>
      </c>
      <c r="HA19" s="5">
        <v>4</v>
      </c>
      <c r="HB19">
        <f t="shared" si="1"/>
        <v>1</v>
      </c>
      <c r="HC19">
        <v>1</v>
      </c>
      <c r="HD19">
        <v>1</v>
      </c>
      <c r="HE19">
        <v>1</v>
      </c>
      <c r="HF19" s="5">
        <v>2</v>
      </c>
      <c r="HG19">
        <f t="shared" si="2"/>
        <v>3</v>
      </c>
      <c r="HH19">
        <v>2</v>
      </c>
      <c r="HI19" s="6">
        <f t="shared" si="28"/>
        <v>13</v>
      </c>
      <c r="HJ19" s="6">
        <f t="shared" si="29"/>
        <v>11</v>
      </c>
      <c r="HK19" s="6">
        <f t="shared" si="30"/>
        <v>32</v>
      </c>
      <c r="HL19">
        <v>2</v>
      </c>
      <c r="HM19" s="1">
        <v>45527.666666666664</v>
      </c>
      <c r="HN19">
        <v>6</v>
      </c>
      <c r="HO19">
        <v>8</v>
      </c>
      <c r="HP19">
        <v>1</v>
      </c>
      <c r="HQ19">
        <v>2</v>
      </c>
      <c r="HR19" s="1">
        <v>45532.675000000003</v>
      </c>
      <c r="HS19">
        <v>3</v>
      </c>
      <c r="HT19">
        <v>1</v>
      </c>
      <c r="HU19">
        <v>1</v>
      </c>
      <c r="HV19">
        <v>3</v>
      </c>
      <c r="HW19">
        <v>2</v>
      </c>
      <c r="HX19">
        <v>1</v>
      </c>
      <c r="HY19">
        <v>3</v>
      </c>
      <c r="HZ19">
        <v>2</v>
      </c>
      <c r="IA19">
        <v>1</v>
      </c>
      <c r="IB19">
        <v>1</v>
      </c>
      <c r="IC19">
        <v>2</v>
      </c>
      <c r="ID19">
        <v>3</v>
      </c>
      <c r="IE19">
        <v>0</v>
      </c>
      <c r="IF19">
        <v>1</v>
      </c>
      <c r="IG19">
        <v>2</v>
      </c>
      <c r="IH19">
        <v>2</v>
      </c>
      <c r="II19">
        <v>0</v>
      </c>
      <c r="IJ19">
        <v>1</v>
      </c>
      <c r="IK19">
        <v>3</v>
      </c>
      <c r="IL19">
        <v>1</v>
      </c>
      <c r="IM19">
        <v>0</v>
      </c>
      <c r="IN19" s="6">
        <f t="shared" si="31"/>
        <v>33</v>
      </c>
      <c r="IO19">
        <v>2</v>
      </c>
      <c r="IP19" s="1">
        <v>45532.676388888889</v>
      </c>
      <c r="IQ19">
        <v>1</v>
      </c>
      <c r="IR19">
        <v>0</v>
      </c>
      <c r="IS19">
        <v>1</v>
      </c>
      <c r="IT19">
        <v>0</v>
      </c>
      <c r="IU19">
        <v>1</v>
      </c>
      <c r="IV19">
        <v>1</v>
      </c>
      <c r="IW19">
        <v>1</v>
      </c>
      <c r="IX19">
        <v>0</v>
      </c>
      <c r="IY19">
        <v>1</v>
      </c>
      <c r="IZ19">
        <v>0</v>
      </c>
      <c r="JA19">
        <v>1</v>
      </c>
      <c r="JB19">
        <v>1</v>
      </c>
      <c r="JC19">
        <v>1</v>
      </c>
      <c r="JD19">
        <v>1</v>
      </c>
      <c r="JE19">
        <v>0</v>
      </c>
      <c r="JF19">
        <v>0</v>
      </c>
      <c r="JG19">
        <v>1</v>
      </c>
      <c r="JH19">
        <v>1</v>
      </c>
      <c r="JI19">
        <v>1</v>
      </c>
      <c r="JJ19">
        <v>0</v>
      </c>
      <c r="JK19">
        <v>7</v>
      </c>
      <c r="JL19">
        <v>2</v>
      </c>
      <c r="JM19">
        <v>2</v>
      </c>
      <c r="JN19">
        <v>3</v>
      </c>
      <c r="JO19">
        <v>1</v>
      </c>
      <c r="JP19">
        <v>1</v>
      </c>
      <c r="JQ19">
        <v>1</v>
      </c>
      <c r="JR19" t="s">
        <v>208</v>
      </c>
      <c r="JS19" t="s">
        <v>388</v>
      </c>
      <c r="JT19" s="6">
        <f t="shared" si="32"/>
        <v>13</v>
      </c>
      <c r="JU19" s="6">
        <v>7</v>
      </c>
      <c r="JV19" s="6">
        <f t="shared" si="33"/>
        <v>7</v>
      </c>
      <c r="JW19" s="6">
        <f t="shared" si="34"/>
        <v>3</v>
      </c>
      <c r="JX19">
        <v>2</v>
      </c>
      <c r="JY19" s="1">
        <v>45532.676388888889</v>
      </c>
      <c r="JZ19">
        <v>0</v>
      </c>
      <c r="KA19">
        <v>0</v>
      </c>
      <c r="KB19">
        <v>0</v>
      </c>
      <c r="KC19" s="6">
        <f t="shared" si="35"/>
        <v>0</v>
      </c>
      <c r="KD19">
        <v>2</v>
      </c>
      <c r="KE19" s="1">
        <v>45532.676388888889</v>
      </c>
      <c r="KF19">
        <v>65.900000000000006</v>
      </c>
      <c r="KG19">
        <v>2.2999999999999998</v>
      </c>
      <c r="KP19">
        <v>4</v>
      </c>
      <c r="KQ19">
        <v>62.3</v>
      </c>
      <c r="KR19">
        <v>4.2</v>
      </c>
      <c r="KS19">
        <v>1</v>
      </c>
      <c r="UH19">
        <v>4</v>
      </c>
      <c r="UI19">
        <v>65.900000000000006</v>
      </c>
      <c r="UJ19">
        <v>2.2999999999999998</v>
      </c>
      <c r="UK19">
        <v>4</v>
      </c>
      <c r="WX19">
        <v>5</v>
      </c>
      <c r="WY19">
        <v>66.3</v>
      </c>
      <c r="WZ19">
        <v>2.6</v>
      </c>
      <c r="XA19">
        <v>3</v>
      </c>
      <c r="XN19" s="6">
        <v>4</v>
      </c>
      <c r="XO19" s="6">
        <v>63.9</v>
      </c>
      <c r="XP19" s="6">
        <v>3</v>
      </c>
      <c r="XQ19" s="6">
        <v>2</v>
      </c>
      <c r="YX19" s="6">
        <v>4</v>
      </c>
      <c r="YY19" s="6">
        <v>63.9</v>
      </c>
      <c r="YZ19" s="6">
        <v>3</v>
      </c>
      <c r="ZA19" s="6">
        <v>2</v>
      </c>
      <c r="ZB19">
        <v>2</v>
      </c>
      <c r="ZC19" s="1">
        <v>45092.661111111112</v>
      </c>
      <c r="ZD19">
        <v>2</v>
      </c>
      <c r="ZE19">
        <v>3</v>
      </c>
      <c r="ZF19">
        <v>1</v>
      </c>
      <c r="ZG19">
        <v>3</v>
      </c>
      <c r="ZH19">
        <v>3</v>
      </c>
      <c r="ZI19">
        <v>2</v>
      </c>
      <c r="ZJ19">
        <v>2</v>
      </c>
      <c r="ZK19">
        <v>1</v>
      </c>
      <c r="ZL19">
        <v>2</v>
      </c>
      <c r="ZM19">
        <v>1</v>
      </c>
      <c r="ZN19">
        <v>2</v>
      </c>
      <c r="ZO19">
        <v>1</v>
      </c>
      <c r="ZP19">
        <v>1</v>
      </c>
      <c r="ZQ19">
        <v>1</v>
      </c>
      <c r="ZR19">
        <v>2</v>
      </c>
      <c r="ZS19">
        <v>1</v>
      </c>
      <c r="ZT19">
        <v>1</v>
      </c>
      <c r="ZU19">
        <v>3</v>
      </c>
      <c r="ZV19">
        <v>1</v>
      </c>
      <c r="ZW19">
        <v>1</v>
      </c>
      <c r="ZX19" s="6">
        <f t="shared" si="36"/>
        <v>14</v>
      </c>
      <c r="ZY19" s="6">
        <f t="shared" si="37"/>
        <v>20</v>
      </c>
      <c r="ZZ19">
        <v>2</v>
      </c>
      <c r="AAA19" s="1">
        <v>45532.677777777775</v>
      </c>
      <c r="AAB19">
        <v>1</v>
      </c>
      <c r="AAC19">
        <v>4</v>
      </c>
      <c r="AAD19">
        <v>0</v>
      </c>
      <c r="AAE19">
        <v>0</v>
      </c>
      <c r="AAF19">
        <v>2</v>
      </c>
      <c r="AAG19">
        <v>1</v>
      </c>
      <c r="AAH19">
        <v>0</v>
      </c>
      <c r="AAI19">
        <v>3</v>
      </c>
      <c r="AAJ19">
        <v>0</v>
      </c>
      <c r="AAK19">
        <v>1</v>
      </c>
      <c r="AAL19">
        <v>2</v>
      </c>
      <c r="AAM19">
        <v>0</v>
      </c>
      <c r="AAN19">
        <v>2</v>
      </c>
      <c r="AAO19">
        <v>1</v>
      </c>
      <c r="AAP19">
        <v>2</v>
      </c>
      <c r="AAQ19">
        <v>2</v>
      </c>
      <c r="AAR19">
        <v>2</v>
      </c>
      <c r="AAS19">
        <v>0</v>
      </c>
      <c r="AAT19" s="6">
        <f t="shared" si="38"/>
        <v>6</v>
      </c>
      <c r="AAU19" s="6">
        <f t="shared" si="39"/>
        <v>14</v>
      </c>
      <c r="AAV19" s="6">
        <f t="shared" si="40"/>
        <v>3</v>
      </c>
      <c r="AAW19" s="6">
        <f t="shared" si="41"/>
        <v>23</v>
      </c>
      <c r="AAX19">
        <v>2</v>
      </c>
      <c r="AAY19" s="1">
        <v>45532.678472222222</v>
      </c>
      <c r="AAZ19">
        <v>1</v>
      </c>
      <c r="ABA19">
        <v>7</v>
      </c>
      <c r="ABB19">
        <v>1</v>
      </c>
      <c r="ABC19">
        <v>3</v>
      </c>
      <c r="ABD19">
        <v>4</v>
      </c>
      <c r="ABE19">
        <v>12</v>
      </c>
      <c r="ABF19">
        <v>2</v>
      </c>
      <c r="ABG19">
        <v>3</v>
      </c>
      <c r="ABH19">
        <v>4</v>
      </c>
      <c r="ABI19">
        <v>2</v>
      </c>
      <c r="ABJ19">
        <v>1</v>
      </c>
      <c r="ABK19">
        <v>0</v>
      </c>
      <c r="ABL19">
        <v>4</v>
      </c>
      <c r="ABM19">
        <v>3</v>
      </c>
      <c r="ABN19">
        <v>0</v>
      </c>
      <c r="ABO19" s="6">
        <f t="shared" si="42"/>
        <v>3.75</v>
      </c>
      <c r="ABP19" s="6">
        <f t="shared" si="43"/>
        <v>2.2857142857142856</v>
      </c>
      <c r="ABQ19">
        <v>2</v>
      </c>
      <c r="ABR19" s="1">
        <v>45532.680555555555</v>
      </c>
      <c r="ABS19">
        <v>1</v>
      </c>
      <c r="ABT19">
        <v>0</v>
      </c>
      <c r="ABU19">
        <v>2</v>
      </c>
      <c r="ABV19">
        <v>1</v>
      </c>
      <c r="ABW19">
        <v>0</v>
      </c>
      <c r="ABX19">
        <v>0</v>
      </c>
      <c r="ABY19">
        <v>2</v>
      </c>
      <c r="ABZ19">
        <v>1</v>
      </c>
      <c r="ACA19">
        <v>0</v>
      </c>
      <c r="ACB19">
        <v>1</v>
      </c>
      <c r="ACC19">
        <v>0</v>
      </c>
      <c r="ACD19">
        <v>1</v>
      </c>
      <c r="ACE19">
        <v>3</v>
      </c>
      <c r="ACF19">
        <v>2</v>
      </c>
      <c r="ACG19">
        <v>1</v>
      </c>
      <c r="ACH19">
        <v>0</v>
      </c>
      <c r="ACI19">
        <v>1</v>
      </c>
      <c r="ACJ19">
        <v>1</v>
      </c>
      <c r="ACK19">
        <v>3</v>
      </c>
      <c r="ACL19">
        <v>1</v>
      </c>
      <c r="ACM19">
        <v>1</v>
      </c>
      <c r="ACN19">
        <v>2</v>
      </c>
      <c r="ACO19">
        <v>2</v>
      </c>
      <c r="ACP19">
        <v>0</v>
      </c>
      <c r="ACQ19">
        <v>0</v>
      </c>
      <c r="ACR19">
        <v>1</v>
      </c>
      <c r="ACS19">
        <v>0</v>
      </c>
      <c r="ACT19">
        <v>1</v>
      </c>
      <c r="ACU19">
        <v>2</v>
      </c>
      <c r="ACV19">
        <v>1</v>
      </c>
      <c r="ACW19" s="6">
        <f t="shared" si="44"/>
        <v>3</v>
      </c>
      <c r="ACX19" s="6">
        <f t="shared" si="45"/>
        <v>5</v>
      </c>
      <c r="ACY19" s="6">
        <f t="shared" si="46"/>
        <v>3</v>
      </c>
      <c r="ACZ19" s="6">
        <f t="shared" si="47"/>
        <v>12</v>
      </c>
      <c r="ADA19" s="6">
        <f t="shared" si="48"/>
        <v>4</v>
      </c>
      <c r="ADB19" s="6">
        <f t="shared" si="49"/>
        <v>4</v>
      </c>
      <c r="ADC19" s="6">
        <f t="shared" si="50"/>
        <v>23</v>
      </c>
      <c r="ADD19">
        <v>2</v>
      </c>
      <c r="ADE19" s="1">
        <v>45532.681250000001</v>
      </c>
      <c r="ADF19" s="5">
        <v>3</v>
      </c>
      <c r="ADG19">
        <f t="shared" si="51"/>
        <v>2</v>
      </c>
      <c r="ADH19" s="5">
        <v>3</v>
      </c>
      <c r="ADI19">
        <f t="shared" si="52"/>
        <v>2</v>
      </c>
      <c r="ADJ19">
        <v>2</v>
      </c>
      <c r="ADK19">
        <v>2</v>
      </c>
      <c r="ADL19" s="5">
        <v>3</v>
      </c>
      <c r="ADM19">
        <f t="shared" si="3"/>
        <v>2</v>
      </c>
      <c r="ADN19">
        <v>2</v>
      </c>
      <c r="ADO19">
        <v>2</v>
      </c>
      <c r="ADP19" s="5">
        <v>2</v>
      </c>
      <c r="ADQ19">
        <f t="shared" si="4"/>
        <v>3</v>
      </c>
      <c r="ADR19">
        <v>1</v>
      </c>
      <c r="ADS19" s="5">
        <v>2</v>
      </c>
      <c r="ADT19">
        <f t="shared" si="5"/>
        <v>3</v>
      </c>
      <c r="ADU19" s="5">
        <v>3</v>
      </c>
      <c r="ADV19">
        <f t="shared" ref="ADV19" si="86">INDEX($AD$48:$AE$51, MATCH(ADU19, $AD$48:$AD$51, 0), 2)</f>
        <v>2</v>
      </c>
      <c r="ADW19">
        <v>2</v>
      </c>
      <c r="ADX19">
        <v>1</v>
      </c>
      <c r="ADY19">
        <v>1</v>
      </c>
      <c r="ADZ19" s="5">
        <v>3</v>
      </c>
      <c r="AEA19">
        <f t="shared" si="6"/>
        <v>2</v>
      </c>
      <c r="AEB19" s="5">
        <v>2</v>
      </c>
      <c r="AEC19">
        <f t="shared" ref="AEC19" si="87">INDEX($AD$48:$AE$51, MATCH(AEB19, $AD$48:$AD$51, 0), 2)</f>
        <v>3</v>
      </c>
      <c r="AED19">
        <v>2</v>
      </c>
      <c r="AEE19">
        <v>1</v>
      </c>
      <c r="AEF19" s="5">
        <v>4</v>
      </c>
      <c r="AEG19">
        <f t="shared" si="7"/>
        <v>1</v>
      </c>
      <c r="AEH19" s="5">
        <v>2</v>
      </c>
      <c r="AEI19">
        <f t="shared" si="8"/>
        <v>3</v>
      </c>
      <c r="AEJ19" s="6">
        <f t="shared" si="55"/>
        <v>41</v>
      </c>
      <c r="AEK19">
        <v>2</v>
      </c>
      <c r="AEL19" s="1">
        <v>45532.681250000001</v>
      </c>
      <c r="AEM19">
        <v>0</v>
      </c>
      <c r="AER19">
        <v>0</v>
      </c>
      <c r="AES19">
        <v>0</v>
      </c>
      <c r="AET19">
        <v>0</v>
      </c>
      <c r="AEU19">
        <v>0</v>
      </c>
      <c r="AEV19">
        <v>0</v>
      </c>
      <c r="AEX19">
        <v>2</v>
      </c>
    </row>
    <row r="20" spans="1:830">
      <c r="A20">
        <v>144</v>
      </c>
      <c r="B20" t="s">
        <v>1182</v>
      </c>
      <c r="C20">
        <v>2</v>
      </c>
      <c r="D20">
        <v>2</v>
      </c>
      <c r="E20">
        <v>42</v>
      </c>
      <c r="F20">
        <v>64</v>
      </c>
      <c r="G20">
        <v>135</v>
      </c>
      <c r="H20">
        <v>0</v>
      </c>
      <c r="I20">
        <v>3</v>
      </c>
      <c r="K20" t="s">
        <v>294</v>
      </c>
      <c r="L20">
        <v>2</v>
      </c>
      <c r="M20" s="1">
        <v>45499.371527777781</v>
      </c>
      <c r="N20">
        <v>5</v>
      </c>
      <c r="O20">
        <v>0</v>
      </c>
      <c r="Q20">
        <v>0</v>
      </c>
      <c r="R20">
        <v>0</v>
      </c>
      <c r="S20">
        <v>0</v>
      </c>
      <c r="T20">
        <v>0</v>
      </c>
      <c r="U20">
        <v>0</v>
      </c>
      <c r="V20">
        <v>0</v>
      </c>
      <c r="W20">
        <v>0</v>
      </c>
      <c r="X20">
        <v>0</v>
      </c>
      <c r="Y20">
        <v>0</v>
      </c>
      <c r="Z20">
        <v>0</v>
      </c>
      <c r="AA20">
        <v>1</v>
      </c>
      <c r="AB20" t="s">
        <v>208</v>
      </c>
      <c r="AC20">
        <v>2</v>
      </c>
      <c r="AD20" s="1">
        <v>45499.37222222222</v>
      </c>
      <c r="AE20" s="5">
        <v>2</v>
      </c>
      <c r="AF20">
        <f t="shared" si="9"/>
        <v>3</v>
      </c>
      <c r="AG20">
        <v>2</v>
      </c>
      <c r="AH20" s="5">
        <v>3</v>
      </c>
      <c r="AI20">
        <f t="shared" si="10"/>
        <v>2</v>
      </c>
      <c r="AJ20">
        <v>2</v>
      </c>
      <c r="AK20">
        <v>2</v>
      </c>
      <c r="AL20" s="5">
        <v>1</v>
      </c>
      <c r="AM20">
        <f t="shared" si="11"/>
        <v>4</v>
      </c>
      <c r="AN20" s="5">
        <v>3</v>
      </c>
      <c r="AO20">
        <f t="shared" si="12"/>
        <v>2</v>
      </c>
      <c r="AP20">
        <v>2</v>
      </c>
      <c r="AQ20">
        <v>2</v>
      </c>
      <c r="AR20" s="5">
        <v>3</v>
      </c>
      <c r="AS20">
        <f t="shared" si="13"/>
        <v>2</v>
      </c>
      <c r="AT20">
        <v>1</v>
      </c>
      <c r="AU20">
        <v>1</v>
      </c>
      <c r="AV20" s="5">
        <v>2</v>
      </c>
      <c r="AW20">
        <f t="shared" si="14"/>
        <v>3</v>
      </c>
      <c r="AX20" s="5">
        <v>1</v>
      </c>
      <c r="AY20">
        <f t="shared" si="15"/>
        <v>4</v>
      </c>
      <c r="AZ20">
        <v>2</v>
      </c>
      <c r="BA20" s="5">
        <v>3</v>
      </c>
      <c r="BB20">
        <f t="shared" si="16"/>
        <v>2</v>
      </c>
      <c r="BC20">
        <v>2</v>
      </c>
      <c r="BD20">
        <v>1</v>
      </c>
      <c r="BE20" s="5">
        <v>3</v>
      </c>
      <c r="BF20">
        <f t="shared" si="17"/>
        <v>2</v>
      </c>
      <c r="BG20">
        <v>1</v>
      </c>
      <c r="BH20" s="6">
        <f t="shared" si="18"/>
        <v>42</v>
      </c>
      <c r="BI20">
        <v>2</v>
      </c>
      <c r="BJ20" s="1">
        <v>45499.372916666667</v>
      </c>
      <c r="BK20">
        <v>13</v>
      </c>
      <c r="BL20">
        <v>3</v>
      </c>
      <c r="BM20">
        <v>1</v>
      </c>
      <c r="BQ20" s="2">
        <v>45499</v>
      </c>
      <c r="BU20">
        <v>28</v>
      </c>
      <c r="BV20">
        <v>3</v>
      </c>
      <c r="BW20">
        <v>1</v>
      </c>
      <c r="BX20">
        <v>2</v>
      </c>
      <c r="BY20" s="1">
        <v>45499.377083333333</v>
      </c>
      <c r="BZ20">
        <v>4</v>
      </c>
      <c r="CA20">
        <v>2</v>
      </c>
      <c r="CB20">
        <v>3</v>
      </c>
      <c r="CC20">
        <v>3</v>
      </c>
      <c r="CD20">
        <v>3</v>
      </c>
      <c r="CE20">
        <v>2</v>
      </c>
      <c r="CF20">
        <v>2</v>
      </c>
      <c r="CG20">
        <v>4</v>
      </c>
      <c r="CH20">
        <v>1</v>
      </c>
      <c r="CI20">
        <v>1</v>
      </c>
      <c r="CJ20">
        <v>1</v>
      </c>
      <c r="CK20">
        <v>4</v>
      </c>
      <c r="CL20" s="5">
        <v>2</v>
      </c>
      <c r="CM20">
        <f t="shared" si="19"/>
        <v>3</v>
      </c>
      <c r="CN20">
        <v>1</v>
      </c>
      <c r="CO20">
        <v>3</v>
      </c>
      <c r="CP20">
        <v>1</v>
      </c>
      <c r="CQ20">
        <v>1</v>
      </c>
      <c r="CR20" s="5">
        <v>3</v>
      </c>
      <c r="CS20">
        <f t="shared" si="20"/>
        <v>2</v>
      </c>
      <c r="CT20">
        <v>3</v>
      </c>
      <c r="CU20">
        <v>3</v>
      </c>
      <c r="CV20" s="6">
        <f t="shared" si="21"/>
        <v>7</v>
      </c>
      <c r="CW20" s="6">
        <f t="shared" si="22"/>
        <v>6</v>
      </c>
      <c r="CX20" s="6">
        <f t="shared" si="23"/>
        <v>18</v>
      </c>
      <c r="CY20" s="6">
        <f t="shared" si="24"/>
        <v>31</v>
      </c>
      <c r="CZ20" s="6">
        <f t="shared" si="25"/>
        <v>16</v>
      </c>
      <c r="DA20">
        <v>2</v>
      </c>
      <c r="DB20" s="1">
        <v>45499.379166666666</v>
      </c>
      <c r="DC20">
        <v>1</v>
      </c>
      <c r="DD20">
        <v>1</v>
      </c>
      <c r="DE20">
        <v>1</v>
      </c>
      <c r="DF20">
        <v>0</v>
      </c>
      <c r="DG20">
        <v>0</v>
      </c>
      <c r="DH20">
        <v>0</v>
      </c>
      <c r="DI20">
        <v>0</v>
      </c>
      <c r="DJ20">
        <v>0</v>
      </c>
      <c r="DK20">
        <v>0</v>
      </c>
      <c r="DL20">
        <v>1</v>
      </c>
      <c r="DM20">
        <v>1</v>
      </c>
      <c r="DN20">
        <v>1</v>
      </c>
      <c r="DO20">
        <v>1</v>
      </c>
      <c r="DP20">
        <v>0</v>
      </c>
      <c r="DQ20">
        <v>0</v>
      </c>
      <c r="DR20">
        <v>0</v>
      </c>
      <c r="DS20">
        <v>0</v>
      </c>
      <c r="DT20">
        <v>0</v>
      </c>
      <c r="DU20">
        <v>1</v>
      </c>
      <c r="DV20">
        <v>0</v>
      </c>
      <c r="DW20">
        <v>1</v>
      </c>
      <c r="DX20">
        <v>0</v>
      </c>
      <c r="DY20">
        <v>0</v>
      </c>
      <c r="DZ20">
        <v>0</v>
      </c>
      <c r="EA20">
        <v>0</v>
      </c>
      <c r="EB20">
        <v>1</v>
      </c>
      <c r="EC20">
        <v>1</v>
      </c>
      <c r="ED20">
        <v>1</v>
      </c>
      <c r="EE20">
        <v>0</v>
      </c>
      <c r="EF20">
        <v>0</v>
      </c>
      <c r="EG20">
        <v>1</v>
      </c>
      <c r="EH20">
        <v>1</v>
      </c>
      <c r="EI20">
        <v>1</v>
      </c>
      <c r="EJ20">
        <v>0</v>
      </c>
      <c r="EK20">
        <v>0</v>
      </c>
      <c r="EL20">
        <v>0</v>
      </c>
      <c r="EM20">
        <v>0</v>
      </c>
      <c r="EN20">
        <v>1</v>
      </c>
      <c r="EO20">
        <v>0</v>
      </c>
      <c r="EP20">
        <v>0</v>
      </c>
      <c r="EQ20">
        <v>1</v>
      </c>
      <c r="ER20">
        <v>1</v>
      </c>
      <c r="ES20">
        <v>1</v>
      </c>
      <c r="ET20">
        <v>0</v>
      </c>
      <c r="EU20">
        <v>0</v>
      </c>
      <c r="EV20">
        <v>0</v>
      </c>
      <c r="EW20">
        <v>0</v>
      </c>
      <c r="EX20">
        <v>0</v>
      </c>
      <c r="EY20">
        <v>1</v>
      </c>
      <c r="EZ20">
        <v>0</v>
      </c>
      <c r="FA20">
        <v>0</v>
      </c>
      <c r="FB20">
        <v>0</v>
      </c>
      <c r="FC20">
        <v>0</v>
      </c>
      <c r="FD20">
        <v>1</v>
      </c>
      <c r="FE20">
        <v>0</v>
      </c>
      <c r="FF20">
        <v>0</v>
      </c>
      <c r="FG20">
        <v>1</v>
      </c>
      <c r="FH20">
        <v>1</v>
      </c>
      <c r="FI20">
        <v>0</v>
      </c>
      <c r="FJ20">
        <v>0</v>
      </c>
      <c r="FK20">
        <v>0</v>
      </c>
      <c r="FL20">
        <v>0</v>
      </c>
      <c r="FM20">
        <v>0</v>
      </c>
      <c r="FN20">
        <v>1</v>
      </c>
      <c r="FO20">
        <v>0</v>
      </c>
      <c r="FP20">
        <v>0</v>
      </c>
      <c r="FQ20">
        <v>0</v>
      </c>
      <c r="FR20">
        <v>0</v>
      </c>
      <c r="FS20">
        <v>1</v>
      </c>
      <c r="FT20">
        <v>0</v>
      </c>
      <c r="FU20">
        <v>1</v>
      </c>
      <c r="FV20">
        <v>1</v>
      </c>
      <c r="FW20">
        <v>1</v>
      </c>
      <c r="FX20">
        <v>0</v>
      </c>
      <c r="FY20">
        <v>0</v>
      </c>
      <c r="FZ20">
        <v>0</v>
      </c>
      <c r="GA20">
        <v>0</v>
      </c>
      <c r="GB20">
        <v>0</v>
      </c>
      <c r="GC20">
        <v>1</v>
      </c>
      <c r="GD20">
        <v>0</v>
      </c>
      <c r="GE20">
        <v>0</v>
      </c>
      <c r="GF20">
        <v>0</v>
      </c>
      <c r="GG20">
        <v>0</v>
      </c>
      <c r="GH20">
        <v>1</v>
      </c>
      <c r="GI20">
        <v>0</v>
      </c>
      <c r="GJ20" s="6">
        <f t="shared" si="26"/>
        <v>30</v>
      </c>
      <c r="GK20">
        <v>2</v>
      </c>
      <c r="GL20" s="1">
        <v>45499.380555555559</v>
      </c>
      <c r="GM20">
        <v>1</v>
      </c>
      <c r="GN20">
        <v>4</v>
      </c>
      <c r="GO20">
        <v>4</v>
      </c>
      <c r="GP20">
        <v>3</v>
      </c>
      <c r="GQ20" s="5">
        <v>1</v>
      </c>
      <c r="GR20">
        <f t="shared" si="27"/>
        <v>4</v>
      </c>
      <c r="GS20">
        <v>2</v>
      </c>
      <c r="GT20">
        <v>3</v>
      </c>
      <c r="GU20">
        <v>1</v>
      </c>
      <c r="GV20" s="5">
        <v>3</v>
      </c>
      <c r="GW20">
        <f t="shared" si="0"/>
        <v>2</v>
      </c>
      <c r="GX20">
        <v>3</v>
      </c>
      <c r="GY20">
        <v>1</v>
      </c>
      <c r="GZ20">
        <v>2</v>
      </c>
      <c r="HA20" s="5">
        <v>1</v>
      </c>
      <c r="HB20">
        <f t="shared" si="1"/>
        <v>4</v>
      </c>
      <c r="HC20">
        <v>3</v>
      </c>
      <c r="HD20">
        <v>2</v>
      </c>
      <c r="HE20">
        <v>2</v>
      </c>
      <c r="HF20" s="5">
        <v>4</v>
      </c>
      <c r="HG20">
        <f t="shared" si="2"/>
        <v>1</v>
      </c>
      <c r="HH20">
        <v>2</v>
      </c>
      <c r="HI20" s="6">
        <f t="shared" si="28"/>
        <v>19</v>
      </c>
      <c r="HJ20" s="6">
        <f t="shared" si="29"/>
        <v>14</v>
      </c>
      <c r="HK20" s="6">
        <f t="shared" si="30"/>
        <v>43</v>
      </c>
      <c r="HL20">
        <v>2</v>
      </c>
      <c r="HM20" s="1">
        <v>45499.381249999999</v>
      </c>
      <c r="HN20">
        <v>1</v>
      </c>
      <c r="HO20">
        <v>1</v>
      </c>
      <c r="HP20">
        <v>9</v>
      </c>
      <c r="HQ20">
        <v>2</v>
      </c>
      <c r="HR20" s="1">
        <v>45499.552083333336</v>
      </c>
      <c r="HS20">
        <v>0</v>
      </c>
      <c r="HT20">
        <v>0</v>
      </c>
      <c r="HU20">
        <v>1</v>
      </c>
      <c r="HV20">
        <v>1</v>
      </c>
      <c r="HW20">
        <v>0</v>
      </c>
      <c r="HX20">
        <v>0</v>
      </c>
      <c r="HY20">
        <v>1</v>
      </c>
      <c r="HZ20">
        <v>1</v>
      </c>
      <c r="IA20">
        <v>0</v>
      </c>
      <c r="IB20">
        <v>0</v>
      </c>
      <c r="IC20">
        <v>0</v>
      </c>
      <c r="ID20">
        <v>1</v>
      </c>
      <c r="IE20">
        <v>0</v>
      </c>
      <c r="IF20">
        <v>0</v>
      </c>
      <c r="IG20">
        <v>2</v>
      </c>
      <c r="IH20">
        <v>2</v>
      </c>
      <c r="II20">
        <v>1</v>
      </c>
      <c r="IJ20">
        <v>0</v>
      </c>
      <c r="IK20">
        <v>1</v>
      </c>
      <c r="IL20">
        <v>2</v>
      </c>
      <c r="IM20">
        <v>3</v>
      </c>
      <c r="IN20" s="6">
        <f t="shared" si="31"/>
        <v>16</v>
      </c>
      <c r="IO20">
        <v>2</v>
      </c>
      <c r="IP20" s="1">
        <v>45499.552777777775</v>
      </c>
      <c r="IQ20">
        <v>1</v>
      </c>
      <c r="IR20">
        <v>1</v>
      </c>
      <c r="IS20">
        <v>0</v>
      </c>
      <c r="IT20">
        <v>0</v>
      </c>
      <c r="IU20">
        <v>0</v>
      </c>
      <c r="IV20">
        <v>0</v>
      </c>
      <c r="IW20">
        <v>0</v>
      </c>
      <c r="IX20">
        <v>0</v>
      </c>
      <c r="IY20">
        <v>0</v>
      </c>
      <c r="IZ20">
        <v>0</v>
      </c>
      <c r="JA20">
        <v>0</v>
      </c>
      <c r="JB20">
        <v>0</v>
      </c>
      <c r="JC20">
        <v>0</v>
      </c>
      <c r="JD20">
        <v>0</v>
      </c>
      <c r="JE20">
        <v>0</v>
      </c>
      <c r="JF20">
        <v>0</v>
      </c>
      <c r="JG20">
        <v>1</v>
      </c>
      <c r="JH20">
        <v>1</v>
      </c>
      <c r="JI20">
        <v>1</v>
      </c>
      <c r="JJ20">
        <v>0</v>
      </c>
      <c r="JK20">
        <v>6</v>
      </c>
      <c r="JL20">
        <v>2</v>
      </c>
      <c r="JM20">
        <v>1</v>
      </c>
      <c r="JN20">
        <v>3</v>
      </c>
      <c r="JO20">
        <v>1</v>
      </c>
      <c r="JP20">
        <v>1</v>
      </c>
      <c r="JQ20">
        <v>1</v>
      </c>
      <c r="JR20" t="s">
        <v>214</v>
      </c>
      <c r="JS20" t="s">
        <v>210</v>
      </c>
      <c r="JT20" s="6">
        <f t="shared" si="32"/>
        <v>5</v>
      </c>
      <c r="JU20" s="6">
        <v>6</v>
      </c>
      <c r="JV20" s="6">
        <f t="shared" si="33"/>
        <v>6</v>
      </c>
      <c r="JW20" s="6">
        <f t="shared" si="34"/>
        <v>3</v>
      </c>
      <c r="JX20">
        <v>2</v>
      </c>
      <c r="JY20" s="1">
        <v>45499.552777777775</v>
      </c>
      <c r="JZ20">
        <v>0</v>
      </c>
      <c r="KA20">
        <v>0</v>
      </c>
      <c r="KB20">
        <v>0</v>
      </c>
      <c r="KC20" s="6">
        <f t="shared" si="35"/>
        <v>0</v>
      </c>
      <c r="KD20">
        <v>2</v>
      </c>
      <c r="KE20" s="1">
        <v>45499.553472222222</v>
      </c>
      <c r="KF20">
        <v>65.900000000000006</v>
      </c>
      <c r="KG20">
        <v>2.2999999999999998</v>
      </c>
      <c r="KP20">
        <v>4</v>
      </c>
      <c r="KQ20">
        <v>62.3</v>
      </c>
      <c r="KR20">
        <v>4.2</v>
      </c>
      <c r="KS20">
        <v>1</v>
      </c>
      <c r="UH20">
        <v>4</v>
      </c>
      <c r="UI20">
        <v>65.900000000000006</v>
      </c>
      <c r="UJ20">
        <v>2.2999999999999998</v>
      </c>
      <c r="UK20">
        <v>4</v>
      </c>
      <c r="WX20">
        <v>5</v>
      </c>
      <c r="WY20">
        <v>66.3</v>
      </c>
      <c r="WZ20">
        <v>2.6</v>
      </c>
      <c r="XA20">
        <v>3</v>
      </c>
      <c r="XN20" s="6">
        <v>4</v>
      </c>
      <c r="XO20" s="6">
        <v>63.9</v>
      </c>
      <c r="XP20" s="6">
        <v>3</v>
      </c>
      <c r="XQ20" s="6">
        <v>2</v>
      </c>
      <c r="YX20" s="6">
        <v>4</v>
      </c>
      <c r="YY20" s="6">
        <v>63.9</v>
      </c>
      <c r="YZ20" s="6">
        <v>3</v>
      </c>
      <c r="ZA20" s="6">
        <v>2</v>
      </c>
      <c r="ZB20">
        <v>2</v>
      </c>
      <c r="ZC20" s="1">
        <v>45093.661111111112</v>
      </c>
      <c r="ZD20">
        <v>3</v>
      </c>
      <c r="ZE20">
        <v>2</v>
      </c>
      <c r="ZF20">
        <v>1</v>
      </c>
      <c r="ZG20">
        <v>1</v>
      </c>
      <c r="ZH20">
        <v>1</v>
      </c>
      <c r="ZI20">
        <v>1</v>
      </c>
      <c r="ZJ20">
        <v>1</v>
      </c>
      <c r="ZK20">
        <v>1</v>
      </c>
      <c r="ZL20">
        <v>2</v>
      </c>
      <c r="ZM20">
        <v>3</v>
      </c>
      <c r="ZN20">
        <v>3</v>
      </c>
      <c r="ZO20">
        <v>2</v>
      </c>
      <c r="ZP20">
        <v>1</v>
      </c>
      <c r="ZQ20">
        <v>2</v>
      </c>
      <c r="ZR20">
        <v>3</v>
      </c>
      <c r="ZS20">
        <v>2</v>
      </c>
      <c r="ZT20">
        <v>2</v>
      </c>
      <c r="ZU20">
        <v>1</v>
      </c>
      <c r="ZV20">
        <v>2</v>
      </c>
      <c r="ZW20">
        <v>1</v>
      </c>
      <c r="ZX20" s="6">
        <f t="shared" si="36"/>
        <v>20</v>
      </c>
      <c r="ZY20" s="6">
        <f t="shared" si="37"/>
        <v>15</v>
      </c>
      <c r="ZZ20">
        <v>2</v>
      </c>
      <c r="AAA20" s="1">
        <v>45499.554861111108</v>
      </c>
      <c r="AAB20">
        <v>2</v>
      </c>
      <c r="AAC20">
        <v>1</v>
      </c>
      <c r="AAD20">
        <v>1</v>
      </c>
      <c r="AAE20">
        <v>0</v>
      </c>
      <c r="AAF20">
        <v>0</v>
      </c>
      <c r="AAG20">
        <v>2</v>
      </c>
      <c r="AAH20">
        <v>1</v>
      </c>
      <c r="AAI20">
        <v>1</v>
      </c>
      <c r="AAJ20">
        <v>0</v>
      </c>
      <c r="AAK20">
        <v>0</v>
      </c>
      <c r="AAL20">
        <v>0</v>
      </c>
      <c r="AAM20">
        <v>0</v>
      </c>
      <c r="AAN20">
        <v>0</v>
      </c>
      <c r="AAO20">
        <v>0</v>
      </c>
      <c r="AAP20">
        <v>1</v>
      </c>
      <c r="AAQ20">
        <v>2</v>
      </c>
      <c r="AAR20">
        <v>0</v>
      </c>
      <c r="AAS20">
        <v>0</v>
      </c>
      <c r="AAT20" s="6">
        <f t="shared" si="38"/>
        <v>5</v>
      </c>
      <c r="AAU20" s="6">
        <f t="shared" si="39"/>
        <v>2</v>
      </c>
      <c r="AAV20" s="6">
        <f t="shared" si="40"/>
        <v>4</v>
      </c>
      <c r="AAW20" s="6">
        <f t="shared" si="41"/>
        <v>11</v>
      </c>
      <c r="AAX20">
        <v>2</v>
      </c>
      <c r="AAY20" s="1">
        <v>45499.555555555555</v>
      </c>
      <c r="AAZ20">
        <v>1</v>
      </c>
      <c r="ABA20">
        <v>8</v>
      </c>
      <c r="ABB20">
        <v>5</v>
      </c>
      <c r="ABC20">
        <v>6</v>
      </c>
      <c r="ABD20">
        <v>6</v>
      </c>
      <c r="ABE20">
        <v>16</v>
      </c>
      <c r="ABF20">
        <v>6</v>
      </c>
      <c r="ABG20">
        <v>6</v>
      </c>
      <c r="ABH20">
        <v>5</v>
      </c>
      <c r="ABI20">
        <v>6</v>
      </c>
      <c r="ABJ20">
        <v>3</v>
      </c>
      <c r="ABK20">
        <v>6</v>
      </c>
      <c r="ABL20">
        <v>5</v>
      </c>
      <c r="ABM20">
        <v>4</v>
      </c>
      <c r="ABN20">
        <v>0</v>
      </c>
      <c r="ABO20" s="6">
        <f t="shared" si="42"/>
        <v>6.25</v>
      </c>
      <c r="ABP20" s="6">
        <f t="shared" si="43"/>
        <v>5.2857142857142856</v>
      </c>
      <c r="ABQ20">
        <v>2</v>
      </c>
      <c r="ABR20" s="1">
        <v>45499.556944444441</v>
      </c>
      <c r="ABS20">
        <v>1</v>
      </c>
      <c r="ABT20">
        <v>0</v>
      </c>
      <c r="ABU20">
        <v>3</v>
      </c>
      <c r="ABV20">
        <v>0</v>
      </c>
      <c r="ABW20">
        <v>0</v>
      </c>
      <c r="ABX20">
        <v>0</v>
      </c>
      <c r="ABY20">
        <v>0</v>
      </c>
      <c r="ABZ20">
        <v>0</v>
      </c>
      <c r="ACA20">
        <v>0</v>
      </c>
      <c r="ACB20">
        <v>0</v>
      </c>
      <c r="ACC20">
        <v>0</v>
      </c>
      <c r="ACD20">
        <v>0</v>
      </c>
      <c r="ACE20">
        <v>3</v>
      </c>
      <c r="ACF20">
        <v>1</v>
      </c>
      <c r="ACG20">
        <v>0</v>
      </c>
      <c r="ACH20">
        <v>0</v>
      </c>
      <c r="ACI20">
        <v>0</v>
      </c>
      <c r="ACJ20">
        <v>0</v>
      </c>
      <c r="ACK20">
        <v>3</v>
      </c>
      <c r="ACL20">
        <v>1</v>
      </c>
      <c r="ACM20">
        <v>0</v>
      </c>
      <c r="ACN20">
        <v>3</v>
      </c>
      <c r="ACO20">
        <v>2</v>
      </c>
      <c r="ACP20">
        <v>0</v>
      </c>
      <c r="ACQ20">
        <v>0</v>
      </c>
      <c r="ACR20">
        <v>0</v>
      </c>
      <c r="ACS20">
        <v>0</v>
      </c>
      <c r="ACT20">
        <v>0</v>
      </c>
      <c r="ACU20">
        <v>0</v>
      </c>
      <c r="ACV20">
        <v>0</v>
      </c>
      <c r="ACW20" s="6">
        <f t="shared" si="44"/>
        <v>2</v>
      </c>
      <c r="ACX20" s="6">
        <f t="shared" si="45"/>
        <v>0</v>
      </c>
      <c r="ACY20" s="6">
        <f t="shared" si="46"/>
        <v>1</v>
      </c>
      <c r="ACZ20" s="6">
        <f t="shared" si="47"/>
        <v>14</v>
      </c>
      <c r="ADA20" s="6">
        <f t="shared" si="48"/>
        <v>0</v>
      </c>
      <c r="ADB20" s="6">
        <f t="shared" si="49"/>
        <v>0</v>
      </c>
      <c r="ADC20" s="6">
        <f t="shared" si="50"/>
        <v>17</v>
      </c>
      <c r="ADD20">
        <v>2</v>
      </c>
      <c r="ADE20" s="1">
        <v>45499.556944444441</v>
      </c>
      <c r="ADF20" s="5">
        <v>3</v>
      </c>
      <c r="ADG20">
        <f t="shared" si="51"/>
        <v>2</v>
      </c>
      <c r="ADH20" s="5">
        <v>3</v>
      </c>
      <c r="ADI20">
        <f t="shared" si="52"/>
        <v>2</v>
      </c>
      <c r="ADJ20">
        <v>2</v>
      </c>
      <c r="ADK20">
        <v>1</v>
      </c>
      <c r="ADL20" s="5">
        <v>2</v>
      </c>
      <c r="ADM20">
        <f t="shared" si="3"/>
        <v>3</v>
      </c>
      <c r="ADN20">
        <v>1</v>
      </c>
      <c r="ADO20">
        <v>1</v>
      </c>
      <c r="ADP20" s="5">
        <v>3</v>
      </c>
      <c r="ADQ20">
        <f t="shared" si="4"/>
        <v>2</v>
      </c>
      <c r="ADR20">
        <v>1</v>
      </c>
      <c r="ADS20" s="5">
        <v>2</v>
      </c>
      <c r="ADT20">
        <f t="shared" si="5"/>
        <v>3</v>
      </c>
      <c r="ADU20" s="5">
        <v>2</v>
      </c>
      <c r="ADV20">
        <f t="shared" ref="ADV20" si="88">INDEX($AD$48:$AE$51, MATCH(ADU20, $AD$48:$AD$51, 0), 2)</f>
        <v>3</v>
      </c>
      <c r="ADW20">
        <v>2</v>
      </c>
      <c r="ADX20">
        <v>1</v>
      </c>
      <c r="ADY20">
        <v>1</v>
      </c>
      <c r="ADZ20" s="5">
        <v>1</v>
      </c>
      <c r="AEA20">
        <f t="shared" si="6"/>
        <v>4</v>
      </c>
      <c r="AEB20" s="5">
        <v>2</v>
      </c>
      <c r="AEC20">
        <f t="shared" ref="AEC20" si="89">INDEX($AD$48:$AE$51, MATCH(AEB20, $AD$48:$AD$51, 0), 2)</f>
        <v>3</v>
      </c>
      <c r="AED20">
        <v>1</v>
      </c>
      <c r="AEE20">
        <v>1</v>
      </c>
      <c r="AEF20" s="5">
        <v>2</v>
      </c>
      <c r="AEG20">
        <f t="shared" si="7"/>
        <v>3</v>
      </c>
      <c r="AEH20" s="5">
        <v>1</v>
      </c>
      <c r="AEI20">
        <f t="shared" si="8"/>
        <v>4</v>
      </c>
      <c r="AEJ20" s="6">
        <f t="shared" si="55"/>
        <v>45</v>
      </c>
      <c r="AEK20">
        <v>2</v>
      </c>
      <c r="AEL20" s="1">
        <v>45499.557638888888</v>
      </c>
      <c r="AEM20">
        <v>1</v>
      </c>
      <c r="AEN20" t="s">
        <v>295</v>
      </c>
      <c r="AEO20" t="s">
        <v>296</v>
      </c>
      <c r="AEP20">
        <v>25</v>
      </c>
      <c r="AEQ20">
        <v>25</v>
      </c>
      <c r="AER20">
        <v>1</v>
      </c>
      <c r="AES20">
        <v>0</v>
      </c>
      <c r="AET20">
        <v>0</v>
      </c>
      <c r="AEU20">
        <v>0</v>
      </c>
      <c r="AEV20">
        <v>0</v>
      </c>
      <c r="AEX20">
        <v>2</v>
      </c>
    </row>
    <row r="21" spans="1:830">
      <c r="A21">
        <v>145</v>
      </c>
      <c r="B21" t="s">
        <v>1183</v>
      </c>
      <c r="C21">
        <v>2</v>
      </c>
      <c r="D21">
        <v>2</v>
      </c>
      <c r="E21">
        <v>53</v>
      </c>
      <c r="F21">
        <v>62</v>
      </c>
      <c r="G21">
        <v>120</v>
      </c>
      <c r="H21">
        <v>0</v>
      </c>
      <c r="I21">
        <v>3</v>
      </c>
      <c r="K21" t="s">
        <v>303</v>
      </c>
      <c r="L21">
        <v>2</v>
      </c>
      <c r="M21" s="1">
        <v>45496.874305555553</v>
      </c>
      <c r="N21">
        <v>6</v>
      </c>
      <c r="O21">
        <v>0</v>
      </c>
      <c r="Q21">
        <v>1</v>
      </c>
      <c r="R21">
        <v>0</v>
      </c>
      <c r="S21">
        <v>1</v>
      </c>
      <c r="T21">
        <v>0</v>
      </c>
      <c r="U21">
        <v>0</v>
      </c>
      <c r="V21">
        <v>0</v>
      </c>
      <c r="W21">
        <v>0</v>
      </c>
      <c r="X21">
        <v>0</v>
      </c>
      <c r="Y21">
        <v>0</v>
      </c>
      <c r="Z21">
        <v>0</v>
      </c>
      <c r="AA21">
        <v>0</v>
      </c>
      <c r="AB21" t="s">
        <v>208</v>
      </c>
      <c r="AC21">
        <v>2</v>
      </c>
      <c r="AD21" s="1">
        <v>45496.876388888886</v>
      </c>
      <c r="AE21" s="5">
        <v>2</v>
      </c>
      <c r="AF21">
        <f t="shared" si="9"/>
        <v>3</v>
      </c>
      <c r="AG21">
        <v>3</v>
      </c>
      <c r="AH21" s="5">
        <v>1</v>
      </c>
      <c r="AI21">
        <f t="shared" si="10"/>
        <v>4</v>
      </c>
      <c r="AJ21">
        <v>2</v>
      </c>
      <c r="AK21">
        <v>3</v>
      </c>
      <c r="AL21" s="5">
        <v>2</v>
      </c>
      <c r="AM21">
        <f t="shared" si="11"/>
        <v>3</v>
      </c>
      <c r="AN21" s="5">
        <v>1</v>
      </c>
      <c r="AO21">
        <f t="shared" si="12"/>
        <v>4</v>
      </c>
      <c r="AP21">
        <v>4</v>
      </c>
      <c r="AQ21">
        <v>3</v>
      </c>
      <c r="AR21" s="5">
        <v>2</v>
      </c>
      <c r="AS21">
        <f t="shared" si="13"/>
        <v>3</v>
      </c>
      <c r="AT21">
        <v>2</v>
      </c>
      <c r="AU21">
        <v>3</v>
      </c>
      <c r="AV21" s="5">
        <v>1</v>
      </c>
      <c r="AW21">
        <f t="shared" si="14"/>
        <v>4</v>
      </c>
      <c r="AX21" s="5">
        <v>1</v>
      </c>
      <c r="AY21">
        <f t="shared" si="15"/>
        <v>4</v>
      </c>
      <c r="AZ21">
        <v>4</v>
      </c>
      <c r="BA21" s="5">
        <v>2</v>
      </c>
      <c r="BB21">
        <f t="shared" si="16"/>
        <v>3</v>
      </c>
      <c r="BC21">
        <v>3</v>
      </c>
      <c r="BD21">
        <v>2</v>
      </c>
      <c r="BE21" s="5">
        <v>2</v>
      </c>
      <c r="BF21">
        <f t="shared" si="17"/>
        <v>3</v>
      </c>
      <c r="BG21">
        <v>4</v>
      </c>
      <c r="BH21" s="6">
        <f t="shared" si="18"/>
        <v>64</v>
      </c>
      <c r="BI21">
        <v>2</v>
      </c>
      <c r="BJ21" s="1">
        <v>45496.87777777778</v>
      </c>
      <c r="BK21">
        <v>15</v>
      </c>
      <c r="BL21">
        <v>3</v>
      </c>
      <c r="BM21">
        <v>6</v>
      </c>
      <c r="BO21" t="s">
        <v>304</v>
      </c>
      <c r="BQ21" s="2">
        <v>44208</v>
      </c>
      <c r="BR21">
        <v>5</v>
      </c>
      <c r="BS21">
        <v>1</v>
      </c>
      <c r="BT21">
        <v>4</v>
      </c>
      <c r="BU21">
        <v>28</v>
      </c>
      <c r="BV21">
        <v>5</v>
      </c>
      <c r="BW21">
        <v>1</v>
      </c>
      <c r="BX21">
        <v>2</v>
      </c>
      <c r="BY21" s="1">
        <v>45496.879166666666</v>
      </c>
      <c r="BZ21">
        <v>3</v>
      </c>
      <c r="CA21">
        <v>4</v>
      </c>
      <c r="CB21">
        <v>2</v>
      </c>
      <c r="CC21">
        <v>4</v>
      </c>
      <c r="CD21">
        <v>2</v>
      </c>
      <c r="CE21">
        <v>2</v>
      </c>
      <c r="CF21">
        <v>4</v>
      </c>
      <c r="CG21">
        <v>3</v>
      </c>
      <c r="CH21">
        <v>2</v>
      </c>
      <c r="CI21">
        <v>4</v>
      </c>
      <c r="CJ21">
        <v>2</v>
      </c>
      <c r="CK21">
        <v>3</v>
      </c>
      <c r="CL21" s="5">
        <v>1</v>
      </c>
      <c r="CM21">
        <f t="shared" si="19"/>
        <v>4</v>
      </c>
      <c r="CN21">
        <v>2</v>
      </c>
      <c r="CO21">
        <v>4</v>
      </c>
      <c r="CP21">
        <v>2</v>
      </c>
      <c r="CQ21">
        <v>1</v>
      </c>
      <c r="CR21" s="5">
        <v>1</v>
      </c>
      <c r="CS21">
        <f t="shared" si="20"/>
        <v>4</v>
      </c>
      <c r="CT21">
        <v>2</v>
      </c>
      <c r="CU21">
        <v>2</v>
      </c>
      <c r="CV21" s="6">
        <f t="shared" si="21"/>
        <v>7</v>
      </c>
      <c r="CW21" s="6">
        <f t="shared" si="22"/>
        <v>8</v>
      </c>
      <c r="CX21" s="6">
        <f t="shared" si="23"/>
        <v>13</v>
      </c>
      <c r="CY21" s="6">
        <f t="shared" si="24"/>
        <v>28</v>
      </c>
      <c r="CZ21" s="6">
        <f t="shared" si="25"/>
        <v>28</v>
      </c>
      <c r="DA21">
        <v>2</v>
      </c>
      <c r="DB21" s="1">
        <v>45496.881944444445</v>
      </c>
      <c r="DC21">
        <v>0</v>
      </c>
      <c r="DD21">
        <v>0</v>
      </c>
      <c r="DE21">
        <v>1</v>
      </c>
      <c r="DF21">
        <v>0</v>
      </c>
      <c r="DG21">
        <v>0</v>
      </c>
      <c r="DH21">
        <v>0</v>
      </c>
      <c r="DI21">
        <v>0</v>
      </c>
      <c r="DJ21">
        <v>1</v>
      </c>
      <c r="DK21">
        <v>0</v>
      </c>
      <c r="DL21">
        <v>0</v>
      </c>
      <c r="DM21">
        <v>1</v>
      </c>
      <c r="DN21">
        <v>1</v>
      </c>
      <c r="DO21">
        <v>1</v>
      </c>
      <c r="DP21">
        <v>0</v>
      </c>
      <c r="DQ21">
        <v>0</v>
      </c>
      <c r="DR21">
        <v>0</v>
      </c>
      <c r="DS21">
        <v>0</v>
      </c>
      <c r="DT21">
        <v>1</v>
      </c>
      <c r="DU21">
        <v>0</v>
      </c>
      <c r="DV21">
        <v>0</v>
      </c>
      <c r="DW21">
        <v>0</v>
      </c>
      <c r="DX21">
        <v>0</v>
      </c>
      <c r="DY21">
        <v>1</v>
      </c>
      <c r="DZ21">
        <v>0</v>
      </c>
      <c r="EA21">
        <v>0</v>
      </c>
      <c r="EB21">
        <v>1</v>
      </c>
      <c r="EC21">
        <v>1</v>
      </c>
      <c r="ED21">
        <v>1</v>
      </c>
      <c r="EE21">
        <v>0</v>
      </c>
      <c r="EF21">
        <v>0</v>
      </c>
      <c r="EG21">
        <v>1</v>
      </c>
      <c r="EH21">
        <v>0</v>
      </c>
      <c r="EI21">
        <v>1</v>
      </c>
      <c r="EJ21">
        <v>0</v>
      </c>
      <c r="EK21">
        <v>0</v>
      </c>
      <c r="EL21">
        <v>1</v>
      </c>
      <c r="EM21">
        <v>0</v>
      </c>
      <c r="EN21">
        <v>1</v>
      </c>
      <c r="EO21">
        <v>0</v>
      </c>
      <c r="EP21">
        <v>0</v>
      </c>
      <c r="EQ21">
        <v>1</v>
      </c>
      <c r="ER21">
        <v>1</v>
      </c>
      <c r="ES21">
        <v>1</v>
      </c>
      <c r="ET21">
        <v>0</v>
      </c>
      <c r="EU21">
        <v>0</v>
      </c>
      <c r="EV21">
        <v>0</v>
      </c>
      <c r="EW21">
        <v>0</v>
      </c>
      <c r="EX21">
        <v>1</v>
      </c>
      <c r="EY21">
        <v>0</v>
      </c>
      <c r="EZ21">
        <v>0</v>
      </c>
      <c r="FA21">
        <v>0</v>
      </c>
      <c r="FB21">
        <v>0</v>
      </c>
      <c r="FC21">
        <v>0</v>
      </c>
      <c r="FD21">
        <v>1</v>
      </c>
      <c r="FE21">
        <v>0</v>
      </c>
      <c r="FF21">
        <v>1</v>
      </c>
      <c r="FG21">
        <v>1</v>
      </c>
      <c r="FH21">
        <v>1</v>
      </c>
      <c r="FI21">
        <v>0</v>
      </c>
      <c r="FJ21">
        <v>0</v>
      </c>
      <c r="FK21">
        <v>0</v>
      </c>
      <c r="FL21">
        <v>0</v>
      </c>
      <c r="FM21">
        <v>1</v>
      </c>
      <c r="FN21">
        <v>1</v>
      </c>
      <c r="FO21">
        <v>0</v>
      </c>
      <c r="FP21">
        <v>0</v>
      </c>
      <c r="FQ21">
        <v>0</v>
      </c>
      <c r="FR21">
        <v>1</v>
      </c>
      <c r="FS21">
        <v>0</v>
      </c>
      <c r="FT21">
        <v>0</v>
      </c>
      <c r="FU21">
        <v>1</v>
      </c>
      <c r="FV21">
        <v>1</v>
      </c>
      <c r="FW21">
        <v>1</v>
      </c>
      <c r="FX21">
        <v>0</v>
      </c>
      <c r="FY21">
        <v>0</v>
      </c>
      <c r="FZ21">
        <v>0</v>
      </c>
      <c r="GA21">
        <v>0</v>
      </c>
      <c r="GB21">
        <v>0</v>
      </c>
      <c r="GC21">
        <v>0</v>
      </c>
      <c r="GD21">
        <v>1</v>
      </c>
      <c r="GE21">
        <v>1</v>
      </c>
      <c r="GF21">
        <v>1</v>
      </c>
      <c r="GG21">
        <v>1</v>
      </c>
      <c r="GH21">
        <v>0</v>
      </c>
      <c r="GI21">
        <v>0</v>
      </c>
      <c r="GJ21" s="6">
        <f t="shared" si="26"/>
        <v>32</v>
      </c>
      <c r="GK21">
        <v>2</v>
      </c>
      <c r="GL21" s="1">
        <v>45496.884027777778</v>
      </c>
      <c r="GM21">
        <v>1</v>
      </c>
      <c r="GN21">
        <v>3</v>
      </c>
      <c r="GO21">
        <v>3</v>
      </c>
      <c r="GP21">
        <v>3</v>
      </c>
      <c r="GQ21" s="5">
        <v>2</v>
      </c>
      <c r="GR21">
        <f t="shared" si="27"/>
        <v>3</v>
      </c>
      <c r="GS21">
        <v>4</v>
      </c>
      <c r="GT21">
        <v>4</v>
      </c>
      <c r="GU21">
        <v>1</v>
      </c>
      <c r="GV21" s="5">
        <v>4</v>
      </c>
      <c r="GW21">
        <f t="shared" si="0"/>
        <v>1</v>
      </c>
      <c r="GX21">
        <v>3</v>
      </c>
      <c r="GY21">
        <v>3</v>
      </c>
      <c r="GZ21">
        <v>3</v>
      </c>
      <c r="HA21" s="5">
        <v>3</v>
      </c>
      <c r="HB21">
        <f t="shared" si="1"/>
        <v>2</v>
      </c>
      <c r="HC21">
        <v>3</v>
      </c>
      <c r="HD21">
        <v>2</v>
      </c>
      <c r="HE21">
        <v>3</v>
      </c>
      <c r="HF21" s="5">
        <v>2</v>
      </c>
      <c r="HG21">
        <f t="shared" si="2"/>
        <v>3</v>
      </c>
      <c r="HH21">
        <v>2</v>
      </c>
      <c r="HI21" s="6">
        <f t="shared" si="28"/>
        <v>18</v>
      </c>
      <c r="HJ21" s="6">
        <f t="shared" si="29"/>
        <v>15</v>
      </c>
      <c r="HK21" s="6">
        <f t="shared" si="30"/>
        <v>46</v>
      </c>
      <c r="HL21">
        <v>2</v>
      </c>
      <c r="HM21" s="1">
        <v>45496.884722222225</v>
      </c>
      <c r="HN21">
        <v>3</v>
      </c>
      <c r="HO21">
        <v>11</v>
      </c>
      <c r="HP21">
        <v>10</v>
      </c>
      <c r="HQ21">
        <v>2</v>
      </c>
      <c r="HR21" s="1">
        <v>45499.43472222222</v>
      </c>
      <c r="HS21">
        <v>1</v>
      </c>
      <c r="HT21">
        <v>1</v>
      </c>
      <c r="HU21">
        <v>3</v>
      </c>
      <c r="HV21">
        <v>2</v>
      </c>
      <c r="HW21">
        <v>3</v>
      </c>
      <c r="HX21">
        <v>3</v>
      </c>
      <c r="HY21">
        <v>2</v>
      </c>
      <c r="HZ21">
        <v>2</v>
      </c>
      <c r="IA21">
        <v>0</v>
      </c>
      <c r="IB21">
        <v>1</v>
      </c>
      <c r="IC21">
        <v>1</v>
      </c>
      <c r="ID21">
        <v>1</v>
      </c>
      <c r="IE21">
        <v>3</v>
      </c>
      <c r="IF21">
        <v>2</v>
      </c>
      <c r="IG21">
        <v>2</v>
      </c>
      <c r="IH21">
        <v>0</v>
      </c>
      <c r="II21">
        <v>1</v>
      </c>
      <c r="IJ21">
        <v>1</v>
      </c>
      <c r="IK21">
        <v>3</v>
      </c>
      <c r="IL21">
        <v>2</v>
      </c>
      <c r="IM21">
        <v>2</v>
      </c>
      <c r="IN21" s="6">
        <f t="shared" si="31"/>
        <v>36</v>
      </c>
      <c r="IO21">
        <v>2</v>
      </c>
      <c r="IP21" s="1">
        <v>45499.438194444447</v>
      </c>
      <c r="IQ21">
        <v>0</v>
      </c>
      <c r="IR21">
        <v>1</v>
      </c>
      <c r="IS21">
        <v>0</v>
      </c>
      <c r="IT21">
        <v>1</v>
      </c>
      <c r="IU21">
        <v>0</v>
      </c>
      <c r="IV21">
        <v>1</v>
      </c>
      <c r="IW21">
        <v>1</v>
      </c>
      <c r="IX21">
        <v>1</v>
      </c>
      <c r="IY21">
        <v>1</v>
      </c>
      <c r="IZ21">
        <v>0</v>
      </c>
      <c r="JA21">
        <v>1</v>
      </c>
      <c r="JB21">
        <v>0</v>
      </c>
      <c r="JC21">
        <v>0</v>
      </c>
      <c r="JD21">
        <v>1</v>
      </c>
      <c r="JE21">
        <v>0</v>
      </c>
      <c r="JF21">
        <v>0</v>
      </c>
      <c r="JG21">
        <v>1</v>
      </c>
      <c r="JH21">
        <v>1</v>
      </c>
      <c r="JI21">
        <v>1</v>
      </c>
      <c r="JJ21">
        <v>0</v>
      </c>
      <c r="JK21">
        <v>30</v>
      </c>
      <c r="JL21">
        <v>2</v>
      </c>
      <c r="JM21">
        <v>3</v>
      </c>
      <c r="JN21">
        <v>1</v>
      </c>
      <c r="JO21">
        <v>0</v>
      </c>
      <c r="JP21">
        <v>1</v>
      </c>
      <c r="JQ21">
        <v>1</v>
      </c>
      <c r="JR21" t="s">
        <v>305</v>
      </c>
      <c r="JS21" t="s">
        <v>306</v>
      </c>
      <c r="JT21" s="6">
        <f t="shared" si="32"/>
        <v>11</v>
      </c>
      <c r="JU21" s="6">
        <v>30</v>
      </c>
      <c r="JV21" s="6">
        <f t="shared" si="33"/>
        <v>6</v>
      </c>
      <c r="JW21" s="6">
        <f t="shared" si="34"/>
        <v>2</v>
      </c>
      <c r="JX21">
        <v>2</v>
      </c>
      <c r="JY21" s="1">
        <v>45499.438888888886</v>
      </c>
      <c r="JZ21">
        <v>0</v>
      </c>
      <c r="KA21">
        <v>0</v>
      </c>
      <c r="KB21">
        <v>0</v>
      </c>
      <c r="KC21" s="6">
        <f t="shared" si="35"/>
        <v>0</v>
      </c>
      <c r="KD21">
        <v>2</v>
      </c>
      <c r="KE21" s="1">
        <v>45499.438888888886</v>
      </c>
      <c r="KF21">
        <v>73.900000000000006</v>
      </c>
      <c r="KG21">
        <v>2.9</v>
      </c>
      <c r="KP21">
        <v>5</v>
      </c>
      <c r="KQ21">
        <v>70.5</v>
      </c>
      <c r="KR21">
        <v>5.0999999999999996</v>
      </c>
      <c r="KS21">
        <v>1</v>
      </c>
      <c r="UT21">
        <v>5</v>
      </c>
      <c r="UU21">
        <v>75.400000000000006</v>
      </c>
      <c r="UV21">
        <v>3.9</v>
      </c>
      <c r="UW21">
        <v>3</v>
      </c>
      <c r="UX21">
        <v>5</v>
      </c>
      <c r="UY21">
        <v>73.599999999999994</v>
      </c>
      <c r="UZ21">
        <v>4.2</v>
      </c>
      <c r="VA21">
        <v>2</v>
      </c>
      <c r="WT21" s="6" t="s">
        <v>307</v>
      </c>
      <c r="WU21" s="6">
        <v>73.900000000000006</v>
      </c>
      <c r="WV21" s="6">
        <v>2.9</v>
      </c>
      <c r="WW21" s="6">
        <v>4</v>
      </c>
      <c r="YX21" s="6">
        <v>4</v>
      </c>
      <c r="YY21" s="6">
        <v>73.900000000000006</v>
      </c>
      <c r="YZ21" s="6">
        <v>2.9</v>
      </c>
      <c r="ZA21" s="6">
        <v>4</v>
      </c>
      <c r="ZB21">
        <v>2</v>
      </c>
      <c r="ZC21" s="1">
        <v>45094.661111111112</v>
      </c>
      <c r="ZD21">
        <v>2</v>
      </c>
      <c r="ZE21">
        <v>4</v>
      </c>
      <c r="ZF21">
        <v>1</v>
      </c>
      <c r="ZG21">
        <v>3</v>
      </c>
      <c r="ZH21">
        <v>1</v>
      </c>
      <c r="ZI21">
        <v>4</v>
      </c>
      <c r="ZJ21">
        <v>4</v>
      </c>
      <c r="ZK21">
        <v>2</v>
      </c>
      <c r="ZL21">
        <v>1</v>
      </c>
      <c r="ZM21">
        <v>1</v>
      </c>
      <c r="ZN21">
        <v>4</v>
      </c>
      <c r="ZO21">
        <v>1</v>
      </c>
      <c r="ZP21">
        <v>4</v>
      </c>
      <c r="ZQ21">
        <v>1</v>
      </c>
      <c r="ZR21">
        <v>4</v>
      </c>
      <c r="ZS21">
        <v>2</v>
      </c>
      <c r="ZT21">
        <v>1</v>
      </c>
      <c r="ZU21">
        <v>2</v>
      </c>
      <c r="ZV21">
        <v>2</v>
      </c>
      <c r="ZW21">
        <v>3</v>
      </c>
      <c r="ZX21" s="6">
        <f t="shared" si="36"/>
        <v>13</v>
      </c>
      <c r="ZY21" s="6">
        <f t="shared" si="37"/>
        <v>34</v>
      </c>
      <c r="ZZ21">
        <v>2</v>
      </c>
      <c r="AAA21" s="1">
        <v>45499.440972222219</v>
      </c>
      <c r="AAB21">
        <v>2</v>
      </c>
      <c r="AAC21">
        <v>3</v>
      </c>
      <c r="AAD21">
        <v>1</v>
      </c>
      <c r="AAE21">
        <v>0</v>
      </c>
      <c r="AAF21">
        <v>4</v>
      </c>
      <c r="AAG21">
        <v>2</v>
      </c>
      <c r="AAH21">
        <v>1</v>
      </c>
      <c r="AAI21">
        <v>4</v>
      </c>
      <c r="AAJ21">
        <v>2</v>
      </c>
      <c r="AAK21">
        <v>1</v>
      </c>
      <c r="AAL21">
        <v>3</v>
      </c>
      <c r="AAM21">
        <v>2</v>
      </c>
      <c r="AAN21">
        <v>2</v>
      </c>
      <c r="AAO21">
        <v>3</v>
      </c>
      <c r="AAP21">
        <v>1</v>
      </c>
      <c r="AAQ21">
        <v>2</v>
      </c>
      <c r="AAR21">
        <v>0</v>
      </c>
      <c r="AAS21">
        <v>2</v>
      </c>
      <c r="AAT21" s="6">
        <f t="shared" si="38"/>
        <v>8</v>
      </c>
      <c r="AAU21" s="6">
        <f t="shared" si="39"/>
        <v>17</v>
      </c>
      <c r="AAV21" s="6">
        <f t="shared" si="40"/>
        <v>10</v>
      </c>
      <c r="AAW21" s="6">
        <f t="shared" si="41"/>
        <v>35</v>
      </c>
      <c r="AAX21">
        <v>2</v>
      </c>
      <c r="AAY21" s="1">
        <v>45499.442361111112</v>
      </c>
      <c r="AAZ21">
        <v>1</v>
      </c>
      <c r="ABA21">
        <v>6</v>
      </c>
      <c r="ABB21">
        <v>3</v>
      </c>
      <c r="ABC21">
        <v>5</v>
      </c>
      <c r="ABD21">
        <v>5</v>
      </c>
      <c r="ABE21">
        <v>15</v>
      </c>
      <c r="ABF21">
        <v>7</v>
      </c>
      <c r="ABG21">
        <v>8</v>
      </c>
      <c r="ABH21">
        <v>6</v>
      </c>
      <c r="ABI21">
        <v>7</v>
      </c>
      <c r="ABJ21">
        <v>7</v>
      </c>
      <c r="ABK21">
        <v>4</v>
      </c>
      <c r="ABL21">
        <v>7</v>
      </c>
      <c r="ABM21">
        <v>8</v>
      </c>
      <c r="ABN21">
        <v>5</v>
      </c>
      <c r="ABO21" s="6">
        <f t="shared" si="42"/>
        <v>4.75</v>
      </c>
      <c r="ABP21" s="6">
        <f t="shared" si="43"/>
        <v>6.5714285714285712</v>
      </c>
      <c r="ABQ21">
        <v>2</v>
      </c>
      <c r="ABR21" s="1">
        <v>45499.443749999999</v>
      </c>
      <c r="ABS21">
        <v>3</v>
      </c>
      <c r="ABT21">
        <v>0</v>
      </c>
      <c r="ABU21">
        <v>2</v>
      </c>
      <c r="ABV21">
        <v>0</v>
      </c>
      <c r="ABW21">
        <v>1</v>
      </c>
      <c r="ABX21">
        <v>1</v>
      </c>
      <c r="ABY21">
        <v>3</v>
      </c>
      <c r="ABZ21">
        <v>0</v>
      </c>
      <c r="ACA21">
        <v>1</v>
      </c>
      <c r="ACB21">
        <v>0</v>
      </c>
      <c r="ACC21">
        <v>2</v>
      </c>
      <c r="ACD21">
        <v>1</v>
      </c>
      <c r="ACE21">
        <v>3</v>
      </c>
      <c r="ACF21">
        <v>0</v>
      </c>
      <c r="ACG21">
        <v>1</v>
      </c>
      <c r="ACH21">
        <v>2</v>
      </c>
      <c r="ACI21">
        <v>2</v>
      </c>
      <c r="ACJ21">
        <v>2</v>
      </c>
      <c r="ACK21">
        <v>2</v>
      </c>
      <c r="ACL21">
        <v>2</v>
      </c>
      <c r="ACM21">
        <v>2</v>
      </c>
      <c r="ACN21">
        <v>3</v>
      </c>
      <c r="ACO21">
        <v>3</v>
      </c>
      <c r="ACP21">
        <v>1</v>
      </c>
      <c r="ACQ21">
        <v>0</v>
      </c>
      <c r="ACR21">
        <v>0</v>
      </c>
      <c r="ACS21">
        <v>0</v>
      </c>
      <c r="ACT21">
        <v>1</v>
      </c>
      <c r="ACU21">
        <v>3</v>
      </c>
      <c r="ACV21">
        <v>1</v>
      </c>
      <c r="ACW21" s="6">
        <f t="shared" si="44"/>
        <v>9</v>
      </c>
      <c r="ACX21" s="6">
        <f t="shared" si="45"/>
        <v>10</v>
      </c>
      <c r="ACY21" s="6">
        <f t="shared" si="46"/>
        <v>2</v>
      </c>
      <c r="ACZ21" s="6">
        <f t="shared" si="47"/>
        <v>13</v>
      </c>
      <c r="ADA21" s="6">
        <f t="shared" si="48"/>
        <v>7</v>
      </c>
      <c r="ADB21" s="6">
        <f t="shared" si="49"/>
        <v>1</v>
      </c>
      <c r="ADC21" s="6">
        <f t="shared" si="50"/>
        <v>40</v>
      </c>
      <c r="ADD21">
        <v>2</v>
      </c>
      <c r="ADE21" s="1">
        <v>45499.445138888892</v>
      </c>
      <c r="ADF21" s="5">
        <v>2</v>
      </c>
      <c r="ADG21">
        <f t="shared" si="51"/>
        <v>3</v>
      </c>
      <c r="ADH21" s="5">
        <v>2</v>
      </c>
      <c r="ADI21">
        <f t="shared" si="52"/>
        <v>3</v>
      </c>
      <c r="ADJ21">
        <v>3</v>
      </c>
      <c r="ADK21">
        <v>3</v>
      </c>
      <c r="ADL21" s="5">
        <v>1</v>
      </c>
      <c r="ADM21">
        <f t="shared" si="3"/>
        <v>4</v>
      </c>
      <c r="ADN21">
        <v>2</v>
      </c>
      <c r="ADO21">
        <v>2</v>
      </c>
      <c r="ADP21" s="5">
        <v>1</v>
      </c>
      <c r="ADQ21">
        <f t="shared" si="4"/>
        <v>4</v>
      </c>
      <c r="ADR21">
        <v>2</v>
      </c>
      <c r="ADS21" s="5">
        <v>2</v>
      </c>
      <c r="ADT21">
        <f t="shared" si="5"/>
        <v>3</v>
      </c>
      <c r="ADU21" s="5">
        <v>1</v>
      </c>
      <c r="ADV21">
        <f t="shared" ref="ADV21" si="90">INDEX($AD$48:$AE$51, MATCH(ADU21, $AD$48:$AD$51, 0), 2)</f>
        <v>4</v>
      </c>
      <c r="ADW21">
        <v>3</v>
      </c>
      <c r="ADX21">
        <v>2</v>
      </c>
      <c r="ADY21">
        <v>4</v>
      </c>
      <c r="ADZ21" s="5">
        <v>1</v>
      </c>
      <c r="AEA21">
        <f t="shared" si="6"/>
        <v>4</v>
      </c>
      <c r="AEB21" s="5">
        <v>1</v>
      </c>
      <c r="AEC21">
        <f t="shared" ref="AEC21" si="91">INDEX($AD$48:$AE$51, MATCH(AEB21, $AD$48:$AD$51, 0), 2)</f>
        <v>4</v>
      </c>
      <c r="AED21">
        <v>3</v>
      </c>
      <c r="AEE21">
        <v>2</v>
      </c>
      <c r="AEF21" s="5">
        <v>1</v>
      </c>
      <c r="AEG21">
        <f t="shared" si="7"/>
        <v>4</v>
      </c>
      <c r="AEH21" s="5">
        <v>2</v>
      </c>
      <c r="AEI21">
        <f t="shared" si="8"/>
        <v>3</v>
      </c>
      <c r="AEJ21" s="6">
        <f t="shared" si="55"/>
        <v>66</v>
      </c>
      <c r="AEK21">
        <v>2</v>
      </c>
      <c r="AEL21" s="1">
        <v>45499.445138888892</v>
      </c>
      <c r="AEM21">
        <v>0</v>
      </c>
      <c r="AER21">
        <v>0</v>
      </c>
      <c r="AES21">
        <v>0</v>
      </c>
      <c r="AET21">
        <v>0</v>
      </c>
      <c r="AEU21">
        <v>0</v>
      </c>
      <c r="AEV21">
        <v>0</v>
      </c>
      <c r="AEX21">
        <v>2</v>
      </c>
    </row>
    <row r="22" spans="1:830">
      <c r="A22">
        <v>146</v>
      </c>
      <c r="B22" t="s">
        <v>1184</v>
      </c>
      <c r="C22">
        <v>2</v>
      </c>
      <c r="D22">
        <v>2</v>
      </c>
      <c r="E22">
        <v>27</v>
      </c>
      <c r="F22">
        <v>68</v>
      </c>
      <c r="G22">
        <v>178</v>
      </c>
      <c r="H22">
        <v>0</v>
      </c>
      <c r="I22">
        <v>3</v>
      </c>
      <c r="K22" t="s">
        <v>316</v>
      </c>
      <c r="L22">
        <v>2</v>
      </c>
      <c r="M22" s="1">
        <v>45495.694444444445</v>
      </c>
      <c r="N22">
        <v>7</v>
      </c>
      <c r="O22">
        <v>0</v>
      </c>
      <c r="Q22">
        <v>0</v>
      </c>
      <c r="R22">
        <v>1</v>
      </c>
      <c r="S22">
        <v>0</v>
      </c>
      <c r="T22">
        <v>0</v>
      </c>
      <c r="U22">
        <v>0</v>
      </c>
      <c r="V22">
        <v>0</v>
      </c>
      <c r="W22">
        <v>0</v>
      </c>
      <c r="X22">
        <v>0</v>
      </c>
      <c r="Y22">
        <v>0</v>
      </c>
      <c r="Z22">
        <v>0</v>
      </c>
      <c r="AA22">
        <v>0</v>
      </c>
      <c r="AB22" t="s">
        <v>208</v>
      </c>
      <c r="AC22">
        <v>2</v>
      </c>
      <c r="AD22" s="1">
        <v>45495.695138888892</v>
      </c>
      <c r="AE22" s="5">
        <v>2</v>
      </c>
      <c r="AF22">
        <f t="shared" si="9"/>
        <v>3</v>
      </c>
      <c r="AG22">
        <v>2</v>
      </c>
      <c r="AH22" s="5">
        <v>2</v>
      </c>
      <c r="AI22">
        <f t="shared" si="10"/>
        <v>3</v>
      </c>
      <c r="AJ22">
        <v>2</v>
      </c>
      <c r="AK22">
        <v>1</v>
      </c>
      <c r="AL22" s="5">
        <v>1</v>
      </c>
      <c r="AM22">
        <f t="shared" si="11"/>
        <v>4</v>
      </c>
      <c r="AN22" s="5">
        <v>2</v>
      </c>
      <c r="AO22">
        <f t="shared" si="12"/>
        <v>3</v>
      </c>
      <c r="AP22">
        <v>2</v>
      </c>
      <c r="AQ22">
        <v>2</v>
      </c>
      <c r="AR22" s="5">
        <v>2</v>
      </c>
      <c r="AS22">
        <f t="shared" si="13"/>
        <v>3</v>
      </c>
      <c r="AT22">
        <v>2</v>
      </c>
      <c r="AU22">
        <v>2</v>
      </c>
      <c r="AV22" s="5">
        <v>2</v>
      </c>
      <c r="AW22">
        <f t="shared" si="14"/>
        <v>3</v>
      </c>
      <c r="AX22" s="5">
        <v>1</v>
      </c>
      <c r="AY22">
        <f t="shared" si="15"/>
        <v>4</v>
      </c>
      <c r="AZ22">
        <v>2</v>
      </c>
      <c r="BA22" s="5">
        <v>2</v>
      </c>
      <c r="BB22">
        <f t="shared" si="16"/>
        <v>3</v>
      </c>
      <c r="BC22">
        <v>2</v>
      </c>
      <c r="BD22">
        <v>2</v>
      </c>
      <c r="BE22" s="5">
        <v>2</v>
      </c>
      <c r="BF22">
        <f t="shared" si="17"/>
        <v>3</v>
      </c>
      <c r="BG22">
        <v>2</v>
      </c>
      <c r="BH22" s="6">
        <f t="shared" si="18"/>
        <v>50</v>
      </c>
      <c r="BI22">
        <v>2</v>
      </c>
      <c r="BJ22" s="1">
        <v>45495.695833333331</v>
      </c>
      <c r="BK22">
        <v>12</v>
      </c>
      <c r="BL22">
        <v>2</v>
      </c>
      <c r="BM22">
        <v>1</v>
      </c>
      <c r="BQ22" s="2">
        <v>45468</v>
      </c>
      <c r="BU22">
        <v>30</v>
      </c>
      <c r="BV22">
        <v>7</v>
      </c>
      <c r="BW22">
        <v>1</v>
      </c>
      <c r="BX22">
        <v>2</v>
      </c>
      <c r="BY22" s="1">
        <v>45495.696527777778</v>
      </c>
      <c r="BZ22">
        <v>3</v>
      </c>
      <c r="CA22">
        <v>4</v>
      </c>
      <c r="CB22">
        <v>2</v>
      </c>
      <c r="CC22">
        <v>4</v>
      </c>
      <c r="CD22">
        <v>3</v>
      </c>
      <c r="CE22">
        <v>3</v>
      </c>
      <c r="CF22">
        <v>4</v>
      </c>
      <c r="CG22">
        <v>2</v>
      </c>
      <c r="CH22">
        <v>2</v>
      </c>
      <c r="CI22">
        <v>4</v>
      </c>
      <c r="CJ22">
        <v>2</v>
      </c>
      <c r="CK22">
        <v>3</v>
      </c>
      <c r="CL22" s="5">
        <v>2</v>
      </c>
      <c r="CM22">
        <f t="shared" si="19"/>
        <v>3</v>
      </c>
      <c r="CN22">
        <v>2</v>
      </c>
      <c r="CO22">
        <v>4</v>
      </c>
      <c r="CP22">
        <v>2</v>
      </c>
      <c r="CQ22">
        <v>2</v>
      </c>
      <c r="CR22" s="5">
        <v>2</v>
      </c>
      <c r="CS22">
        <f t="shared" si="20"/>
        <v>3</v>
      </c>
      <c r="CT22">
        <v>3</v>
      </c>
      <c r="CU22">
        <v>3</v>
      </c>
      <c r="CV22" s="6">
        <f t="shared" si="21"/>
        <v>9</v>
      </c>
      <c r="CW22" s="6">
        <f t="shared" si="22"/>
        <v>9</v>
      </c>
      <c r="CX22" s="6">
        <f t="shared" si="23"/>
        <v>14</v>
      </c>
      <c r="CY22" s="6">
        <f t="shared" si="24"/>
        <v>32</v>
      </c>
      <c r="CZ22" s="6">
        <f t="shared" si="25"/>
        <v>26</v>
      </c>
      <c r="DA22">
        <v>2</v>
      </c>
      <c r="DB22" s="1">
        <v>45495.729861111111</v>
      </c>
      <c r="DC22">
        <v>0</v>
      </c>
      <c r="DD22">
        <v>0</v>
      </c>
      <c r="DE22">
        <v>1</v>
      </c>
      <c r="DF22">
        <v>0</v>
      </c>
      <c r="DG22">
        <v>0</v>
      </c>
      <c r="DH22">
        <v>0</v>
      </c>
      <c r="DI22">
        <v>0</v>
      </c>
      <c r="DJ22">
        <v>1</v>
      </c>
      <c r="DK22">
        <v>0</v>
      </c>
      <c r="DL22">
        <v>0</v>
      </c>
      <c r="DM22">
        <v>1</v>
      </c>
      <c r="DN22">
        <v>0</v>
      </c>
      <c r="DO22">
        <v>0</v>
      </c>
      <c r="DP22">
        <v>0</v>
      </c>
      <c r="DQ22">
        <v>0</v>
      </c>
      <c r="DR22">
        <v>0</v>
      </c>
      <c r="DS22">
        <v>0</v>
      </c>
      <c r="DT22">
        <v>0</v>
      </c>
      <c r="DU22">
        <v>0</v>
      </c>
      <c r="DV22">
        <v>1</v>
      </c>
      <c r="DW22">
        <v>0</v>
      </c>
      <c r="DX22">
        <v>0</v>
      </c>
      <c r="DY22">
        <v>1</v>
      </c>
      <c r="DZ22">
        <v>0</v>
      </c>
      <c r="EA22">
        <v>0</v>
      </c>
      <c r="EB22">
        <v>0</v>
      </c>
      <c r="EC22">
        <v>0</v>
      </c>
      <c r="ED22">
        <v>0</v>
      </c>
      <c r="EE22">
        <v>0</v>
      </c>
      <c r="EF22">
        <v>1</v>
      </c>
      <c r="EG22">
        <v>0</v>
      </c>
      <c r="EH22">
        <v>0</v>
      </c>
      <c r="EI22">
        <v>0</v>
      </c>
      <c r="EJ22">
        <v>0</v>
      </c>
      <c r="EK22">
        <v>1</v>
      </c>
      <c r="EL22">
        <v>0</v>
      </c>
      <c r="EM22">
        <v>0</v>
      </c>
      <c r="EN22">
        <v>1</v>
      </c>
      <c r="EO22">
        <v>0</v>
      </c>
      <c r="EP22">
        <v>0</v>
      </c>
      <c r="EQ22">
        <v>1</v>
      </c>
      <c r="ER22">
        <v>0</v>
      </c>
      <c r="ES22">
        <v>0</v>
      </c>
      <c r="ET22">
        <v>0</v>
      </c>
      <c r="EU22">
        <v>0</v>
      </c>
      <c r="EV22">
        <v>0</v>
      </c>
      <c r="EW22">
        <v>0</v>
      </c>
      <c r="EX22">
        <v>0</v>
      </c>
      <c r="EY22">
        <v>0</v>
      </c>
      <c r="EZ22">
        <v>1</v>
      </c>
      <c r="FA22">
        <v>0</v>
      </c>
      <c r="FB22">
        <v>0</v>
      </c>
      <c r="FC22">
        <v>0</v>
      </c>
      <c r="FD22">
        <v>0</v>
      </c>
      <c r="FE22">
        <v>1</v>
      </c>
      <c r="FF22">
        <v>0</v>
      </c>
      <c r="FG22">
        <v>1</v>
      </c>
      <c r="FH22">
        <v>0</v>
      </c>
      <c r="FI22">
        <v>0</v>
      </c>
      <c r="FJ22">
        <v>0</v>
      </c>
      <c r="FK22">
        <v>0</v>
      </c>
      <c r="FL22">
        <v>0</v>
      </c>
      <c r="FM22">
        <v>0</v>
      </c>
      <c r="FN22">
        <v>1</v>
      </c>
      <c r="FO22">
        <v>0</v>
      </c>
      <c r="FP22">
        <v>0</v>
      </c>
      <c r="FQ22">
        <v>0</v>
      </c>
      <c r="FR22">
        <v>1</v>
      </c>
      <c r="FS22">
        <v>0</v>
      </c>
      <c r="FT22">
        <v>0</v>
      </c>
      <c r="FU22">
        <v>0</v>
      </c>
      <c r="FV22">
        <v>1</v>
      </c>
      <c r="FW22">
        <v>0</v>
      </c>
      <c r="FX22">
        <v>0</v>
      </c>
      <c r="FY22">
        <v>0</v>
      </c>
      <c r="FZ22">
        <v>0</v>
      </c>
      <c r="GA22">
        <v>0</v>
      </c>
      <c r="GB22">
        <v>0</v>
      </c>
      <c r="GC22">
        <v>0</v>
      </c>
      <c r="GD22">
        <v>1</v>
      </c>
      <c r="GE22">
        <v>1</v>
      </c>
      <c r="GF22">
        <v>1</v>
      </c>
      <c r="GG22">
        <v>0</v>
      </c>
      <c r="GH22">
        <v>0</v>
      </c>
      <c r="GI22">
        <v>0</v>
      </c>
      <c r="GJ22" s="6">
        <f t="shared" si="26"/>
        <v>18</v>
      </c>
      <c r="GK22">
        <v>2</v>
      </c>
      <c r="GL22" s="1">
        <v>45495.730555555558</v>
      </c>
      <c r="GM22">
        <v>1</v>
      </c>
      <c r="GN22">
        <v>3</v>
      </c>
      <c r="GO22">
        <v>3</v>
      </c>
      <c r="GP22">
        <v>2</v>
      </c>
      <c r="GQ22" s="5">
        <v>3</v>
      </c>
      <c r="GR22">
        <f t="shared" si="27"/>
        <v>2</v>
      </c>
      <c r="GS22">
        <v>3</v>
      </c>
      <c r="GT22">
        <v>3</v>
      </c>
      <c r="GU22">
        <v>2</v>
      </c>
      <c r="GV22" s="5">
        <v>3</v>
      </c>
      <c r="GW22">
        <f t="shared" si="0"/>
        <v>2</v>
      </c>
      <c r="GX22">
        <v>3</v>
      </c>
      <c r="GY22">
        <v>2</v>
      </c>
      <c r="GZ22">
        <v>2</v>
      </c>
      <c r="HA22" s="5">
        <v>3</v>
      </c>
      <c r="HB22">
        <f t="shared" si="1"/>
        <v>2</v>
      </c>
      <c r="HC22">
        <v>3</v>
      </c>
      <c r="HD22">
        <v>1</v>
      </c>
      <c r="HE22">
        <v>3</v>
      </c>
      <c r="HF22" s="5">
        <v>3</v>
      </c>
      <c r="HG22">
        <f t="shared" si="2"/>
        <v>2</v>
      </c>
      <c r="HH22">
        <v>2</v>
      </c>
      <c r="HI22" s="6">
        <f t="shared" si="28"/>
        <v>17</v>
      </c>
      <c r="HJ22" s="6">
        <f t="shared" si="29"/>
        <v>12</v>
      </c>
      <c r="HK22" s="6">
        <f t="shared" si="30"/>
        <v>40</v>
      </c>
      <c r="HL22">
        <v>2</v>
      </c>
      <c r="HM22" s="1">
        <v>45495.730555555558</v>
      </c>
      <c r="HN22">
        <v>3</v>
      </c>
      <c r="HO22">
        <v>5</v>
      </c>
      <c r="HP22">
        <v>6</v>
      </c>
      <c r="HQ22">
        <v>2</v>
      </c>
      <c r="HR22" s="1">
        <v>45503.40625</v>
      </c>
      <c r="HS22">
        <v>0</v>
      </c>
      <c r="HT22">
        <v>0</v>
      </c>
      <c r="HU22">
        <v>0</v>
      </c>
      <c r="HV22">
        <v>0</v>
      </c>
      <c r="HW22">
        <v>0</v>
      </c>
      <c r="HX22">
        <v>0</v>
      </c>
      <c r="HY22">
        <v>0</v>
      </c>
      <c r="HZ22">
        <v>0</v>
      </c>
      <c r="IA22">
        <v>0</v>
      </c>
      <c r="IB22">
        <v>1</v>
      </c>
      <c r="IC22">
        <v>1</v>
      </c>
      <c r="ID22">
        <v>1</v>
      </c>
      <c r="IE22">
        <v>1</v>
      </c>
      <c r="IF22">
        <v>0</v>
      </c>
      <c r="IG22">
        <v>2</v>
      </c>
      <c r="IH22">
        <v>2</v>
      </c>
      <c r="II22">
        <v>1</v>
      </c>
      <c r="IJ22">
        <v>1</v>
      </c>
      <c r="IK22">
        <v>2</v>
      </c>
      <c r="IL22">
        <v>2</v>
      </c>
      <c r="IM22">
        <v>0</v>
      </c>
      <c r="IN22" s="6">
        <f t="shared" si="31"/>
        <v>14</v>
      </c>
      <c r="IO22">
        <v>2</v>
      </c>
      <c r="IP22" s="1">
        <v>45503.407638888886</v>
      </c>
      <c r="IQ22">
        <v>1</v>
      </c>
      <c r="IR22">
        <v>1</v>
      </c>
      <c r="IS22">
        <v>1</v>
      </c>
      <c r="IT22">
        <v>1</v>
      </c>
      <c r="IU22">
        <v>1</v>
      </c>
      <c r="IV22">
        <v>1</v>
      </c>
      <c r="IW22">
        <v>1</v>
      </c>
      <c r="IX22">
        <v>0</v>
      </c>
      <c r="IY22">
        <v>0</v>
      </c>
      <c r="IZ22">
        <v>0</v>
      </c>
      <c r="JA22">
        <v>1</v>
      </c>
      <c r="JB22">
        <v>1</v>
      </c>
      <c r="JC22">
        <v>1</v>
      </c>
      <c r="JD22">
        <v>1</v>
      </c>
      <c r="JE22">
        <v>0</v>
      </c>
      <c r="JF22">
        <v>0</v>
      </c>
      <c r="JG22">
        <v>1</v>
      </c>
      <c r="JH22">
        <v>1</v>
      </c>
      <c r="JI22">
        <v>1</v>
      </c>
      <c r="JJ22">
        <v>0</v>
      </c>
      <c r="JK22">
        <v>5</v>
      </c>
      <c r="JL22">
        <v>2</v>
      </c>
      <c r="JM22">
        <v>2</v>
      </c>
      <c r="JN22">
        <v>2</v>
      </c>
      <c r="JO22">
        <v>1</v>
      </c>
      <c r="JP22">
        <v>1</v>
      </c>
      <c r="JQ22">
        <v>1</v>
      </c>
      <c r="JR22" t="s">
        <v>317</v>
      </c>
      <c r="JS22" t="s">
        <v>318</v>
      </c>
      <c r="JT22" s="6">
        <f t="shared" si="32"/>
        <v>14</v>
      </c>
      <c r="JU22" s="6">
        <v>5</v>
      </c>
      <c r="JV22" s="6">
        <f t="shared" si="33"/>
        <v>6</v>
      </c>
      <c r="JW22" s="6">
        <f t="shared" si="34"/>
        <v>3</v>
      </c>
      <c r="JX22">
        <v>2</v>
      </c>
      <c r="JY22" s="1">
        <v>45503.407638888886</v>
      </c>
      <c r="JZ22">
        <v>0</v>
      </c>
      <c r="KA22">
        <v>0</v>
      </c>
      <c r="KB22">
        <v>6</v>
      </c>
      <c r="KC22" s="6">
        <f t="shared" si="35"/>
        <v>6</v>
      </c>
      <c r="KD22">
        <v>2</v>
      </c>
      <c r="KE22" s="1">
        <v>45503.407638888886</v>
      </c>
      <c r="KF22">
        <v>65.900000000000006</v>
      </c>
      <c r="KG22">
        <v>2.2999999999999998</v>
      </c>
      <c r="KP22">
        <v>4</v>
      </c>
      <c r="KQ22">
        <v>62.3</v>
      </c>
      <c r="KR22">
        <v>4.2</v>
      </c>
      <c r="KS22">
        <v>1</v>
      </c>
      <c r="UH22">
        <v>4</v>
      </c>
      <c r="UI22">
        <v>65.900000000000006</v>
      </c>
      <c r="UJ22">
        <v>2.2999999999999998</v>
      </c>
      <c r="UK22">
        <v>4</v>
      </c>
      <c r="WX22">
        <v>5</v>
      </c>
      <c r="WY22">
        <v>66.3</v>
      </c>
      <c r="WZ22">
        <v>2.6</v>
      </c>
      <c r="XA22">
        <v>3</v>
      </c>
      <c r="XN22" s="6">
        <v>4</v>
      </c>
      <c r="XO22" s="6">
        <v>63.9</v>
      </c>
      <c r="XP22" s="6">
        <v>3</v>
      </c>
      <c r="XQ22" s="6">
        <v>2</v>
      </c>
      <c r="YX22" s="6">
        <v>4</v>
      </c>
      <c r="YY22" s="6">
        <v>63.9</v>
      </c>
      <c r="YZ22" s="6">
        <v>3</v>
      </c>
      <c r="ZA22" s="6">
        <v>2</v>
      </c>
      <c r="ZB22">
        <v>2</v>
      </c>
      <c r="ZC22" s="1">
        <v>45095.661111111112</v>
      </c>
      <c r="ZD22">
        <v>3</v>
      </c>
      <c r="ZE22">
        <v>3</v>
      </c>
      <c r="ZF22">
        <v>2</v>
      </c>
      <c r="ZG22">
        <v>3</v>
      </c>
      <c r="ZH22">
        <v>1</v>
      </c>
      <c r="ZI22">
        <v>1</v>
      </c>
      <c r="ZJ22">
        <v>1</v>
      </c>
      <c r="ZK22">
        <v>1</v>
      </c>
      <c r="ZL22">
        <v>2</v>
      </c>
      <c r="ZM22">
        <v>3</v>
      </c>
      <c r="ZN22">
        <v>3</v>
      </c>
      <c r="ZO22">
        <v>2</v>
      </c>
      <c r="ZP22">
        <v>1</v>
      </c>
      <c r="ZQ22">
        <v>2</v>
      </c>
      <c r="ZR22">
        <v>2</v>
      </c>
      <c r="ZS22">
        <v>3</v>
      </c>
      <c r="ZT22">
        <v>2</v>
      </c>
      <c r="ZU22">
        <v>2</v>
      </c>
      <c r="ZV22">
        <v>2</v>
      </c>
      <c r="ZW22">
        <v>1</v>
      </c>
      <c r="ZX22" s="6">
        <f t="shared" si="36"/>
        <v>22</v>
      </c>
      <c r="ZY22" s="6">
        <f t="shared" si="37"/>
        <v>18</v>
      </c>
      <c r="ZZ22">
        <v>2</v>
      </c>
      <c r="AAA22" s="1">
        <v>45503.408333333333</v>
      </c>
      <c r="AAB22">
        <v>1</v>
      </c>
      <c r="AAC22">
        <v>2</v>
      </c>
      <c r="AAD22">
        <v>1</v>
      </c>
      <c r="AAE22">
        <v>0</v>
      </c>
      <c r="AAF22">
        <v>1</v>
      </c>
      <c r="AAG22">
        <v>2</v>
      </c>
      <c r="AAH22">
        <v>1</v>
      </c>
      <c r="AAI22">
        <v>1</v>
      </c>
      <c r="AAJ22">
        <v>0</v>
      </c>
      <c r="AAK22">
        <v>1</v>
      </c>
      <c r="AAL22">
        <v>0</v>
      </c>
      <c r="AAM22">
        <v>0</v>
      </c>
      <c r="AAN22">
        <v>1</v>
      </c>
      <c r="AAO22">
        <v>0</v>
      </c>
      <c r="AAP22">
        <v>1</v>
      </c>
      <c r="AAQ22">
        <v>3</v>
      </c>
      <c r="AAR22">
        <v>0</v>
      </c>
      <c r="AAS22">
        <v>0</v>
      </c>
      <c r="AAT22" s="6">
        <f t="shared" si="38"/>
        <v>7</v>
      </c>
      <c r="AAU22" s="6">
        <f t="shared" si="39"/>
        <v>4</v>
      </c>
      <c r="AAV22" s="6">
        <f t="shared" si="40"/>
        <v>4</v>
      </c>
      <c r="AAW22" s="6">
        <f t="shared" si="41"/>
        <v>15</v>
      </c>
      <c r="AAX22">
        <v>2</v>
      </c>
      <c r="AAY22" s="1">
        <v>45503.40902777778</v>
      </c>
      <c r="AAZ22">
        <v>1</v>
      </c>
      <c r="ABA22">
        <v>7</v>
      </c>
      <c r="ABB22">
        <v>4</v>
      </c>
      <c r="ABC22">
        <v>7</v>
      </c>
      <c r="ABD22">
        <v>5</v>
      </c>
      <c r="ABE22">
        <v>16</v>
      </c>
      <c r="ABF22">
        <v>5</v>
      </c>
      <c r="ABG22">
        <v>6</v>
      </c>
      <c r="ABH22">
        <v>0</v>
      </c>
      <c r="ABI22">
        <v>7</v>
      </c>
      <c r="ABJ22">
        <v>7</v>
      </c>
      <c r="ABK22">
        <v>7</v>
      </c>
      <c r="ABL22">
        <v>8</v>
      </c>
      <c r="ABM22">
        <v>8</v>
      </c>
      <c r="ABN22">
        <v>8</v>
      </c>
      <c r="ABO22" s="6">
        <f t="shared" si="42"/>
        <v>5.75</v>
      </c>
      <c r="ABP22" s="6">
        <f t="shared" si="43"/>
        <v>5.7142857142857144</v>
      </c>
      <c r="ABQ22">
        <v>2</v>
      </c>
      <c r="ABR22" s="1">
        <v>45503.410416666666</v>
      </c>
      <c r="ABS22">
        <v>1</v>
      </c>
      <c r="ABT22">
        <v>0</v>
      </c>
      <c r="ABU22">
        <v>4</v>
      </c>
      <c r="ABV22">
        <v>0</v>
      </c>
      <c r="ABW22">
        <v>0</v>
      </c>
      <c r="ABX22">
        <v>0</v>
      </c>
      <c r="ABY22">
        <v>1</v>
      </c>
      <c r="ABZ22">
        <v>0</v>
      </c>
      <c r="ACA22">
        <v>0</v>
      </c>
      <c r="ACB22">
        <v>0</v>
      </c>
      <c r="ACC22">
        <v>0</v>
      </c>
      <c r="ACD22">
        <v>0</v>
      </c>
      <c r="ACE22">
        <v>4</v>
      </c>
      <c r="ACF22">
        <v>0</v>
      </c>
      <c r="ACG22">
        <v>1</v>
      </c>
      <c r="ACH22">
        <v>0</v>
      </c>
      <c r="ACI22">
        <v>1</v>
      </c>
      <c r="ACJ22">
        <v>2</v>
      </c>
      <c r="ACK22">
        <v>4</v>
      </c>
      <c r="ACL22">
        <v>0</v>
      </c>
      <c r="ACM22">
        <v>1</v>
      </c>
      <c r="ACN22">
        <v>4</v>
      </c>
      <c r="ACO22">
        <v>1</v>
      </c>
      <c r="ACP22">
        <v>0</v>
      </c>
      <c r="ACQ22">
        <v>0</v>
      </c>
      <c r="ACR22">
        <v>1</v>
      </c>
      <c r="ACS22">
        <v>0</v>
      </c>
      <c r="ACT22">
        <v>0</v>
      </c>
      <c r="ACU22">
        <v>2</v>
      </c>
      <c r="ACV22">
        <v>0</v>
      </c>
      <c r="ACW22" s="6">
        <f t="shared" si="44"/>
        <v>1</v>
      </c>
      <c r="ACX22" s="6">
        <f t="shared" si="45"/>
        <v>4</v>
      </c>
      <c r="ACY22" s="6">
        <f t="shared" si="46"/>
        <v>0</v>
      </c>
      <c r="ACZ22" s="6">
        <f t="shared" si="47"/>
        <v>17</v>
      </c>
      <c r="ADA22" s="6">
        <f t="shared" si="48"/>
        <v>5</v>
      </c>
      <c r="ADB22" s="6">
        <f t="shared" si="49"/>
        <v>0</v>
      </c>
      <c r="ADC22" s="6">
        <f t="shared" si="50"/>
        <v>27</v>
      </c>
      <c r="ADD22">
        <v>2</v>
      </c>
      <c r="ADE22" s="1">
        <v>45503.410416666666</v>
      </c>
      <c r="ADF22" s="5">
        <v>3</v>
      </c>
      <c r="ADG22">
        <f t="shared" si="51"/>
        <v>2</v>
      </c>
      <c r="ADH22" s="5">
        <v>3</v>
      </c>
      <c r="ADI22">
        <f t="shared" si="52"/>
        <v>2</v>
      </c>
      <c r="ADJ22">
        <v>2</v>
      </c>
      <c r="ADK22">
        <v>3</v>
      </c>
      <c r="ADL22" s="5">
        <v>2</v>
      </c>
      <c r="ADM22">
        <f t="shared" si="3"/>
        <v>3</v>
      </c>
      <c r="ADN22">
        <v>1</v>
      </c>
      <c r="ADO22">
        <v>1</v>
      </c>
      <c r="ADP22" s="5">
        <v>3</v>
      </c>
      <c r="ADQ22">
        <f t="shared" si="4"/>
        <v>2</v>
      </c>
      <c r="ADR22">
        <v>1</v>
      </c>
      <c r="ADS22" s="5">
        <v>3</v>
      </c>
      <c r="ADT22">
        <f t="shared" si="5"/>
        <v>2</v>
      </c>
      <c r="ADU22" s="5">
        <v>3</v>
      </c>
      <c r="ADV22">
        <f t="shared" ref="ADV22" si="92">INDEX($AD$48:$AE$51, MATCH(ADU22, $AD$48:$AD$51, 0), 2)</f>
        <v>2</v>
      </c>
      <c r="ADW22">
        <v>1</v>
      </c>
      <c r="ADX22">
        <v>1</v>
      </c>
      <c r="ADY22">
        <v>2</v>
      </c>
      <c r="ADZ22" s="5">
        <v>2</v>
      </c>
      <c r="AEA22">
        <f t="shared" si="6"/>
        <v>3</v>
      </c>
      <c r="AEB22" s="5">
        <v>3</v>
      </c>
      <c r="AEC22">
        <f t="shared" ref="AEC22" si="93">INDEX($AD$48:$AE$51, MATCH(AEB22, $AD$48:$AD$51, 0), 2)</f>
        <v>2</v>
      </c>
      <c r="AED22">
        <v>1</v>
      </c>
      <c r="AEE22">
        <v>1</v>
      </c>
      <c r="AEF22" s="5">
        <v>2</v>
      </c>
      <c r="AEG22">
        <f t="shared" si="7"/>
        <v>3</v>
      </c>
      <c r="AEH22" s="5">
        <v>2</v>
      </c>
      <c r="AEI22">
        <f t="shared" si="8"/>
        <v>3</v>
      </c>
      <c r="AEJ22" s="6">
        <f t="shared" si="55"/>
        <v>41</v>
      </c>
      <c r="AEK22">
        <v>2</v>
      </c>
      <c r="AEL22" s="1">
        <v>45503.411111111112</v>
      </c>
      <c r="AEM22">
        <v>0</v>
      </c>
      <c r="AER22">
        <v>0</v>
      </c>
      <c r="AES22">
        <v>0</v>
      </c>
      <c r="AET22">
        <v>0</v>
      </c>
      <c r="AEU22">
        <v>0</v>
      </c>
      <c r="AEV22">
        <v>0</v>
      </c>
      <c r="AEX22">
        <v>2</v>
      </c>
    </row>
    <row r="23" spans="1:830">
      <c r="A23">
        <v>177</v>
      </c>
      <c r="B23" t="s">
        <v>1196</v>
      </c>
      <c r="C23">
        <v>2</v>
      </c>
      <c r="D23">
        <v>2</v>
      </c>
      <c r="E23">
        <v>40</v>
      </c>
      <c r="F23">
        <v>63</v>
      </c>
      <c r="G23">
        <v>158</v>
      </c>
      <c r="H23">
        <v>0</v>
      </c>
      <c r="I23">
        <v>3</v>
      </c>
      <c r="K23" t="s">
        <v>414</v>
      </c>
      <c r="L23">
        <v>2</v>
      </c>
      <c r="M23" s="1">
        <v>45002.665277777778</v>
      </c>
      <c r="N23">
        <v>7</v>
      </c>
      <c r="O23">
        <v>0</v>
      </c>
      <c r="Q23">
        <v>0</v>
      </c>
      <c r="R23">
        <v>0</v>
      </c>
      <c r="S23">
        <v>0</v>
      </c>
      <c r="T23">
        <v>0</v>
      </c>
      <c r="U23">
        <v>0</v>
      </c>
      <c r="V23">
        <v>0</v>
      </c>
      <c r="W23">
        <v>0</v>
      </c>
      <c r="X23">
        <v>0</v>
      </c>
      <c r="Y23">
        <v>0</v>
      </c>
      <c r="Z23">
        <v>0</v>
      </c>
      <c r="AA23">
        <v>1</v>
      </c>
      <c r="AB23">
        <v>2</v>
      </c>
      <c r="AC23">
        <v>2</v>
      </c>
      <c r="AD23" s="1">
        <v>45002.665972222225</v>
      </c>
      <c r="AE23" s="5">
        <v>3</v>
      </c>
      <c r="AF23">
        <f t="shared" si="9"/>
        <v>2</v>
      </c>
      <c r="AG23">
        <v>2</v>
      </c>
      <c r="AH23" s="5">
        <v>4</v>
      </c>
      <c r="AI23">
        <f t="shared" si="10"/>
        <v>1</v>
      </c>
      <c r="AJ23">
        <v>1</v>
      </c>
      <c r="AK23">
        <v>1</v>
      </c>
      <c r="AL23" s="5">
        <v>3</v>
      </c>
      <c r="AM23">
        <f t="shared" si="11"/>
        <v>2</v>
      </c>
      <c r="AN23" s="5">
        <v>3</v>
      </c>
      <c r="AO23">
        <f t="shared" si="12"/>
        <v>2</v>
      </c>
      <c r="AP23">
        <v>1</v>
      </c>
      <c r="AQ23">
        <v>1</v>
      </c>
      <c r="AR23" s="5">
        <v>4</v>
      </c>
      <c r="AS23">
        <f t="shared" si="13"/>
        <v>1</v>
      </c>
      <c r="AT23">
        <v>1</v>
      </c>
      <c r="AU23">
        <v>1</v>
      </c>
      <c r="AV23" s="5">
        <v>3</v>
      </c>
      <c r="AW23">
        <f t="shared" si="14"/>
        <v>2</v>
      </c>
      <c r="AX23" s="5">
        <v>3</v>
      </c>
      <c r="AY23">
        <f t="shared" si="15"/>
        <v>2</v>
      </c>
      <c r="AZ23">
        <v>1</v>
      </c>
      <c r="BA23" s="5">
        <v>4</v>
      </c>
      <c r="BB23">
        <f t="shared" si="16"/>
        <v>1</v>
      </c>
      <c r="BC23">
        <v>1</v>
      </c>
      <c r="BD23">
        <v>1</v>
      </c>
      <c r="BE23" s="5">
        <v>4</v>
      </c>
      <c r="BF23">
        <f t="shared" si="17"/>
        <v>1</v>
      </c>
      <c r="BG23">
        <v>1</v>
      </c>
      <c r="BH23" s="6">
        <f t="shared" si="18"/>
        <v>26</v>
      </c>
      <c r="BI23">
        <v>2</v>
      </c>
      <c r="BJ23" s="1">
        <v>45002.667361111111</v>
      </c>
      <c r="BK23">
        <v>11</v>
      </c>
      <c r="BL23">
        <v>6</v>
      </c>
      <c r="BM23">
        <v>1</v>
      </c>
      <c r="BQ23" s="2">
        <v>44992</v>
      </c>
      <c r="BU23">
        <v>38</v>
      </c>
      <c r="BV23">
        <v>3</v>
      </c>
      <c r="BW23">
        <v>1</v>
      </c>
      <c r="BX23">
        <v>2</v>
      </c>
      <c r="BY23" s="1">
        <v>45002.668749999997</v>
      </c>
      <c r="BZ23">
        <v>3</v>
      </c>
      <c r="CA23">
        <v>2</v>
      </c>
      <c r="CB23">
        <v>2</v>
      </c>
      <c r="CC23">
        <v>2</v>
      </c>
      <c r="CD23">
        <v>3</v>
      </c>
      <c r="CE23">
        <v>1</v>
      </c>
      <c r="CF23">
        <v>3</v>
      </c>
      <c r="CG23">
        <v>3</v>
      </c>
      <c r="CH23">
        <v>1</v>
      </c>
      <c r="CI23">
        <v>3</v>
      </c>
      <c r="CJ23">
        <v>1</v>
      </c>
      <c r="CK23">
        <v>3</v>
      </c>
      <c r="CL23" s="5">
        <v>2</v>
      </c>
      <c r="CM23">
        <f t="shared" si="19"/>
        <v>3</v>
      </c>
      <c r="CN23">
        <v>1</v>
      </c>
      <c r="CO23">
        <v>2</v>
      </c>
      <c r="CP23">
        <v>2</v>
      </c>
      <c r="CQ23">
        <v>1</v>
      </c>
      <c r="CR23" s="5">
        <v>2</v>
      </c>
      <c r="CS23">
        <f t="shared" si="20"/>
        <v>3</v>
      </c>
      <c r="CT23">
        <v>1</v>
      </c>
      <c r="CU23">
        <v>2</v>
      </c>
      <c r="CV23" s="6">
        <f t="shared" si="21"/>
        <v>5</v>
      </c>
      <c r="CW23" s="6">
        <f t="shared" si="22"/>
        <v>7</v>
      </c>
      <c r="CX23" s="6">
        <f t="shared" si="23"/>
        <v>12</v>
      </c>
      <c r="CY23" s="6">
        <f t="shared" si="24"/>
        <v>24</v>
      </c>
      <c r="CZ23" s="6">
        <f t="shared" si="25"/>
        <v>18</v>
      </c>
      <c r="DA23">
        <v>2</v>
      </c>
      <c r="DB23" s="1">
        <v>45002.67083333333</v>
      </c>
      <c r="DC23">
        <v>1</v>
      </c>
      <c r="DD23">
        <v>1</v>
      </c>
      <c r="DE23">
        <v>1</v>
      </c>
      <c r="DF23">
        <v>0</v>
      </c>
      <c r="DG23">
        <v>0</v>
      </c>
      <c r="DH23">
        <v>0</v>
      </c>
      <c r="DI23">
        <v>0</v>
      </c>
      <c r="DJ23">
        <v>0</v>
      </c>
      <c r="DK23">
        <v>0</v>
      </c>
      <c r="DL23">
        <v>1</v>
      </c>
      <c r="DM23">
        <v>1</v>
      </c>
      <c r="DN23">
        <v>1</v>
      </c>
      <c r="DO23">
        <v>1</v>
      </c>
      <c r="DP23">
        <v>0</v>
      </c>
      <c r="DQ23">
        <v>0</v>
      </c>
      <c r="DR23">
        <v>0</v>
      </c>
      <c r="DS23">
        <v>0</v>
      </c>
      <c r="DT23">
        <v>0</v>
      </c>
      <c r="DU23">
        <v>0</v>
      </c>
      <c r="DV23">
        <v>1</v>
      </c>
      <c r="DW23">
        <v>0</v>
      </c>
      <c r="DX23">
        <v>0</v>
      </c>
      <c r="DY23">
        <v>0</v>
      </c>
      <c r="DZ23">
        <v>0</v>
      </c>
      <c r="EA23">
        <v>1</v>
      </c>
      <c r="EB23">
        <v>0</v>
      </c>
      <c r="EC23">
        <v>0</v>
      </c>
      <c r="ED23">
        <v>0</v>
      </c>
      <c r="EE23">
        <v>0</v>
      </c>
      <c r="EF23">
        <v>1</v>
      </c>
      <c r="EG23">
        <v>0</v>
      </c>
      <c r="EH23">
        <v>0</v>
      </c>
      <c r="EI23">
        <v>1</v>
      </c>
      <c r="EJ23">
        <v>0</v>
      </c>
      <c r="EK23">
        <v>0</v>
      </c>
      <c r="EL23">
        <v>0</v>
      </c>
      <c r="EM23">
        <v>0</v>
      </c>
      <c r="EN23">
        <v>0</v>
      </c>
      <c r="EO23">
        <v>0</v>
      </c>
      <c r="EP23">
        <v>1</v>
      </c>
      <c r="EQ23">
        <v>0</v>
      </c>
      <c r="ER23">
        <v>0</v>
      </c>
      <c r="ES23">
        <v>1</v>
      </c>
      <c r="ET23">
        <v>0</v>
      </c>
      <c r="EU23">
        <v>0</v>
      </c>
      <c r="EV23">
        <v>0</v>
      </c>
      <c r="EW23">
        <v>0</v>
      </c>
      <c r="EX23">
        <v>1</v>
      </c>
      <c r="EY23">
        <v>0</v>
      </c>
      <c r="EZ23">
        <v>0</v>
      </c>
      <c r="FA23">
        <v>0</v>
      </c>
      <c r="FB23">
        <v>0</v>
      </c>
      <c r="FC23">
        <v>0</v>
      </c>
      <c r="FD23">
        <v>0</v>
      </c>
      <c r="FE23">
        <v>1</v>
      </c>
      <c r="FF23">
        <v>0</v>
      </c>
      <c r="FG23">
        <v>0</v>
      </c>
      <c r="FH23">
        <v>0</v>
      </c>
      <c r="FI23">
        <v>0</v>
      </c>
      <c r="FJ23">
        <v>1</v>
      </c>
      <c r="FK23">
        <v>0</v>
      </c>
      <c r="FL23">
        <v>0</v>
      </c>
      <c r="FM23">
        <v>1</v>
      </c>
      <c r="FN23">
        <v>0</v>
      </c>
      <c r="FO23">
        <v>0</v>
      </c>
      <c r="FP23">
        <v>0</v>
      </c>
      <c r="FQ23">
        <v>0</v>
      </c>
      <c r="FR23">
        <v>1</v>
      </c>
      <c r="FS23">
        <v>0</v>
      </c>
      <c r="FT23">
        <v>0</v>
      </c>
      <c r="FU23">
        <v>0</v>
      </c>
      <c r="FV23">
        <v>1</v>
      </c>
      <c r="FW23">
        <v>1</v>
      </c>
      <c r="FX23">
        <v>0</v>
      </c>
      <c r="FY23">
        <v>0</v>
      </c>
      <c r="FZ23">
        <v>0</v>
      </c>
      <c r="GA23">
        <v>0</v>
      </c>
      <c r="GB23">
        <v>0</v>
      </c>
      <c r="GC23">
        <v>0</v>
      </c>
      <c r="GD23">
        <v>1</v>
      </c>
      <c r="GE23">
        <v>0</v>
      </c>
      <c r="GF23">
        <v>0</v>
      </c>
      <c r="GG23">
        <v>0</v>
      </c>
      <c r="GH23">
        <v>1</v>
      </c>
      <c r="GI23">
        <v>0</v>
      </c>
      <c r="GJ23" s="6">
        <f t="shared" si="26"/>
        <v>22</v>
      </c>
      <c r="GK23">
        <v>2</v>
      </c>
      <c r="GL23" s="1">
        <v>45002.67083333333</v>
      </c>
      <c r="GM23">
        <v>0</v>
      </c>
      <c r="GQ23" s="5"/>
      <c r="GV23" s="5"/>
      <c r="HA23" s="5"/>
      <c r="HF23" s="5"/>
      <c r="HI23" s="6"/>
      <c r="HJ23" s="6"/>
      <c r="HK23" s="6"/>
      <c r="HL23">
        <v>2</v>
      </c>
      <c r="HM23" s="1">
        <v>45002.671527777777</v>
      </c>
      <c r="HN23">
        <v>7</v>
      </c>
      <c r="HO23">
        <v>13</v>
      </c>
      <c r="HP23">
        <v>10</v>
      </c>
      <c r="HQ23">
        <v>2</v>
      </c>
      <c r="HR23" s="1">
        <v>45014.553472222222</v>
      </c>
      <c r="HS23">
        <v>0</v>
      </c>
      <c r="HT23">
        <v>0</v>
      </c>
      <c r="HU23">
        <v>0</v>
      </c>
      <c r="HV23">
        <v>1</v>
      </c>
      <c r="HW23">
        <v>0</v>
      </c>
      <c r="HX23">
        <v>0</v>
      </c>
      <c r="HY23">
        <v>0</v>
      </c>
      <c r="HZ23">
        <v>0</v>
      </c>
      <c r="IA23">
        <v>0</v>
      </c>
      <c r="IB23">
        <v>0</v>
      </c>
      <c r="IC23">
        <v>1</v>
      </c>
      <c r="ID23">
        <v>1</v>
      </c>
      <c r="IE23">
        <v>0</v>
      </c>
      <c r="IF23">
        <v>0</v>
      </c>
      <c r="IG23">
        <v>1</v>
      </c>
      <c r="IH23">
        <v>0</v>
      </c>
      <c r="II23">
        <v>0</v>
      </c>
      <c r="IJ23">
        <v>0</v>
      </c>
      <c r="IK23">
        <v>1</v>
      </c>
      <c r="IL23">
        <v>0</v>
      </c>
      <c r="IM23">
        <v>0</v>
      </c>
      <c r="IN23" s="6">
        <f t="shared" si="31"/>
        <v>5</v>
      </c>
      <c r="IO23">
        <v>2</v>
      </c>
      <c r="IP23" s="1">
        <v>45014.554861111108</v>
      </c>
      <c r="IQ23">
        <v>0</v>
      </c>
      <c r="IR23">
        <v>0</v>
      </c>
      <c r="IS23">
        <v>0</v>
      </c>
      <c r="IT23">
        <v>0</v>
      </c>
      <c r="IU23">
        <v>0</v>
      </c>
      <c r="IV23">
        <v>0</v>
      </c>
      <c r="IW23">
        <v>1</v>
      </c>
      <c r="IX23">
        <v>1</v>
      </c>
      <c r="IY23">
        <v>0</v>
      </c>
      <c r="IZ23">
        <v>0</v>
      </c>
      <c r="JA23">
        <v>0</v>
      </c>
      <c r="JB23">
        <v>0</v>
      </c>
      <c r="JC23">
        <v>0</v>
      </c>
      <c r="JD23">
        <v>0</v>
      </c>
      <c r="JE23">
        <v>0</v>
      </c>
      <c r="JF23">
        <v>0</v>
      </c>
      <c r="JG23">
        <v>0</v>
      </c>
      <c r="JH23">
        <v>0</v>
      </c>
      <c r="JI23">
        <v>0</v>
      </c>
      <c r="JJ23">
        <v>0</v>
      </c>
      <c r="JK23" t="s">
        <v>415</v>
      </c>
      <c r="JL23">
        <v>0</v>
      </c>
      <c r="JM23">
        <v>0</v>
      </c>
      <c r="JN23">
        <v>0</v>
      </c>
      <c r="JO23">
        <v>0</v>
      </c>
      <c r="JP23">
        <v>0</v>
      </c>
      <c r="JQ23">
        <v>0</v>
      </c>
      <c r="JR23" t="s">
        <v>227</v>
      </c>
      <c r="JS23" t="s">
        <v>227</v>
      </c>
      <c r="JT23" s="6">
        <f t="shared" si="32"/>
        <v>2</v>
      </c>
      <c r="JU23" s="6">
        <v>0.01</v>
      </c>
      <c r="JV23" s="6">
        <f t="shared" si="33"/>
        <v>0</v>
      </c>
      <c r="JW23" s="6">
        <f t="shared" si="34"/>
        <v>0</v>
      </c>
      <c r="JX23">
        <v>2</v>
      </c>
      <c r="JY23" s="1">
        <v>45014.554861111108</v>
      </c>
      <c r="JZ23">
        <v>0</v>
      </c>
      <c r="KA23">
        <v>0</v>
      </c>
      <c r="KB23">
        <v>0</v>
      </c>
      <c r="KC23" s="6">
        <f t="shared" si="35"/>
        <v>0</v>
      </c>
      <c r="KD23">
        <v>2</v>
      </c>
      <c r="KE23" s="1">
        <v>45014.555555555555</v>
      </c>
      <c r="KF23" s="6">
        <v>36.200000000000003</v>
      </c>
      <c r="KG23" s="6">
        <v>2.6</v>
      </c>
      <c r="KP23">
        <v>1</v>
      </c>
      <c r="SX23">
        <v>1</v>
      </c>
      <c r="UD23">
        <v>2</v>
      </c>
      <c r="UP23">
        <v>2</v>
      </c>
      <c r="WX23" s="6">
        <v>1</v>
      </c>
      <c r="XJ23">
        <v>1</v>
      </c>
      <c r="YX23">
        <v>1</v>
      </c>
      <c r="YY23" s="6">
        <v>36.200000000000003</v>
      </c>
      <c r="YZ23" s="6">
        <v>2.6</v>
      </c>
      <c r="ZB23">
        <v>2</v>
      </c>
      <c r="ZC23" s="1">
        <v>45096.661111111112</v>
      </c>
      <c r="ZD23">
        <v>3</v>
      </c>
      <c r="ZE23">
        <v>1</v>
      </c>
      <c r="ZF23">
        <v>4</v>
      </c>
      <c r="ZG23">
        <v>1</v>
      </c>
      <c r="ZH23">
        <v>3</v>
      </c>
      <c r="ZI23">
        <v>1</v>
      </c>
      <c r="ZJ23">
        <v>1</v>
      </c>
      <c r="ZK23">
        <v>1</v>
      </c>
      <c r="ZL23">
        <v>3</v>
      </c>
      <c r="ZM23">
        <v>5</v>
      </c>
      <c r="ZN23">
        <v>1</v>
      </c>
      <c r="ZO23">
        <v>3</v>
      </c>
      <c r="ZP23">
        <v>1</v>
      </c>
      <c r="ZQ23">
        <v>3</v>
      </c>
      <c r="ZR23">
        <v>1</v>
      </c>
      <c r="ZS23">
        <v>3</v>
      </c>
      <c r="ZT23">
        <v>2</v>
      </c>
      <c r="ZU23">
        <v>1</v>
      </c>
      <c r="ZV23">
        <v>2</v>
      </c>
      <c r="ZW23">
        <v>1</v>
      </c>
      <c r="ZX23" s="6">
        <f t="shared" si="36"/>
        <v>31</v>
      </c>
      <c r="ZY23" s="6">
        <f t="shared" si="37"/>
        <v>10</v>
      </c>
      <c r="ZZ23">
        <v>2</v>
      </c>
      <c r="AAA23" s="1">
        <v>45014.556944444441</v>
      </c>
      <c r="AAB23">
        <v>0</v>
      </c>
      <c r="AAC23">
        <v>0</v>
      </c>
      <c r="AAD23">
        <v>0</v>
      </c>
      <c r="AAE23">
        <v>0</v>
      </c>
      <c r="AAF23">
        <v>0</v>
      </c>
      <c r="AAG23">
        <v>1</v>
      </c>
      <c r="AAH23">
        <v>0</v>
      </c>
      <c r="AAI23">
        <v>0</v>
      </c>
      <c r="AAJ23">
        <v>0</v>
      </c>
      <c r="AAK23">
        <v>0</v>
      </c>
      <c r="AAL23">
        <v>0</v>
      </c>
      <c r="AAM23">
        <v>0</v>
      </c>
      <c r="AAN23">
        <v>0</v>
      </c>
      <c r="AAO23">
        <v>0</v>
      </c>
      <c r="AAP23">
        <v>0</v>
      </c>
      <c r="AAQ23">
        <v>0</v>
      </c>
      <c r="AAR23">
        <v>0</v>
      </c>
      <c r="AAS23">
        <v>0</v>
      </c>
      <c r="AAT23" s="6">
        <f t="shared" si="38"/>
        <v>0</v>
      </c>
      <c r="AAU23" s="6">
        <f t="shared" si="39"/>
        <v>0</v>
      </c>
      <c r="AAV23" s="6">
        <f t="shared" si="40"/>
        <v>1</v>
      </c>
      <c r="AAW23" s="6">
        <f t="shared" si="41"/>
        <v>1</v>
      </c>
      <c r="AAX23">
        <v>2</v>
      </c>
      <c r="AAY23" s="1">
        <v>45014.557638888888</v>
      </c>
      <c r="AAZ23">
        <v>0</v>
      </c>
      <c r="ABO23" s="6"/>
      <c r="ABP23" s="6"/>
      <c r="ABQ23">
        <v>2</v>
      </c>
      <c r="ABS23">
        <v>0</v>
      </c>
      <c r="ABT23">
        <v>0</v>
      </c>
      <c r="ABU23">
        <v>1</v>
      </c>
      <c r="ABV23">
        <v>2</v>
      </c>
      <c r="ABW23">
        <v>0</v>
      </c>
      <c r="ABX23">
        <v>0</v>
      </c>
      <c r="ABY23">
        <v>0</v>
      </c>
      <c r="ABZ23">
        <v>1</v>
      </c>
      <c r="ACA23">
        <v>0</v>
      </c>
      <c r="ACB23">
        <v>2</v>
      </c>
      <c r="ACC23">
        <v>0</v>
      </c>
      <c r="ACD23">
        <v>1</v>
      </c>
      <c r="ACE23">
        <v>0</v>
      </c>
      <c r="ACF23">
        <v>0</v>
      </c>
      <c r="ACG23">
        <v>0</v>
      </c>
      <c r="ACH23">
        <v>0</v>
      </c>
      <c r="ACI23">
        <v>0</v>
      </c>
      <c r="ACJ23">
        <v>0</v>
      </c>
      <c r="ACK23">
        <v>0</v>
      </c>
      <c r="ACL23">
        <v>1</v>
      </c>
      <c r="ACM23">
        <v>0</v>
      </c>
      <c r="ACN23">
        <v>0</v>
      </c>
      <c r="ACO23">
        <v>1</v>
      </c>
      <c r="ACP23">
        <v>0</v>
      </c>
      <c r="ACQ23">
        <v>0</v>
      </c>
      <c r="ACR23">
        <v>2</v>
      </c>
      <c r="ACS23">
        <v>1</v>
      </c>
      <c r="ACT23">
        <v>0</v>
      </c>
      <c r="ACU23">
        <v>0</v>
      </c>
      <c r="ACV23">
        <v>1</v>
      </c>
      <c r="ACW23" s="6">
        <f t="shared" si="44"/>
        <v>2</v>
      </c>
      <c r="ACX23" s="6">
        <f t="shared" si="45"/>
        <v>0</v>
      </c>
      <c r="ACY23" s="6">
        <f t="shared" si="46"/>
        <v>0</v>
      </c>
      <c r="ACZ23" s="6">
        <f t="shared" si="47"/>
        <v>2</v>
      </c>
      <c r="ADA23" s="6">
        <f t="shared" si="48"/>
        <v>2</v>
      </c>
      <c r="ADB23" s="6">
        <f t="shared" si="49"/>
        <v>7</v>
      </c>
      <c r="ADC23" s="6">
        <f t="shared" si="50"/>
        <v>-1</v>
      </c>
      <c r="ADD23">
        <v>2</v>
      </c>
      <c r="ADE23" s="1">
        <v>45014.559027777781</v>
      </c>
      <c r="ADF23" s="5">
        <v>4</v>
      </c>
      <c r="ADG23">
        <f t="shared" si="51"/>
        <v>1</v>
      </c>
      <c r="ADH23" s="5">
        <v>4</v>
      </c>
      <c r="ADI23">
        <f t="shared" si="52"/>
        <v>1</v>
      </c>
      <c r="ADJ23">
        <v>1</v>
      </c>
      <c r="ADK23">
        <v>2</v>
      </c>
      <c r="ADL23" s="5">
        <v>3</v>
      </c>
      <c r="ADM23">
        <f t="shared" si="3"/>
        <v>2</v>
      </c>
      <c r="ADN23">
        <v>1</v>
      </c>
      <c r="ADO23">
        <v>1</v>
      </c>
      <c r="ADP23" s="5">
        <v>4</v>
      </c>
      <c r="ADQ23">
        <f t="shared" si="4"/>
        <v>1</v>
      </c>
      <c r="ADR23">
        <v>1</v>
      </c>
      <c r="ADS23" s="5">
        <v>4</v>
      </c>
      <c r="ADT23">
        <f t="shared" si="5"/>
        <v>1</v>
      </c>
      <c r="ADU23" s="5">
        <v>3</v>
      </c>
      <c r="ADV23">
        <f t="shared" ref="ADV23" si="94">INDEX($AD$48:$AE$51, MATCH(ADU23, $AD$48:$AD$51, 0), 2)</f>
        <v>2</v>
      </c>
      <c r="ADW23">
        <v>1</v>
      </c>
      <c r="ADX23">
        <v>1</v>
      </c>
      <c r="ADY23">
        <v>1</v>
      </c>
      <c r="ADZ23" s="5">
        <v>4</v>
      </c>
      <c r="AEA23">
        <f t="shared" si="6"/>
        <v>1</v>
      </c>
      <c r="AEB23" s="5">
        <v>4</v>
      </c>
      <c r="AEC23">
        <f t="shared" ref="AEC23" si="95">INDEX($AD$48:$AE$51, MATCH(AEB23, $AD$48:$AD$51, 0), 2)</f>
        <v>1</v>
      </c>
      <c r="AED23">
        <v>2</v>
      </c>
      <c r="AEE23">
        <v>1</v>
      </c>
      <c r="AEF23" s="5">
        <v>4</v>
      </c>
      <c r="AEG23">
        <f t="shared" si="7"/>
        <v>1</v>
      </c>
      <c r="AEH23" s="5">
        <v>3</v>
      </c>
      <c r="AEI23">
        <f t="shared" si="8"/>
        <v>2</v>
      </c>
      <c r="AEJ23" s="6">
        <f t="shared" si="55"/>
        <v>26</v>
      </c>
      <c r="AEK23">
        <v>2</v>
      </c>
      <c r="AEL23" s="1">
        <v>45014.559027777781</v>
      </c>
      <c r="AEM23">
        <v>0</v>
      </c>
      <c r="AER23">
        <v>0</v>
      </c>
      <c r="AES23">
        <v>0</v>
      </c>
      <c r="AET23">
        <v>0</v>
      </c>
      <c r="AEU23">
        <v>0</v>
      </c>
      <c r="AEV23">
        <v>0</v>
      </c>
      <c r="AEX23">
        <v>2</v>
      </c>
    </row>
    <row r="24" spans="1:830">
      <c r="A24">
        <v>179</v>
      </c>
      <c r="B24" t="s">
        <v>1197</v>
      </c>
      <c r="C24">
        <v>2</v>
      </c>
      <c r="D24">
        <v>2</v>
      </c>
      <c r="E24">
        <v>23</v>
      </c>
      <c r="F24">
        <v>62</v>
      </c>
      <c r="G24">
        <v>95</v>
      </c>
      <c r="H24">
        <v>0</v>
      </c>
      <c r="I24">
        <v>2</v>
      </c>
      <c r="K24" t="s">
        <v>383</v>
      </c>
      <c r="L24">
        <v>2</v>
      </c>
      <c r="M24" s="1">
        <v>45045.897222222222</v>
      </c>
      <c r="N24">
        <v>7</v>
      </c>
      <c r="O24">
        <v>0</v>
      </c>
      <c r="Q24">
        <v>0</v>
      </c>
      <c r="R24">
        <v>0</v>
      </c>
      <c r="S24">
        <v>0</v>
      </c>
      <c r="T24">
        <v>1</v>
      </c>
      <c r="U24">
        <v>0</v>
      </c>
      <c r="V24">
        <v>0</v>
      </c>
      <c r="W24">
        <v>0</v>
      </c>
      <c r="X24">
        <v>0</v>
      </c>
      <c r="Y24">
        <v>0</v>
      </c>
      <c r="Z24">
        <v>0</v>
      </c>
      <c r="AA24">
        <v>0</v>
      </c>
      <c r="AB24">
        <v>1</v>
      </c>
      <c r="AC24">
        <v>2</v>
      </c>
      <c r="AD24" s="1">
        <v>45045.897916666669</v>
      </c>
      <c r="AE24" s="5">
        <v>4</v>
      </c>
      <c r="AF24">
        <f t="shared" si="9"/>
        <v>1</v>
      </c>
      <c r="AG24">
        <v>2</v>
      </c>
      <c r="AH24" s="5">
        <v>4</v>
      </c>
      <c r="AI24">
        <f t="shared" si="10"/>
        <v>1</v>
      </c>
      <c r="AJ24">
        <v>1</v>
      </c>
      <c r="AK24">
        <v>1</v>
      </c>
      <c r="AL24" s="5">
        <v>3</v>
      </c>
      <c r="AM24">
        <f t="shared" si="11"/>
        <v>2</v>
      </c>
      <c r="AN24" s="5">
        <v>4</v>
      </c>
      <c r="AO24">
        <f t="shared" si="12"/>
        <v>1</v>
      </c>
      <c r="AP24">
        <v>2</v>
      </c>
      <c r="AQ24">
        <v>2</v>
      </c>
      <c r="AR24" s="5">
        <v>4</v>
      </c>
      <c r="AS24">
        <f t="shared" si="13"/>
        <v>1</v>
      </c>
      <c r="AT24">
        <v>1</v>
      </c>
      <c r="AU24">
        <v>2</v>
      </c>
      <c r="AV24" s="5">
        <v>4</v>
      </c>
      <c r="AW24">
        <f t="shared" si="14"/>
        <v>1</v>
      </c>
      <c r="AX24" s="5">
        <v>4</v>
      </c>
      <c r="AY24">
        <f t="shared" si="15"/>
        <v>1</v>
      </c>
      <c r="AZ24">
        <v>1</v>
      </c>
      <c r="BA24" s="5">
        <v>4</v>
      </c>
      <c r="BB24">
        <f t="shared" si="16"/>
        <v>1</v>
      </c>
      <c r="BC24">
        <v>2</v>
      </c>
      <c r="BD24">
        <v>2</v>
      </c>
      <c r="BE24" s="5">
        <v>4</v>
      </c>
      <c r="BF24">
        <f t="shared" si="17"/>
        <v>1</v>
      </c>
      <c r="BG24">
        <v>2</v>
      </c>
      <c r="BH24" s="6">
        <f t="shared" si="18"/>
        <v>28</v>
      </c>
      <c r="BI24">
        <v>2</v>
      </c>
      <c r="BJ24" s="1">
        <v>45045.898611111108</v>
      </c>
      <c r="BK24">
        <v>13</v>
      </c>
      <c r="BL24">
        <v>3</v>
      </c>
      <c r="BM24">
        <v>1</v>
      </c>
      <c r="BQ24" s="2">
        <v>45037</v>
      </c>
      <c r="BU24">
        <v>30</v>
      </c>
      <c r="BV24">
        <v>6</v>
      </c>
      <c r="BW24">
        <v>1</v>
      </c>
      <c r="BX24">
        <v>2</v>
      </c>
      <c r="BY24" s="1">
        <v>45045.9</v>
      </c>
      <c r="BZ24">
        <v>4</v>
      </c>
      <c r="CA24">
        <v>1</v>
      </c>
      <c r="CB24">
        <v>4</v>
      </c>
      <c r="CC24">
        <v>3</v>
      </c>
      <c r="CD24">
        <v>4</v>
      </c>
      <c r="CE24">
        <v>4</v>
      </c>
      <c r="CF24">
        <v>3</v>
      </c>
      <c r="CG24">
        <v>4</v>
      </c>
      <c r="CH24">
        <v>3</v>
      </c>
      <c r="CI24">
        <v>4</v>
      </c>
      <c r="CJ24">
        <v>2</v>
      </c>
      <c r="CK24">
        <v>4</v>
      </c>
      <c r="CL24" s="5">
        <v>1</v>
      </c>
      <c r="CM24">
        <f t="shared" si="19"/>
        <v>4</v>
      </c>
      <c r="CN24">
        <v>3</v>
      </c>
      <c r="CO24">
        <v>3</v>
      </c>
      <c r="CP24">
        <v>3</v>
      </c>
      <c r="CQ24">
        <v>1</v>
      </c>
      <c r="CR24" s="5">
        <v>2</v>
      </c>
      <c r="CS24">
        <f t="shared" si="20"/>
        <v>3</v>
      </c>
      <c r="CT24">
        <v>3</v>
      </c>
      <c r="CU24">
        <v>3</v>
      </c>
      <c r="CV24" s="6">
        <f t="shared" si="21"/>
        <v>12</v>
      </c>
      <c r="CW24" s="6">
        <f t="shared" si="22"/>
        <v>12</v>
      </c>
      <c r="CX24" s="6">
        <f t="shared" si="23"/>
        <v>18</v>
      </c>
      <c r="CY24" s="6">
        <f t="shared" si="24"/>
        <v>42</v>
      </c>
      <c r="CZ24" s="6">
        <f t="shared" si="25"/>
        <v>21</v>
      </c>
      <c r="DA24">
        <v>2</v>
      </c>
      <c r="DB24" s="1">
        <v>45045.901388888888</v>
      </c>
      <c r="DC24">
        <v>0</v>
      </c>
      <c r="DD24">
        <v>0</v>
      </c>
      <c r="DE24">
        <v>0</v>
      </c>
      <c r="DF24">
        <v>0</v>
      </c>
      <c r="DG24">
        <v>1</v>
      </c>
      <c r="DH24">
        <v>0</v>
      </c>
      <c r="DI24">
        <v>0</v>
      </c>
      <c r="DJ24">
        <v>0</v>
      </c>
      <c r="DK24">
        <v>0</v>
      </c>
      <c r="DL24">
        <v>1</v>
      </c>
      <c r="DM24">
        <v>0</v>
      </c>
      <c r="DN24">
        <v>0</v>
      </c>
      <c r="DO24">
        <v>1</v>
      </c>
      <c r="DP24">
        <v>0</v>
      </c>
      <c r="DQ24">
        <v>0</v>
      </c>
      <c r="DR24">
        <v>0</v>
      </c>
      <c r="DS24">
        <v>0</v>
      </c>
      <c r="DT24">
        <v>0</v>
      </c>
      <c r="DU24">
        <v>0</v>
      </c>
      <c r="DV24">
        <v>1</v>
      </c>
      <c r="DW24">
        <v>0</v>
      </c>
      <c r="DX24">
        <v>0</v>
      </c>
      <c r="DY24">
        <v>0</v>
      </c>
      <c r="DZ24">
        <v>0</v>
      </c>
      <c r="EA24">
        <v>1</v>
      </c>
      <c r="EB24">
        <v>0</v>
      </c>
      <c r="EC24">
        <v>0</v>
      </c>
      <c r="ED24">
        <v>0</v>
      </c>
      <c r="EE24">
        <v>0</v>
      </c>
      <c r="EF24">
        <v>1</v>
      </c>
      <c r="EG24">
        <v>0</v>
      </c>
      <c r="EH24">
        <v>0</v>
      </c>
      <c r="EI24">
        <v>0</v>
      </c>
      <c r="EJ24">
        <v>0</v>
      </c>
      <c r="EK24">
        <v>1</v>
      </c>
      <c r="EL24">
        <v>0</v>
      </c>
      <c r="EM24">
        <v>0</v>
      </c>
      <c r="EN24">
        <v>0</v>
      </c>
      <c r="EO24">
        <v>0</v>
      </c>
      <c r="EP24">
        <v>1</v>
      </c>
      <c r="EQ24">
        <v>0</v>
      </c>
      <c r="ER24">
        <v>0</v>
      </c>
      <c r="ES24">
        <v>0</v>
      </c>
      <c r="ET24">
        <v>0</v>
      </c>
      <c r="EU24">
        <v>1</v>
      </c>
      <c r="EV24">
        <v>0</v>
      </c>
      <c r="EW24">
        <v>0</v>
      </c>
      <c r="EX24">
        <v>0</v>
      </c>
      <c r="EY24">
        <v>0</v>
      </c>
      <c r="EZ24">
        <v>1</v>
      </c>
      <c r="FA24">
        <v>0</v>
      </c>
      <c r="FB24">
        <v>0</v>
      </c>
      <c r="FC24">
        <v>0</v>
      </c>
      <c r="FD24">
        <v>0</v>
      </c>
      <c r="FE24">
        <v>1</v>
      </c>
      <c r="FF24">
        <v>0</v>
      </c>
      <c r="FG24">
        <v>1</v>
      </c>
      <c r="FH24">
        <v>0</v>
      </c>
      <c r="FI24">
        <v>0</v>
      </c>
      <c r="FJ24">
        <v>0</v>
      </c>
      <c r="FK24">
        <v>0</v>
      </c>
      <c r="FL24">
        <v>0</v>
      </c>
      <c r="FM24">
        <v>0</v>
      </c>
      <c r="FN24">
        <v>0</v>
      </c>
      <c r="FO24">
        <v>1</v>
      </c>
      <c r="FP24">
        <v>0</v>
      </c>
      <c r="FQ24">
        <v>0</v>
      </c>
      <c r="FR24">
        <v>0</v>
      </c>
      <c r="FS24">
        <v>0</v>
      </c>
      <c r="FT24">
        <v>1</v>
      </c>
      <c r="FU24">
        <v>0</v>
      </c>
      <c r="FV24">
        <v>0</v>
      </c>
      <c r="FW24">
        <v>1</v>
      </c>
      <c r="FX24">
        <v>0</v>
      </c>
      <c r="FY24">
        <v>0</v>
      </c>
      <c r="FZ24">
        <v>0</v>
      </c>
      <c r="GA24">
        <v>0</v>
      </c>
      <c r="GB24">
        <v>0</v>
      </c>
      <c r="GC24">
        <v>0</v>
      </c>
      <c r="GD24">
        <v>1</v>
      </c>
      <c r="GE24">
        <v>0</v>
      </c>
      <c r="GF24">
        <v>0</v>
      </c>
      <c r="GG24">
        <v>0</v>
      </c>
      <c r="GH24">
        <v>0</v>
      </c>
      <c r="GI24">
        <v>1</v>
      </c>
      <c r="GJ24" s="6">
        <f t="shared" si="26"/>
        <v>17</v>
      </c>
      <c r="GK24">
        <v>2</v>
      </c>
      <c r="GL24" s="1">
        <v>45045.901388888888</v>
      </c>
      <c r="GM24">
        <v>0</v>
      </c>
      <c r="GQ24" s="5"/>
      <c r="GV24" s="5"/>
      <c r="HA24" s="5"/>
      <c r="HF24" s="5"/>
      <c r="HI24" s="6"/>
      <c r="HJ24" s="6"/>
      <c r="HK24" s="6"/>
      <c r="HL24">
        <v>2</v>
      </c>
      <c r="HM24" s="1">
        <v>45045.902083333334</v>
      </c>
      <c r="HN24">
        <v>7</v>
      </c>
      <c r="HO24">
        <v>2</v>
      </c>
      <c r="HP24">
        <v>1</v>
      </c>
      <c r="HQ24">
        <v>2</v>
      </c>
      <c r="HR24" s="1">
        <v>45059.444444444445</v>
      </c>
      <c r="HS24">
        <v>0</v>
      </c>
      <c r="HT24">
        <v>0</v>
      </c>
      <c r="HU24">
        <v>0</v>
      </c>
      <c r="HV24">
        <v>0</v>
      </c>
      <c r="HW24">
        <v>0</v>
      </c>
      <c r="HX24">
        <v>0</v>
      </c>
      <c r="HY24">
        <v>0</v>
      </c>
      <c r="HZ24">
        <v>0</v>
      </c>
      <c r="IA24">
        <v>0</v>
      </c>
      <c r="IB24">
        <v>0</v>
      </c>
      <c r="IC24">
        <v>0</v>
      </c>
      <c r="ID24">
        <v>0</v>
      </c>
      <c r="IE24">
        <v>0</v>
      </c>
      <c r="IF24">
        <v>0</v>
      </c>
      <c r="IG24">
        <v>0</v>
      </c>
      <c r="IH24">
        <v>0</v>
      </c>
      <c r="II24">
        <v>0</v>
      </c>
      <c r="IJ24">
        <v>0</v>
      </c>
      <c r="IK24">
        <v>0</v>
      </c>
      <c r="IL24">
        <v>0</v>
      </c>
      <c r="IM24">
        <v>0</v>
      </c>
      <c r="IN24" s="6">
        <f t="shared" si="31"/>
        <v>0</v>
      </c>
      <c r="IO24">
        <v>2</v>
      </c>
      <c r="IP24" s="1">
        <v>45059.445138888892</v>
      </c>
      <c r="IQ24">
        <v>0</v>
      </c>
      <c r="IR24">
        <v>0</v>
      </c>
      <c r="IS24">
        <v>0</v>
      </c>
      <c r="IT24">
        <v>0</v>
      </c>
      <c r="IU24">
        <v>0</v>
      </c>
      <c r="IV24">
        <v>0</v>
      </c>
      <c r="IW24">
        <v>0</v>
      </c>
      <c r="IX24">
        <v>0</v>
      </c>
      <c r="IY24">
        <v>0</v>
      </c>
      <c r="IZ24">
        <v>0</v>
      </c>
      <c r="JA24">
        <v>0</v>
      </c>
      <c r="JB24">
        <v>0</v>
      </c>
      <c r="JC24">
        <v>0</v>
      </c>
      <c r="JD24">
        <v>0</v>
      </c>
      <c r="JE24">
        <v>0</v>
      </c>
      <c r="JF24">
        <v>0</v>
      </c>
      <c r="JG24">
        <v>0</v>
      </c>
      <c r="JH24">
        <v>0</v>
      </c>
      <c r="JI24">
        <v>0</v>
      </c>
      <c r="JJ24">
        <v>1</v>
      </c>
      <c r="JT24" s="6">
        <f t="shared" si="32"/>
        <v>0</v>
      </c>
      <c r="JU24" s="6"/>
      <c r="JV24" s="6"/>
      <c r="JW24" s="6"/>
      <c r="JX24">
        <v>2</v>
      </c>
      <c r="JY24" s="1">
        <v>45059.445138888892</v>
      </c>
      <c r="JZ24">
        <v>0</v>
      </c>
      <c r="KA24">
        <v>0</v>
      </c>
      <c r="KB24">
        <v>0</v>
      </c>
      <c r="KC24" s="6">
        <f t="shared" si="35"/>
        <v>0</v>
      </c>
      <c r="KD24">
        <v>2</v>
      </c>
      <c r="KE24" s="1">
        <v>45059.445138888892</v>
      </c>
      <c r="KF24" s="6">
        <v>50.7</v>
      </c>
      <c r="KG24" s="6">
        <v>2.2999999999999998</v>
      </c>
      <c r="KP24">
        <v>3</v>
      </c>
      <c r="UH24">
        <v>2</v>
      </c>
      <c r="WX24">
        <v>2</v>
      </c>
      <c r="XN24" s="6">
        <v>2</v>
      </c>
      <c r="YX24">
        <v>2</v>
      </c>
      <c r="YY24" s="6">
        <v>50.7</v>
      </c>
      <c r="YZ24" s="6">
        <v>2.2999999999999998</v>
      </c>
      <c r="ZB24">
        <v>2</v>
      </c>
      <c r="ZC24" s="1">
        <v>45097.661111111112</v>
      </c>
      <c r="ZD24">
        <v>3</v>
      </c>
      <c r="ZE24">
        <v>1</v>
      </c>
      <c r="ZF24">
        <v>3</v>
      </c>
      <c r="ZG24">
        <v>1</v>
      </c>
      <c r="ZH24">
        <v>3</v>
      </c>
      <c r="ZI24">
        <v>1</v>
      </c>
      <c r="ZJ24">
        <v>1</v>
      </c>
      <c r="ZK24">
        <v>1</v>
      </c>
      <c r="ZL24">
        <v>3</v>
      </c>
      <c r="ZM24">
        <v>3</v>
      </c>
      <c r="ZN24">
        <v>1</v>
      </c>
      <c r="ZO24">
        <v>2</v>
      </c>
      <c r="ZP24">
        <v>1</v>
      </c>
      <c r="ZQ24">
        <v>3</v>
      </c>
      <c r="ZR24">
        <v>2</v>
      </c>
      <c r="ZS24">
        <v>3</v>
      </c>
      <c r="ZT24">
        <v>4</v>
      </c>
      <c r="ZU24">
        <v>1</v>
      </c>
      <c r="ZV24">
        <v>3</v>
      </c>
      <c r="ZW24">
        <v>1</v>
      </c>
      <c r="ZX24" s="6">
        <f t="shared" si="36"/>
        <v>30</v>
      </c>
      <c r="ZY24" s="6">
        <f t="shared" si="37"/>
        <v>11</v>
      </c>
      <c r="ZZ24">
        <v>2</v>
      </c>
      <c r="AAA24" s="1">
        <v>45059.446527777778</v>
      </c>
      <c r="AAB24">
        <v>0</v>
      </c>
      <c r="AAC24">
        <v>0</v>
      </c>
      <c r="AAD24">
        <v>0</v>
      </c>
      <c r="AAE24">
        <v>0</v>
      </c>
      <c r="AAF24">
        <v>1</v>
      </c>
      <c r="AAG24">
        <v>0</v>
      </c>
      <c r="AAH24">
        <v>1</v>
      </c>
      <c r="AAI24">
        <v>0</v>
      </c>
      <c r="AAJ24">
        <v>0</v>
      </c>
      <c r="AAK24">
        <v>0</v>
      </c>
      <c r="AAL24">
        <v>0</v>
      </c>
      <c r="AAM24">
        <v>0</v>
      </c>
      <c r="AAN24">
        <v>0</v>
      </c>
      <c r="AAO24">
        <v>0</v>
      </c>
      <c r="AAP24">
        <v>0</v>
      </c>
      <c r="AAQ24">
        <v>0</v>
      </c>
      <c r="AAR24">
        <v>0</v>
      </c>
      <c r="AAS24">
        <v>0</v>
      </c>
      <c r="AAT24" s="6">
        <f t="shared" si="38"/>
        <v>1</v>
      </c>
      <c r="AAU24" s="6">
        <f t="shared" si="39"/>
        <v>1</v>
      </c>
      <c r="AAV24" s="6">
        <f t="shared" si="40"/>
        <v>0</v>
      </c>
      <c r="AAW24" s="6">
        <f t="shared" si="41"/>
        <v>2</v>
      </c>
      <c r="AAX24">
        <v>2</v>
      </c>
      <c r="AAY24" s="1">
        <v>45059.447222222225</v>
      </c>
      <c r="AAZ24">
        <v>0</v>
      </c>
      <c r="ABO24" s="6"/>
      <c r="ABP24" s="6"/>
      <c r="ABQ24">
        <v>2</v>
      </c>
      <c r="ABS24">
        <v>0</v>
      </c>
      <c r="ABT24">
        <v>0</v>
      </c>
      <c r="ABU24">
        <v>0</v>
      </c>
      <c r="ABV24">
        <v>3</v>
      </c>
      <c r="ABW24">
        <v>0</v>
      </c>
      <c r="ABX24">
        <v>0</v>
      </c>
      <c r="ABY24">
        <v>0</v>
      </c>
      <c r="ABZ24">
        <v>2</v>
      </c>
      <c r="ACA24">
        <v>0</v>
      </c>
      <c r="ACB24">
        <v>2</v>
      </c>
      <c r="ACC24">
        <v>0</v>
      </c>
      <c r="ACD24">
        <v>0</v>
      </c>
      <c r="ACE24">
        <v>0</v>
      </c>
      <c r="ACF24">
        <v>0</v>
      </c>
      <c r="ACG24">
        <v>0</v>
      </c>
      <c r="ACH24">
        <v>0</v>
      </c>
      <c r="ACI24">
        <v>0</v>
      </c>
      <c r="ACJ24">
        <v>0</v>
      </c>
      <c r="ACK24">
        <v>0</v>
      </c>
      <c r="ACL24">
        <v>0</v>
      </c>
      <c r="ACM24">
        <v>0</v>
      </c>
      <c r="ACN24">
        <v>0</v>
      </c>
      <c r="ACO24">
        <v>0</v>
      </c>
      <c r="ACP24">
        <v>0</v>
      </c>
      <c r="ACQ24">
        <v>0</v>
      </c>
      <c r="ACR24">
        <v>3</v>
      </c>
      <c r="ACS24">
        <v>2</v>
      </c>
      <c r="ACT24">
        <v>0</v>
      </c>
      <c r="ACU24">
        <v>0</v>
      </c>
      <c r="ACV24">
        <v>2</v>
      </c>
      <c r="ACW24" s="6">
        <f t="shared" si="44"/>
        <v>0</v>
      </c>
      <c r="ACX24" s="6">
        <f t="shared" si="45"/>
        <v>0</v>
      </c>
      <c r="ACY24" s="6">
        <f t="shared" si="46"/>
        <v>0</v>
      </c>
      <c r="ACZ24" s="6">
        <f t="shared" si="47"/>
        <v>0</v>
      </c>
      <c r="ADA24" s="6">
        <f t="shared" si="48"/>
        <v>3</v>
      </c>
      <c r="ADB24" s="6">
        <f t="shared" si="49"/>
        <v>11</v>
      </c>
      <c r="ADC24" s="6">
        <f t="shared" si="50"/>
        <v>-8</v>
      </c>
      <c r="ADD24">
        <v>2</v>
      </c>
      <c r="ADE24" s="1">
        <v>45059.447916666664</v>
      </c>
      <c r="ADF24" s="5">
        <v>4</v>
      </c>
      <c r="ADG24">
        <f t="shared" si="51"/>
        <v>1</v>
      </c>
      <c r="ADH24" s="5">
        <v>4</v>
      </c>
      <c r="ADI24">
        <f t="shared" si="52"/>
        <v>1</v>
      </c>
      <c r="ADJ24">
        <v>1</v>
      </c>
      <c r="ADK24">
        <v>1</v>
      </c>
      <c r="ADL24" s="5">
        <v>4</v>
      </c>
      <c r="ADM24">
        <f t="shared" si="3"/>
        <v>1</v>
      </c>
      <c r="ADN24">
        <v>1</v>
      </c>
      <c r="ADO24">
        <v>1</v>
      </c>
      <c r="ADP24" s="5">
        <v>4</v>
      </c>
      <c r="ADQ24">
        <f t="shared" si="4"/>
        <v>1</v>
      </c>
      <c r="ADR24">
        <v>1</v>
      </c>
      <c r="ADS24" s="5">
        <v>4</v>
      </c>
      <c r="ADT24">
        <f t="shared" si="5"/>
        <v>1</v>
      </c>
      <c r="ADU24" s="5">
        <v>4</v>
      </c>
      <c r="ADV24">
        <f t="shared" ref="ADV24" si="96">INDEX($AD$48:$AE$51, MATCH(ADU24, $AD$48:$AD$51, 0), 2)</f>
        <v>1</v>
      </c>
      <c r="ADW24">
        <v>1</v>
      </c>
      <c r="ADX24">
        <v>1</v>
      </c>
      <c r="ADY24">
        <v>1</v>
      </c>
      <c r="ADZ24" s="5">
        <v>4</v>
      </c>
      <c r="AEA24">
        <f t="shared" si="6"/>
        <v>1</v>
      </c>
      <c r="AEB24" s="5">
        <v>4</v>
      </c>
      <c r="AEC24">
        <f t="shared" ref="AEC24" si="97">INDEX($AD$48:$AE$51, MATCH(AEB24, $AD$48:$AD$51, 0), 2)</f>
        <v>1</v>
      </c>
      <c r="AED24">
        <v>1</v>
      </c>
      <c r="AEE24">
        <v>1</v>
      </c>
      <c r="AEF24" s="5">
        <v>4</v>
      </c>
      <c r="AEG24">
        <f t="shared" si="7"/>
        <v>1</v>
      </c>
      <c r="AEH24" s="5">
        <v>4</v>
      </c>
      <c r="AEI24">
        <f t="shared" si="8"/>
        <v>1</v>
      </c>
      <c r="AEJ24" s="6">
        <f t="shared" si="55"/>
        <v>21</v>
      </c>
      <c r="AEK24">
        <v>2</v>
      </c>
      <c r="AEL24" s="1">
        <v>45059.447916666664</v>
      </c>
      <c r="AEM24">
        <v>0</v>
      </c>
      <c r="AER24">
        <v>0</v>
      </c>
      <c r="AES24">
        <v>0</v>
      </c>
      <c r="AET24">
        <v>0</v>
      </c>
      <c r="AEU24">
        <v>0</v>
      </c>
      <c r="AEV24">
        <v>0</v>
      </c>
      <c r="AEX24">
        <v>2</v>
      </c>
    </row>
    <row r="25" spans="1:830">
      <c r="A25">
        <v>182</v>
      </c>
      <c r="B25" t="s">
        <v>1198</v>
      </c>
      <c r="C25">
        <v>2</v>
      </c>
      <c r="D25">
        <v>2</v>
      </c>
      <c r="E25">
        <v>24</v>
      </c>
      <c r="F25">
        <v>65</v>
      </c>
      <c r="G25">
        <v>185</v>
      </c>
      <c r="H25">
        <v>0</v>
      </c>
      <c r="I25">
        <v>3</v>
      </c>
      <c r="K25" t="s">
        <v>419</v>
      </c>
      <c r="L25">
        <v>2</v>
      </c>
      <c r="M25" s="1">
        <v>45026.526388888888</v>
      </c>
      <c r="N25">
        <v>6</v>
      </c>
      <c r="O25">
        <v>0</v>
      </c>
      <c r="Q25">
        <v>0</v>
      </c>
      <c r="R25">
        <v>1</v>
      </c>
      <c r="S25">
        <v>1</v>
      </c>
      <c r="T25">
        <v>0</v>
      </c>
      <c r="U25">
        <v>0</v>
      </c>
      <c r="V25">
        <v>0</v>
      </c>
      <c r="W25">
        <v>0</v>
      </c>
      <c r="X25">
        <v>0</v>
      </c>
      <c r="Y25">
        <v>0</v>
      </c>
      <c r="Z25">
        <v>0</v>
      </c>
      <c r="AA25">
        <v>0</v>
      </c>
      <c r="AB25">
        <v>2</v>
      </c>
      <c r="AC25">
        <v>2</v>
      </c>
      <c r="AD25" s="1">
        <v>45026.527083333334</v>
      </c>
      <c r="AE25" s="5">
        <v>4</v>
      </c>
      <c r="AF25">
        <f t="shared" si="9"/>
        <v>1</v>
      </c>
      <c r="AG25">
        <v>1</v>
      </c>
      <c r="AH25" s="5">
        <v>4</v>
      </c>
      <c r="AI25">
        <f t="shared" si="10"/>
        <v>1</v>
      </c>
      <c r="AJ25">
        <v>1</v>
      </c>
      <c r="AK25">
        <v>1</v>
      </c>
      <c r="AL25" s="5">
        <v>4</v>
      </c>
      <c r="AM25">
        <f t="shared" si="11"/>
        <v>1</v>
      </c>
      <c r="AN25" s="5">
        <v>4</v>
      </c>
      <c r="AO25">
        <f t="shared" si="12"/>
        <v>1</v>
      </c>
      <c r="AP25">
        <v>1</v>
      </c>
      <c r="AQ25">
        <v>2</v>
      </c>
      <c r="AR25" s="5">
        <v>4</v>
      </c>
      <c r="AS25">
        <f t="shared" si="13"/>
        <v>1</v>
      </c>
      <c r="AT25">
        <v>1</v>
      </c>
      <c r="AU25">
        <v>1</v>
      </c>
      <c r="AV25" s="5">
        <v>4</v>
      </c>
      <c r="AW25">
        <f t="shared" si="14"/>
        <v>1</v>
      </c>
      <c r="AX25" s="5">
        <v>4</v>
      </c>
      <c r="AY25">
        <f t="shared" si="15"/>
        <v>1</v>
      </c>
      <c r="AZ25">
        <v>1</v>
      </c>
      <c r="BA25" s="5">
        <v>4</v>
      </c>
      <c r="BB25">
        <f t="shared" si="16"/>
        <v>1</v>
      </c>
      <c r="BC25">
        <v>2</v>
      </c>
      <c r="BD25">
        <v>1</v>
      </c>
      <c r="BE25" s="5">
        <v>4</v>
      </c>
      <c r="BF25">
        <f t="shared" si="17"/>
        <v>1</v>
      </c>
      <c r="BG25">
        <v>1</v>
      </c>
      <c r="BH25" s="6">
        <f t="shared" si="18"/>
        <v>22</v>
      </c>
      <c r="BI25">
        <v>2</v>
      </c>
      <c r="BJ25" s="1">
        <v>45026.527777777781</v>
      </c>
      <c r="BK25">
        <v>11</v>
      </c>
      <c r="BL25">
        <v>2</v>
      </c>
      <c r="BM25">
        <v>1</v>
      </c>
      <c r="BQ25" s="2">
        <v>44997</v>
      </c>
      <c r="BU25">
        <v>30</v>
      </c>
      <c r="BV25">
        <v>3</v>
      </c>
      <c r="BW25">
        <v>2</v>
      </c>
      <c r="BX25">
        <v>2</v>
      </c>
      <c r="BY25" s="1">
        <v>45026.52847222222</v>
      </c>
      <c r="BZ25">
        <v>4</v>
      </c>
      <c r="CA25">
        <v>2</v>
      </c>
      <c r="CB25">
        <v>4</v>
      </c>
      <c r="CC25">
        <v>2</v>
      </c>
      <c r="CD25">
        <v>4</v>
      </c>
      <c r="CE25">
        <v>3</v>
      </c>
      <c r="CF25">
        <v>3</v>
      </c>
      <c r="CG25">
        <v>4</v>
      </c>
      <c r="CH25">
        <v>4</v>
      </c>
      <c r="CI25">
        <v>4</v>
      </c>
      <c r="CJ25">
        <v>3</v>
      </c>
      <c r="CK25">
        <v>4</v>
      </c>
      <c r="CL25" s="5">
        <v>1</v>
      </c>
      <c r="CM25">
        <f t="shared" si="19"/>
        <v>4</v>
      </c>
      <c r="CN25">
        <v>3</v>
      </c>
      <c r="CO25">
        <v>3</v>
      </c>
      <c r="CP25">
        <v>3</v>
      </c>
      <c r="CQ25">
        <v>2</v>
      </c>
      <c r="CR25" s="5">
        <v>1</v>
      </c>
      <c r="CS25">
        <f t="shared" si="20"/>
        <v>4</v>
      </c>
      <c r="CT25">
        <v>4</v>
      </c>
      <c r="CU25">
        <v>4</v>
      </c>
      <c r="CV25" s="6">
        <f t="shared" si="21"/>
        <v>12</v>
      </c>
      <c r="CW25" s="6">
        <f t="shared" si="22"/>
        <v>14</v>
      </c>
      <c r="CX25" s="6">
        <f t="shared" si="23"/>
        <v>20</v>
      </c>
      <c r="CY25" s="6">
        <f t="shared" si="24"/>
        <v>46</v>
      </c>
      <c r="CZ25" s="6">
        <f t="shared" si="25"/>
        <v>22</v>
      </c>
      <c r="DA25">
        <v>2</v>
      </c>
      <c r="DB25" s="1">
        <v>45026.530555555553</v>
      </c>
      <c r="DC25">
        <v>0</v>
      </c>
      <c r="DD25">
        <v>0</v>
      </c>
      <c r="DE25">
        <v>1</v>
      </c>
      <c r="DF25">
        <v>0</v>
      </c>
      <c r="DG25">
        <v>0</v>
      </c>
      <c r="DH25">
        <v>0</v>
      </c>
      <c r="DI25">
        <v>0</v>
      </c>
      <c r="DJ25">
        <v>1</v>
      </c>
      <c r="DK25">
        <v>0</v>
      </c>
      <c r="DL25">
        <v>0</v>
      </c>
      <c r="DM25">
        <v>1</v>
      </c>
      <c r="DN25">
        <v>0</v>
      </c>
      <c r="DO25">
        <v>0</v>
      </c>
      <c r="DP25">
        <v>0</v>
      </c>
      <c r="DQ25">
        <v>0</v>
      </c>
      <c r="DR25">
        <v>0</v>
      </c>
      <c r="DS25">
        <v>0</v>
      </c>
      <c r="DT25">
        <v>1</v>
      </c>
      <c r="DU25">
        <v>0</v>
      </c>
      <c r="DV25">
        <v>0</v>
      </c>
      <c r="DW25">
        <v>0</v>
      </c>
      <c r="DX25">
        <v>0</v>
      </c>
      <c r="DY25">
        <v>0</v>
      </c>
      <c r="DZ25">
        <v>0</v>
      </c>
      <c r="EA25">
        <v>1</v>
      </c>
      <c r="EB25">
        <v>0</v>
      </c>
      <c r="EC25">
        <v>0</v>
      </c>
      <c r="ED25">
        <v>1</v>
      </c>
      <c r="EE25">
        <v>0</v>
      </c>
      <c r="EF25">
        <v>0</v>
      </c>
      <c r="EG25">
        <v>0</v>
      </c>
      <c r="EH25">
        <v>0</v>
      </c>
      <c r="EI25">
        <v>1</v>
      </c>
      <c r="EJ25">
        <v>0</v>
      </c>
      <c r="EK25">
        <v>0</v>
      </c>
      <c r="EL25">
        <v>0</v>
      </c>
      <c r="EM25">
        <v>0</v>
      </c>
      <c r="EN25">
        <v>1</v>
      </c>
      <c r="EO25">
        <v>0</v>
      </c>
      <c r="EP25">
        <v>0</v>
      </c>
      <c r="EQ25">
        <v>1</v>
      </c>
      <c r="ER25">
        <v>0</v>
      </c>
      <c r="ES25">
        <v>0</v>
      </c>
      <c r="ET25">
        <v>0</v>
      </c>
      <c r="EU25">
        <v>0</v>
      </c>
      <c r="EV25">
        <v>0</v>
      </c>
      <c r="EW25">
        <v>0</v>
      </c>
      <c r="EX25">
        <v>0</v>
      </c>
      <c r="EY25">
        <v>0</v>
      </c>
      <c r="EZ25">
        <v>1</v>
      </c>
      <c r="FA25">
        <v>0</v>
      </c>
      <c r="FB25">
        <v>0</v>
      </c>
      <c r="FC25">
        <v>0</v>
      </c>
      <c r="FD25">
        <v>0</v>
      </c>
      <c r="FE25">
        <v>1</v>
      </c>
      <c r="FF25">
        <v>0</v>
      </c>
      <c r="FG25">
        <v>1</v>
      </c>
      <c r="FH25">
        <v>0</v>
      </c>
      <c r="FI25">
        <v>0</v>
      </c>
      <c r="FJ25">
        <v>0</v>
      </c>
      <c r="FK25">
        <v>0</v>
      </c>
      <c r="FL25">
        <v>1</v>
      </c>
      <c r="FM25">
        <v>0</v>
      </c>
      <c r="FN25">
        <v>0</v>
      </c>
      <c r="FO25">
        <v>0</v>
      </c>
      <c r="FP25">
        <v>0</v>
      </c>
      <c r="FQ25">
        <v>0</v>
      </c>
      <c r="FR25">
        <v>1</v>
      </c>
      <c r="FS25">
        <v>0</v>
      </c>
      <c r="FT25">
        <v>0</v>
      </c>
      <c r="FU25">
        <v>0</v>
      </c>
      <c r="FV25">
        <v>0</v>
      </c>
      <c r="FW25">
        <v>0</v>
      </c>
      <c r="FX25">
        <v>0</v>
      </c>
      <c r="FY25">
        <v>1</v>
      </c>
      <c r="FZ25">
        <v>0</v>
      </c>
      <c r="GA25">
        <v>0</v>
      </c>
      <c r="GB25">
        <v>0</v>
      </c>
      <c r="GC25">
        <v>0</v>
      </c>
      <c r="GD25">
        <v>1</v>
      </c>
      <c r="GE25">
        <v>0</v>
      </c>
      <c r="GF25">
        <v>0</v>
      </c>
      <c r="GG25">
        <v>0</v>
      </c>
      <c r="GH25">
        <v>1</v>
      </c>
      <c r="GI25">
        <v>0</v>
      </c>
      <c r="GJ25" s="6">
        <f t="shared" si="26"/>
        <v>17</v>
      </c>
      <c r="GK25">
        <v>2</v>
      </c>
      <c r="GL25" s="1">
        <v>45026.530555555553</v>
      </c>
      <c r="GM25">
        <v>0</v>
      </c>
      <c r="GQ25" s="5"/>
      <c r="GV25" s="5"/>
      <c r="HA25" s="5"/>
      <c r="HF25" s="5"/>
      <c r="HI25" s="6"/>
      <c r="HJ25" s="6"/>
      <c r="HK25" s="6"/>
      <c r="HL25">
        <v>2</v>
      </c>
      <c r="HM25" s="1">
        <v>45026.53125</v>
      </c>
      <c r="HN25">
        <v>8</v>
      </c>
      <c r="HO25">
        <v>13</v>
      </c>
      <c r="HP25">
        <v>12</v>
      </c>
      <c r="HQ25">
        <v>2</v>
      </c>
      <c r="HR25" s="1">
        <v>45035.760416666664</v>
      </c>
      <c r="HS25">
        <v>0</v>
      </c>
      <c r="HT25">
        <v>0</v>
      </c>
      <c r="HU25">
        <v>0</v>
      </c>
      <c r="HV25">
        <v>0</v>
      </c>
      <c r="HW25">
        <v>2</v>
      </c>
      <c r="HX25">
        <v>0</v>
      </c>
      <c r="HY25">
        <v>0</v>
      </c>
      <c r="HZ25">
        <v>0</v>
      </c>
      <c r="IA25">
        <v>0</v>
      </c>
      <c r="IB25">
        <v>0</v>
      </c>
      <c r="IC25">
        <v>0</v>
      </c>
      <c r="ID25">
        <v>0</v>
      </c>
      <c r="IE25">
        <v>0</v>
      </c>
      <c r="IF25">
        <v>0</v>
      </c>
      <c r="IG25">
        <v>0</v>
      </c>
      <c r="IH25">
        <v>0</v>
      </c>
      <c r="II25">
        <v>0</v>
      </c>
      <c r="IJ25">
        <v>1</v>
      </c>
      <c r="IK25">
        <v>0</v>
      </c>
      <c r="IL25">
        <v>0</v>
      </c>
      <c r="IM25">
        <v>0</v>
      </c>
      <c r="IN25" s="6">
        <f t="shared" si="31"/>
        <v>3</v>
      </c>
      <c r="IO25">
        <v>2</v>
      </c>
      <c r="IP25" s="1">
        <v>45035.761111111111</v>
      </c>
      <c r="IQ25">
        <v>0</v>
      </c>
      <c r="IR25">
        <v>0</v>
      </c>
      <c r="IS25">
        <v>0</v>
      </c>
      <c r="IT25">
        <v>0</v>
      </c>
      <c r="IU25">
        <v>0</v>
      </c>
      <c r="IV25">
        <v>0</v>
      </c>
      <c r="IW25">
        <v>0</v>
      </c>
      <c r="IX25">
        <v>0</v>
      </c>
      <c r="IY25">
        <v>0</v>
      </c>
      <c r="IZ25">
        <v>0</v>
      </c>
      <c r="JA25">
        <v>0</v>
      </c>
      <c r="JB25">
        <v>0</v>
      </c>
      <c r="JC25">
        <v>0</v>
      </c>
      <c r="JD25">
        <v>0</v>
      </c>
      <c r="JE25">
        <v>0</v>
      </c>
      <c r="JF25">
        <v>0</v>
      </c>
      <c r="JG25">
        <v>0</v>
      </c>
      <c r="JH25">
        <v>0</v>
      </c>
      <c r="JI25">
        <v>0</v>
      </c>
      <c r="JJ25">
        <v>1</v>
      </c>
      <c r="JT25" s="6">
        <f t="shared" si="32"/>
        <v>0</v>
      </c>
      <c r="JU25" s="6"/>
      <c r="JV25" s="6"/>
      <c r="JW25" s="6"/>
      <c r="JX25">
        <v>2</v>
      </c>
      <c r="JY25" s="1">
        <v>45035.761111111111</v>
      </c>
      <c r="JZ25">
        <v>0</v>
      </c>
      <c r="KA25">
        <v>0</v>
      </c>
      <c r="KB25">
        <v>0</v>
      </c>
      <c r="KC25" s="6">
        <f t="shared" si="35"/>
        <v>0</v>
      </c>
      <c r="KD25">
        <v>2</v>
      </c>
      <c r="KE25" s="1">
        <v>45035.761111111111</v>
      </c>
      <c r="KF25" s="6">
        <v>39.1</v>
      </c>
      <c r="KG25" s="6">
        <v>2.8</v>
      </c>
      <c r="KP25">
        <v>1</v>
      </c>
      <c r="SX25">
        <v>2</v>
      </c>
      <c r="UD25">
        <v>2</v>
      </c>
      <c r="WX25" s="6">
        <v>1</v>
      </c>
      <c r="YX25">
        <v>1</v>
      </c>
      <c r="YY25" s="6">
        <v>39.1</v>
      </c>
      <c r="YZ25" s="6">
        <v>2.8</v>
      </c>
      <c r="ZB25">
        <v>2</v>
      </c>
      <c r="ZC25" s="1">
        <v>45098.661111111112</v>
      </c>
      <c r="ZD25">
        <v>4</v>
      </c>
      <c r="ZE25">
        <v>1</v>
      </c>
      <c r="ZF25">
        <v>4</v>
      </c>
      <c r="ZG25">
        <v>1</v>
      </c>
      <c r="ZH25">
        <v>3</v>
      </c>
      <c r="ZI25">
        <v>2</v>
      </c>
      <c r="ZJ25">
        <v>1</v>
      </c>
      <c r="ZK25">
        <v>1</v>
      </c>
      <c r="ZL25">
        <v>4</v>
      </c>
      <c r="ZM25">
        <v>4</v>
      </c>
      <c r="ZN25">
        <v>1</v>
      </c>
      <c r="ZO25">
        <v>4</v>
      </c>
      <c r="ZP25">
        <v>1</v>
      </c>
      <c r="ZQ25">
        <v>4</v>
      </c>
      <c r="ZR25">
        <v>2</v>
      </c>
      <c r="ZS25">
        <v>3</v>
      </c>
      <c r="ZT25">
        <v>3</v>
      </c>
      <c r="ZU25">
        <v>1</v>
      </c>
      <c r="ZV25">
        <v>3</v>
      </c>
      <c r="ZW25">
        <v>1</v>
      </c>
      <c r="ZX25" s="6">
        <f t="shared" si="36"/>
        <v>36</v>
      </c>
      <c r="ZY25" s="6">
        <f t="shared" si="37"/>
        <v>12</v>
      </c>
      <c r="ZZ25">
        <v>2</v>
      </c>
      <c r="AAA25" s="1">
        <v>45035.763194444444</v>
      </c>
      <c r="AAB25">
        <v>0</v>
      </c>
      <c r="AAC25">
        <v>0</v>
      </c>
      <c r="AAD25">
        <v>1</v>
      </c>
      <c r="AAE25">
        <v>0</v>
      </c>
      <c r="AAF25">
        <v>0</v>
      </c>
      <c r="AAG25">
        <v>1</v>
      </c>
      <c r="AAH25">
        <v>1</v>
      </c>
      <c r="AAI25">
        <v>0</v>
      </c>
      <c r="AAJ25">
        <v>0</v>
      </c>
      <c r="AAK25">
        <v>0</v>
      </c>
      <c r="AAL25">
        <v>0</v>
      </c>
      <c r="AAM25">
        <v>0</v>
      </c>
      <c r="AAN25">
        <v>0</v>
      </c>
      <c r="AAO25">
        <v>0</v>
      </c>
      <c r="AAP25">
        <v>1</v>
      </c>
      <c r="AAQ25">
        <v>0</v>
      </c>
      <c r="AAR25">
        <v>0</v>
      </c>
      <c r="AAS25">
        <v>0</v>
      </c>
      <c r="AAT25" s="6">
        <f t="shared" si="38"/>
        <v>1</v>
      </c>
      <c r="AAU25" s="6">
        <f t="shared" si="39"/>
        <v>0</v>
      </c>
      <c r="AAV25" s="6">
        <f t="shared" si="40"/>
        <v>3</v>
      </c>
      <c r="AAW25" s="6">
        <f t="shared" si="41"/>
        <v>4</v>
      </c>
      <c r="AAX25">
        <v>2</v>
      </c>
      <c r="AAY25" s="1">
        <v>45035.763194444444</v>
      </c>
      <c r="AAZ25">
        <v>0</v>
      </c>
      <c r="ABO25" s="6"/>
      <c r="ABP25" s="6"/>
      <c r="ABQ25">
        <v>2</v>
      </c>
      <c r="ABS25">
        <v>0</v>
      </c>
      <c r="ABT25">
        <v>0</v>
      </c>
      <c r="ABU25">
        <v>0</v>
      </c>
      <c r="ABV25">
        <v>3</v>
      </c>
      <c r="ABW25">
        <v>0</v>
      </c>
      <c r="ABX25">
        <v>0</v>
      </c>
      <c r="ABY25">
        <v>0</v>
      </c>
      <c r="ABZ25">
        <v>2</v>
      </c>
      <c r="ACA25">
        <v>0</v>
      </c>
      <c r="ACB25">
        <v>2</v>
      </c>
      <c r="ACC25">
        <v>0</v>
      </c>
      <c r="ACD25">
        <v>0</v>
      </c>
      <c r="ACE25">
        <v>0</v>
      </c>
      <c r="ACF25">
        <v>0</v>
      </c>
      <c r="ACG25">
        <v>0</v>
      </c>
      <c r="ACH25">
        <v>0</v>
      </c>
      <c r="ACI25">
        <v>0</v>
      </c>
      <c r="ACJ25">
        <v>0</v>
      </c>
      <c r="ACK25">
        <v>0</v>
      </c>
      <c r="ACL25">
        <v>0</v>
      </c>
      <c r="ACM25">
        <v>0</v>
      </c>
      <c r="ACN25">
        <v>0</v>
      </c>
      <c r="ACO25">
        <v>0</v>
      </c>
      <c r="ACP25">
        <v>0</v>
      </c>
      <c r="ACQ25">
        <v>0</v>
      </c>
      <c r="ACR25">
        <v>0</v>
      </c>
      <c r="ACS25">
        <v>2</v>
      </c>
      <c r="ACT25">
        <v>0</v>
      </c>
      <c r="ACU25">
        <v>0</v>
      </c>
      <c r="ACV25">
        <v>1</v>
      </c>
      <c r="ACW25" s="6">
        <f t="shared" si="44"/>
        <v>0</v>
      </c>
      <c r="ACX25" s="6">
        <f t="shared" si="45"/>
        <v>0</v>
      </c>
      <c r="ACY25" s="6">
        <f t="shared" si="46"/>
        <v>0</v>
      </c>
      <c r="ACZ25" s="6">
        <f t="shared" si="47"/>
        <v>0</v>
      </c>
      <c r="ADA25" s="6">
        <f t="shared" si="48"/>
        <v>0</v>
      </c>
      <c r="ADB25" s="6">
        <f t="shared" si="49"/>
        <v>10</v>
      </c>
      <c r="ADC25" s="6">
        <f t="shared" si="50"/>
        <v>-10</v>
      </c>
      <c r="ADD25">
        <v>2</v>
      </c>
      <c r="ADE25" s="1">
        <v>45035.76458333333</v>
      </c>
      <c r="ADF25" s="5">
        <v>4</v>
      </c>
      <c r="ADG25">
        <f t="shared" si="51"/>
        <v>1</v>
      </c>
      <c r="ADH25" s="5">
        <v>4</v>
      </c>
      <c r="ADI25">
        <f t="shared" si="52"/>
        <v>1</v>
      </c>
      <c r="ADJ25">
        <v>1</v>
      </c>
      <c r="ADK25">
        <v>1</v>
      </c>
      <c r="ADL25" s="5">
        <v>4</v>
      </c>
      <c r="ADM25">
        <f t="shared" si="3"/>
        <v>1</v>
      </c>
      <c r="ADN25">
        <v>1</v>
      </c>
      <c r="ADO25">
        <v>1</v>
      </c>
      <c r="ADP25" s="5">
        <v>4</v>
      </c>
      <c r="ADQ25">
        <f t="shared" si="4"/>
        <v>1</v>
      </c>
      <c r="ADR25">
        <v>1</v>
      </c>
      <c r="ADS25" s="5">
        <v>4</v>
      </c>
      <c r="ADT25">
        <f t="shared" si="5"/>
        <v>1</v>
      </c>
      <c r="ADU25" s="5">
        <v>4</v>
      </c>
      <c r="ADV25">
        <f t="shared" ref="ADV25" si="98">INDEX($AD$48:$AE$51, MATCH(ADU25, $AD$48:$AD$51, 0), 2)</f>
        <v>1</v>
      </c>
      <c r="ADW25">
        <v>1</v>
      </c>
      <c r="ADX25">
        <v>1</v>
      </c>
      <c r="ADY25">
        <v>1</v>
      </c>
      <c r="ADZ25" s="5">
        <v>4</v>
      </c>
      <c r="AEA25">
        <f t="shared" si="6"/>
        <v>1</v>
      </c>
      <c r="AEB25" s="5">
        <v>4</v>
      </c>
      <c r="AEC25">
        <f t="shared" ref="AEC25" si="99">INDEX($AD$48:$AE$51, MATCH(AEB25, $AD$48:$AD$51, 0), 2)</f>
        <v>1</v>
      </c>
      <c r="AED25">
        <v>1</v>
      </c>
      <c r="AEE25">
        <v>1</v>
      </c>
      <c r="AEF25" s="5">
        <v>4</v>
      </c>
      <c r="AEG25">
        <f t="shared" si="7"/>
        <v>1</v>
      </c>
      <c r="AEH25" s="5">
        <v>4</v>
      </c>
      <c r="AEI25">
        <f t="shared" si="8"/>
        <v>1</v>
      </c>
      <c r="AEJ25" s="6">
        <f t="shared" si="55"/>
        <v>21</v>
      </c>
      <c r="AEK25">
        <v>2</v>
      </c>
      <c r="AEL25" s="1">
        <v>45035.76458333333</v>
      </c>
      <c r="AEM25">
        <v>0</v>
      </c>
      <c r="AER25">
        <v>0</v>
      </c>
      <c r="AES25">
        <v>0</v>
      </c>
      <c r="AET25">
        <v>0</v>
      </c>
      <c r="AEU25">
        <v>0</v>
      </c>
      <c r="AEV25">
        <v>0</v>
      </c>
      <c r="AEX25">
        <v>2</v>
      </c>
    </row>
    <row r="26" spans="1:830">
      <c r="A26">
        <v>189</v>
      </c>
      <c r="B26" t="s">
        <v>1200</v>
      </c>
      <c r="C26">
        <v>2</v>
      </c>
      <c r="D26">
        <v>2</v>
      </c>
      <c r="E26">
        <v>19</v>
      </c>
      <c r="F26">
        <v>65</v>
      </c>
      <c r="G26">
        <v>145</v>
      </c>
      <c r="H26">
        <v>0</v>
      </c>
      <c r="I26">
        <v>2</v>
      </c>
      <c r="K26" t="s">
        <v>424</v>
      </c>
      <c r="L26">
        <v>2</v>
      </c>
      <c r="M26" s="1">
        <v>45041.675694444442</v>
      </c>
      <c r="N26">
        <v>4</v>
      </c>
      <c r="O26">
        <v>0</v>
      </c>
      <c r="Q26">
        <v>0</v>
      </c>
      <c r="R26">
        <v>0</v>
      </c>
      <c r="S26">
        <v>0</v>
      </c>
      <c r="T26">
        <v>1</v>
      </c>
      <c r="U26">
        <v>0</v>
      </c>
      <c r="V26">
        <v>0</v>
      </c>
      <c r="W26">
        <v>0</v>
      </c>
      <c r="X26">
        <v>0</v>
      </c>
      <c r="Y26">
        <v>0</v>
      </c>
      <c r="Z26">
        <v>0</v>
      </c>
      <c r="AA26">
        <v>0</v>
      </c>
      <c r="AB26">
        <v>1</v>
      </c>
      <c r="AC26">
        <v>2</v>
      </c>
      <c r="AD26" s="1">
        <v>45041.677777777775</v>
      </c>
      <c r="AE26" s="5">
        <v>3</v>
      </c>
      <c r="AF26">
        <f t="shared" si="9"/>
        <v>2</v>
      </c>
      <c r="AG26">
        <v>2</v>
      </c>
      <c r="AH26" s="5">
        <v>3</v>
      </c>
      <c r="AI26">
        <f t="shared" si="10"/>
        <v>2</v>
      </c>
      <c r="AJ26">
        <v>2</v>
      </c>
      <c r="AK26">
        <v>2</v>
      </c>
      <c r="AL26" s="5">
        <v>1</v>
      </c>
      <c r="AM26">
        <f t="shared" si="11"/>
        <v>4</v>
      </c>
      <c r="AN26" s="5">
        <v>4</v>
      </c>
      <c r="AO26">
        <f t="shared" si="12"/>
        <v>1</v>
      </c>
      <c r="AP26">
        <v>2</v>
      </c>
      <c r="AQ26">
        <v>2</v>
      </c>
      <c r="AR26" s="5">
        <v>3</v>
      </c>
      <c r="AS26">
        <f t="shared" si="13"/>
        <v>2</v>
      </c>
      <c r="AT26">
        <v>1</v>
      </c>
      <c r="AU26">
        <v>3</v>
      </c>
      <c r="AV26" s="5">
        <v>2</v>
      </c>
      <c r="AW26">
        <f t="shared" si="14"/>
        <v>3</v>
      </c>
      <c r="AX26" s="5">
        <v>3</v>
      </c>
      <c r="AY26">
        <f t="shared" si="15"/>
        <v>2</v>
      </c>
      <c r="AZ26">
        <v>2</v>
      </c>
      <c r="BA26" s="5">
        <v>2</v>
      </c>
      <c r="BB26">
        <f t="shared" si="16"/>
        <v>3</v>
      </c>
      <c r="BC26">
        <v>2</v>
      </c>
      <c r="BD26">
        <v>3</v>
      </c>
      <c r="BE26" s="5">
        <v>2</v>
      </c>
      <c r="BF26">
        <f t="shared" si="17"/>
        <v>3</v>
      </c>
      <c r="BG26">
        <v>2</v>
      </c>
      <c r="BH26" s="6">
        <f t="shared" si="18"/>
        <v>45</v>
      </c>
      <c r="BI26">
        <v>2</v>
      </c>
      <c r="BJ26" s="1">
        <v>45041.677777777775</v>
      </c>
      <c r="BK26" t="s">
        <v>208</v>
      </c>
      <c r="BL26">
        <v>2</v>
      </c>
      <c r="BM26">
        <v>1</v>
      </c>
      <c r="BQ26" s="2">
        <v>45041</v>
      </c>
      <c r="BU26">
        <v>28</v>
      </c>
      <c r="BV26" t="s">
        <v>275</v>
      </c>
      <c r="BW26">
        <v>1</v>
      </c>
      <c r="BX26">
        <v>2</v>
      </c>
      <c r="BY26" s="1">
        <v>45041.679861111108</v>
      </c>
      <c r="BZ26">
        <v>3</v>
      </c>
      <c r="CA26">
        <v>1</v>
      </c>
      <c r="CB26">
        <v>3</v>
      </c>
      <c r="CC26">
        <v>4</v>
      </c>
      <c r="CD26">
        <v>4</v>
      </c>
      <c r="CE26">
        <v>3</v>
      </c>
      <c r="CF26">
        <v>4</v>
      </c>
      <c r="CG26">
        <v>4</v>
      </c>
      <c r="CH26">
        <v>3</v>
      </c>
      <c r="CI26">
        <v>4</v>
      </c>
      <c r="CJ26">
        <v>2</v>
      </c>
      <c r="CK26">
        <v>3</v>
      </c>
      <c r="CL26" s="5">
        <v>2</v>
      </c>
      <c r="CM26">
        <f t="shared" si="19"/>
        <v>3</v>
      </c>
      <c r="CN26">
        <v>2</v>
      </c>
      <c r="CO26">
        <v>3</v>
      </c>
      <c r="CP26">
        <v>3</v>
      </c>
      <c r="CQ26">
        <v>2</v>
      </c>
      <c r="CR26" s="5">
        <v>3</v>
      </c>
      <c r="CS26">
        <f t="shared" si="20"/>
        <v>2</v>
      </c>
      <c r="CT26">
        <v>3</v>
      </c>
      <c r="CU26">
        <v>3</v>
      </c>
      <c r="CV26" s="6">
        <f t="shared" si="21"/>
        <v>10</v>
      </c>
      <c r="CW26" s="6">
        <f t="shared" si="22"/>
        <v>12</v>
      </c>
      <c r="CX26" s="6">
        <f t="shared" si="23"/>
        <v>16</v>
      </c>
      <c r="CY26" s="6">
        <f t="shared" si="24"/>
        <v>38</v>
      </c>
      <c r="CZ26" s="6">
        <f t="shared" si="25"/>
        <v>21</v>
      </c>
      <c r="DA26">
        <v>2</v>
      </c>
      <c r="DB26" s="1">
        <v>45041.683333333334</v>
      </c>
      <c r="DC26">
        <v>0</v>
      </c>
      <c r="DD26">
        <v>0</v>
      </c>
      <c r="DE26">
        <v>1</v>
      </c>
      <c r="DF26">
        <v>0</v>
      </c>
      <c r="DG26">
        <v>0</v>
      </c>
      <c r="DH26">
        <v>0</v>
      </c>
      <c r="DI26">
        <v>0</v>
      </c>
      <c r="DJ26">
        <v>1</v>
      </c>
      <c r="DK26">
        <v>0</v>
      </c>
      <c r="DL26">
        <v>0</v>
      </c>
      <c r="DM26">
        <v>1</v>
      </c>
      <c r="DN26">
        <v>0</v>
      </c>
      <c r="DO26">
        <v>0</v>
      </c>
      <c r="DP26">
        <v>0</v>
      </c>
      <c r="DQ26">
        <v>0</v>
      </c>
      <c r="DR26">
        <v>0</v>
      </c>
      <c r="DS26">
        <v>0</v>
      </c>
      <c r="DT26">
        <v>1</v>
      </c>
      <c r="DU26">
        <v>0</v>
      </c>
      <c r="DV26">
        <v>0</v>
      </c>
      <c r="DW26">
        <v>0</v>
      </c>
      <c r="DX26">
        <v>0</v>
      </c>
      <c r="DY26">
        <v>1</v>
      </c>
      <c r="DZ26">
        <v>0</v>
      </c>
      <c r="EA26">
        <v>0</v>
      </c>
      <c r="EB26">
        <v>0</v>
      </c>
      <c r="EC26">
        <v>1</v>
      </c>
      <c r="ED26">
        <v>0</v>
      </c>
      <c r="EE26">
        <v>0</v>
      </c>
      <c r="EF26">
        <v>0</v>
      </c>
      <c r="EG26">
        <v>0</v>
      </c>
      <c r="EH26">
        <v>0</v>
      </c>
      <c r="EI26">
        <v>1</v>
      </c>
      <c r="EJ26">
        <v>0</v>
      </c>
      <c r="EK26">
        <v>0</v>
      </c>
      <c r="EL26">
        <v>1</v>
      </c>
      <c r="EM26">
        <v>0</v>
      </c>
      <c r="EN26">
        <v>0</v>
      </c>
      <c r="EO26">
        <v>0</v>
      </c>
      <c r="EP26">
        <v>0</v>
      </c>
      <c r="EQ26">
        <v>1</v>
      </c>
      <c r="ER26">
        <v>0</v>
      </c>
      <c r="ES26">
        <v>0</v>
      </c>
      <c r="ET26">
        <v>0</v>
      </c>
      <c r="EU26">
        <v>0</v>
      </c>
      <c r="EV26">
        <v>0</v>
      </c>
      <c r="EW26">
        <v>0</v>
      </c>
      <c r="EX26">
        <v>1</v>
      </c>
      <c r="EY26">
        <v>0</v>
      </c>
      <c r="EZ26">
        <v>0</v>
      </c>
      <c r="FA26">
        <v>0</v>
      </c>
      <c r="FB26">
        <v>0</v>
      </c>
      <c r="FC26">
        <v>1</v>
      </c>
      <c r="FD26">
        <v>0</v>
      </c>
      <c r="FE26">
        <v>0</v>
      </c>
      <c r="FF26">
        <v>0</v>
      </c>
      <c r="FG26">
        <v>0</v>
      </c>
      <c r="FH26">
        <v>1</v>
      </c>
      <c r="FI26">
        <v>0</v>
      </c>
      <c r="FJ26">
        <v>0</v>
      </c>
      <c r="FK26">
        <v>0</v>
      </c>
      <c r="FL26">
        <v>0</v>
      </c>
      <c r="FM26">
        <v>1</v>
      </c>
      <c r="FN26">
        <v>0</v>
      </c>
      <c r="FO26">
        <v>0</v>
      </c>
      <c r="FP26">
        <v>0</v>
      </c>
      <c r="FQ26">
        <v>0</v>
      </c>
      <c r="FR26">
        <v>1</v>
      </c>
      <c r="FS26">
        <v>0</v>
      </c>
      <c r="FT26">
        <v>0</v>
      </c>
      <c r="FU26">
        <v>0</v>
      </c>
      <c r="FV26">
        <v>0</v>
      </c>
      <c r="FW26">
        <v>1</v>
      </c>
      <c r="FX26">
        <v>0</v>
      </c>
      <c r="FY26">
        <v>0</v>
      </c>
      <c r="FZ26">
        <v>0</v>
      </c>
      <c r="GA26">
        <v>0</v>
      </c>
      <c r="GB26">
        <v>0</v>
      </c>
      <c r="GC26">
        <v>0</v>
      </c>
      <c r="GD26">
        <v>1</v>
      </c>
      <c r="GE26">
        <v>1</v>
      </c>
      <c r="GF26">
        <v>0</v>
      </c>
      <c r="GG26">
        <v>0</v>
      </c>
      <c r="GH26">
        <v>0</v>
      </c>
      <c r="GI26">
        <v>0</v>
      </c>
      <c r="GJ26" s="6">
        <f t="shared" si="26"/>
        <v>17</v>
      </c>
      <c r="GK26">
        <v>2</v>
      </c>
      <c r="GL26" s="1">
        <v>45041.685416666667</v>
      </c>
      <c r="GM26">
        <v>1</v>
      </c>
      <c r="GN26">
        <v>3</v>
      </c>
      <c r="GO26">
        <v>2</v>
      </c>
      <c r="GP26">
        <v>2</v>
      </c>
      <c r="GQ26" s="5">
        <v>2</v>
      </c>
      <c r="GR26">
        <f t="shared" ref="GR26" si="100">INDEX($AD$48:$AE$51, MATCH(GQ26, $AD$48:$AD$51, 0), 2)</f>
        <v>3</v>
      </c>
      <c r="GS26">
        <v>2</v>
      </c>
      <c r="GT26">
        <v>3</v>
      </c>
      <c r="GU26">
        <v>1</v>
      </c>
      <c r="GV26" s="5">
        <v>3</v>
      </c>
      <c r="GW26">
        <f t="shared" ref="GW26" si="101">INDEX($AD$48:$AE$51, MATCH(GV26, $AD$48:$AD$51, 0), 2)</f>
        <v>2</v>
      </c>
      <c r="GX26">
        <v>3</v>
      </c>
      <c r="GY26">
        <v>3</v>
      </c>
      <c r="GZ26">
        <v>2</v>
      </c>
      <c r="HA26" s="5">
        <v>3</v>
      </c>
      <c r="HB26">
        <f t="shared" ref="HB26" si="102">INDEX($AD$48:$AE$51, MATCH(HA26, $AD$48:$AD$51, 0), 2)</f>
        <v>2</v>
      </c>
      <c r="HC26">
        <v>2</v>
      </c>
      <c r="HD26">
        <v>2</v>
      </c>
      <c r="HE26">
        <v>2</v>
      </c>
      <c r="HF26" s="5">
        <v>3</v>
      </c>
      <c r="HG26">
        <f t="shared" ref="HG26" si="103">INDEX($AD$48:$AE$51, MATCH(HF26, $AD$48:$AD$51, 0), 2)</f>
        <v>2</v>
      </c>
      <c r="HH26">
        <v>2</v>
      </c>
      <c r="HI26" s="6">
        <f t="shared" ref="HI26" si="104">SUM(GN26,GO26,GU26,GX26,GY26,GZ26,HB26)</f>
        <v>16</v>
      </c>
      <c r="HJ26" s="6">
        <f t="shared" ref="HJ26" si="105">SUM(GP26,GR26,GS26,GT26,GW26)</f>
        <v>12</v>
      </c>
      <c r="HK26" s="6">
        <f t="shared" ref="HK26" si="106">SUM(GN26:GP26,GR26:GU26,GW26:GZ26,HB26:HE26,HG26:HH26)</f>
        <v>38</v>
      </c>
      <c r="HL26">
        <v>2</v>
      </c>
      <c r="HM26" s="1">
        <v>45041.686111111114</v>
      </c>
      <c r="HN26">
        <v>10</v>
      </c>
      <c r="HO26">
        <v>4</v>
      </c>
      <c r="HP26">
        <v>1</v>
      </c>
      <c r="HQ26">
        <v>2</v>
      </c>
      <c r="HR26" s="1">
        <v>45043.730555555558</v>
      </c>
      <c r="HS26">
        <v>0</v>
      </c>
      <c r="HT26">
        <v>1</v>
      </c>
      <c r="HU26">
        <v>1</v>
      </c>
      <c r="HV26">
        <v>1</v>
      </c>
      <c r="HW26">
        <v>2</v>
      </c>
      <c r="HX26">
        <v>1</v>
      </c>
      <c r="HY26">
        <v>1</v>
      </c>
      <c r="HZ26">
        <v>2</v>
      </c>
      <c r="IA26">
        <v>0</v>
      </c>
      <c r="IB26">
        <v>1</v>
      </c>
      <c r="IC26">
        <v>1</v>
      </c>
      <c r="ID26">
        <v>1</v>
      </c>
      <c r="IE26">
        <v>2</v>
      </c>
      <c r="IF26">
        <v>1</v>
      </c>
      <c r="IG26">
        <v>1</v>
      </c>
      <c r="IH26">
        <v>2</v>
      </c>
      <c r="II26">
        <v>1</v>
      </c>
      <c r="IJ26">
        <v>0</v>
      </c>
      <c r="IK26">
        <v>1</v>
      </c>
      <c r="IL26">
        <v>1</v>
      </c>
      <c r="IM26">
        <v>0</v>
      </c>
      <c r="IN26" s="6">
        <f t="shared" si="31"/>
        <v>21</v>
      </c>
      <c r="IO26">
        <v>2</v>
      </c>
      <c r="IP26" s="1">
        <v>45043.731944444444</v>
      </c>
      <c r="IQ26">
        <v>0</v>
      </c>
      <c r="IR26">
        <v>0</v>
      </c>
      <c r="IS26">
        <v>0</v>
      </c>
      <c r="IT26">
        <v>0</v>
      </c>
      <c r="IU26">
        <v>0</v>
      </c>
      <c r="IV26">
        <v>0</v>
      </c>
      <c r="IW26">
        <v>0</v>
      </c>
      <c r="IX26">
        <v>0</v>
      </c>
      <c r="IY26">
        <v>0</v>
      </c>
      <c r="IZ26">
        <v>0</v>
      </c>
      <c r="JA26">
        <v>1</v>
      </c>
      <c r="JB26">
        <v>0</v>
      </c>
      <c r="JC26">
        <v>0</v>
      </c>
      <c r="JD26">
        <v>0</v>
      </c>
      <c r="JE26">
        <v>0</v>
      </c>
      <c r="JF26">
        <v>0</v>
      </c>
      <c r="JG26">
        <v>0</v>
      </c>
      <c r="JH26">
        <v>0</v>
      </c>
      <c r="JI26">
        <v>0</v>
      </c>
      <c r="JJ26">
        <v>0</v>
      </c>
      <c r="JK26">
        <v>0.5</v>
      </c>
      <c r="JL26">
        <v>0</v>
      </c>
      <c r="JM26">
        <v>1</v>
      </c>
      <c r="JN26">
        <v>1</v>
      </c>
      <c r="JO26">
        <v>0</v>
      </c>
      <c r="JP26">
        <v>0</v>
      </c>
      <c r="JQ26">
        <v>0</v>
      </c>
      <c r="JR26" t="s">
        <v>425</v>
      </c>
      <c r="JS26" t="s">
        <v>210</v>
      </c>
      <c r="JT26" s="6">
        <f t="shared" si="32"/>
        <v>1</v>
      </c>
      <c r="JU26" s="6">
        <v>0.5</v>
      </c>
      <c r="JV26" s="6">
        <f t="shared" ref="JV26" si="107">SUM(JL26:JN26)</f>
        <v>2</v>
      </c>
      <c r="JW26" s="6">
        <f t="shared" ref="JW26" si="108">SUM(JO26:JQ26)</f>
        <v>0</v>
      </c>
      <c r="JX26">
        <v>2</v>
      </c>
      <c r="JY26" s="1">
        <v>45043.731944444444</v>
      </c>
      <c r="JZ26">
        <v>0</v>
      </c>
      <c r="KA26">
        <v>0</v>
      </c>
      <c r="KB26">
        <v>3</v>
      </c>
      <c r="KC26" s="6">
        <f t="shared" si="35"/>
        <v>3</v>
      </c>
      <c r="KD26">
        <v>2</v>
      </c>
      <c r="KE26" s="1">
        <v>45043.732638888891</v>
      </c>
      <c r="KF26" s="6">
        <v>60.9</v>
      </c>
      <c r="KG26" s="6">
        <v>2.2000000000000002</v>
      </c>
      <c r="KP26">
        <v>4</v>
      </c>
      <c r="UH26">
        <v>3</v>
      </c>
      <c r="UX26">
        <v>4</v>
      </c>
      <c r="XN26" s="6">
        <v>3</v>
      </c>
      <c r="YX26">
        <v>3</v>
      </c>
      <c r="YY26" s="6">
        <v>60.9</v>
      </c>
      <c r="YZ26" s="6">
        <v>2.2000000000000002</v>
      </c>
      <c r="ZB26">
        <v>2</v>
      </c>
      <c r="ZC26" s="1">
        <v>45099.661111111112</v>
      </c>
      <c r="ZD26">
        <v>3</v>
      </c>
      <c r="ZE26">
        <v>3</v>
      </c>
      <c r="ZF26">
        <v>4</v>
      </c>
      <c r="ZG26">
        <v>3</v>
      </c>
      <c r="ZH26">
        <v>3</v>
      </c>
      <c r="ZI26">
        <v>3</v>
      </c>
      <c r="ZJ26">
        <v>2</v>
      </c>
      <c r="ZK26">
        <v>3</v>
      </c>
      <c r="ZL26">
        <v>3</v>
      </c>
      <c r="ZM26">
        <v>2</v>
      </c>
      <c r="ZN26">
        <v>4</v>
      </c>
      <c r="ZO26">
        <v>4</v>
      </c>
      <c r="ZP26">
        <v>4</v>
      </c>
      <c r="ZQ26">
        <v>3</v>
      </c>
      <c r="ZR26">
        <v>3</v>
      </c>
      <c r="ZS26">
        <v>3</v>
      </c>
      <c r="ZT26">
        <v>2</v>
      </c>
      <c r="ZU26">
        <v>3</v>
      </c>
      <c r="ZV26">
        <v>3</v>
      </c>
      <c r="ZW26">
        <v>3</v>
      </c>
      <c r="ZX26" s="6">
        <f t="shared" si="36"/>
        <v>30</v>
      </c>
      <c r="ZY26" s="6">
        <f t="shared" si="37"/>
        <v>31</v>
      </c>
      <c r="ZZ26">
        <v>2</v>
      </c>
      <c r="AAA26" s="1">
        <v>45043.734027777777</v>
      </c>
      <c r="AAB26">
        <v>0</v>
      </c>
      <c r="AAC26">
        <v>1</v>
      </c>
      <c r="AAD26">
        <v>2</v>
      </c>
      <c r="AAE26">
        <v>0</v>
      </c>
      <c r="AAF26">
        <v>0</v>
      </c>
      <c r="AAG26">
        <v>3</v>
      </c>
      <c r="AAH26">
        <v>0</v>
      </c>
      <c r="AAI26">
        <v>1</v>
      </c>
      <c r="AAJ26">
        <v>1</v>
      </c>
      <c r="AAK26">
        <v>1</v>
      </c>
      <c r="AAL26">
        <v>1</v>
      </c>
      <c r="AAM26">
        <v>1</v>
      </c>
      <c r="AAN26">
        <v>0</v>
      </c>
      <c r="AAO26">
        <v>2</v>
      </c>
      <c r="AAP26">
        <v>1</v>
      </c>
      <c r="AAQ26">
        <v>1</v>
      </c>
      <c r="AAR26">
        <v>0</v>
      </c>
      <c r="AAS26">
        <v>1</v>
      </c>
      <c r="AAT26" s="6">
        <f t="shared" si="38"/>
        <v>2</v>
      </c>
      <c r="AAU26" s="6">
        <f t="shared" si="39"/>
        <v>5</v>
      </c>
      <c r="AAV26" s="6">
        <f t="shared" si="40"/>
        <v>9</v>
      </c>
      <c r="AAW26" s="6">
        <f t="shared" si="41"/>
        <v>16</v>
      </c>
      <c r="AAX26">
        <v>2</v>
      </c>
      <c r="AAY26" s="1">
        <v>45043.734722222223</v>
      </c>
      <c r="AAZ26">
        <v>1</v>
      </c>
      <c r="ABA26">
        <v>8</v>
      </c>
      <c r="ABB26">
        <v>0</v>
      </c>
      <c r="ABC26">
        <v>5</v>
      </c>
      <c r="ABD26">
        <v>3</v>
      </c>
      <c r="ABE26">
        <v>12</v>
      </c>
      <c r="ABF26">
        <v>0</v>
      </c>
      <c r="ABG26">
        <v>3</v>
      </c>
      <c r="ABH26">
        <v>0</v>
      </c>
      <c r="ABI26">
        <v>0</v>
      </c>
      <c r="ABJ26">
        <v>0</v>
      </c>
      <c r="ABK26">
        <v>0</v>
      </c>
      <c r="ABL26">
        <v>1</v>
      </c>
      <c r="ABM26">
        <v>3</v>
      </c>
      <c r="ABN26">
        <v>0</v>
      </c>
      <c r="ABO26" s="6">
        <f>AVERAGE(ABA26:ABD26)</f>
        <v>4</v>
      </c>
      <c r="ABP26" s="6">
        <f t="shared" ref="ABP26" si="109">AVERAGE(ABF26:ABL26)</f>
        <v>0.5714285714285714</v>
      </c>
      <c r="ABQ26">
        <v>2</v>
      </c>
      <c r="ABS26">
        <v>3</v>
      </c>
      <c r="ABT26">
        <v>1</v>
      </c>
      <c r="ABU26">
        <v>2</v>
      </c>
      <c r="ABV26">
        <v>1</v>
      </c>
      <c r="ABW26">
        <v>0</v>
      </c>
      <c r="ABX26">
        <v>1</v>
      </c>
      <c r="ABY26">
        <v>0</v>
      </c>
      <c r="ABZ26">
        <v>1</v>
      </c>
      <c r="ACA26">
        <v>1</v>
      </c>
      <c r="ACB26">
        <v>0</v>
      </c>
      <c r="ACC26">
        <v>0</v>
      </c>
      <c r="ACD26">
        <v>1</v>
      </c>
      <c r="ACE26">
        <v>1</v>
      </c>
      <c r="ACF26">
        <v>2</v>
      </c>
      <c r="ACG26">
        <v>0</v>
      </c>
      <c r="ACH26">
        <v>1</v>
      </c>
      <c r="ACI26">
        <v>0</v>
      </c>
      <c r="ACJ26">
        <v>0</v>
      </c>
      <c r="ACK26">
        <v>2</v>
      </c>
      <c r="ACL26">
        <v>2</v>
      </c>
      <c r="ACM26">
        <v>1</v>
      </c>
      <c r="ACN26">
        <v>1</v>
      </c>
      <c r="ACO26">
        <v>1</v>
      </c>
      <c r="ACP26">
        <v>0</v>
      </c>
      <c r="ACQ26">
        <v>0</v>
      </c>
      <c r="ACR26">
        <v>2</v>
      </c>
      <c r="ACS26">
        <v>0</v>
      </c>
      <c r="ACT26">
        <v>1</v>
      </c>
      <c r="ACU26">
        <v>0</v>
      </c>
      <c r="ACV26">
        <v>0</v>
      </c>
      <c r="ACW26" s="6">
        <f t="shared" si="44"/>
        <v>8</v>
      </c>
      <c r="ACX26" s="6">
        <f t="shared" si="45"/>
        <v>1</v>
      </c>
      <c r="ACY26" s="6">
        <f t="shared" si="46"/>
        <v>5</v>
      </c>
      <c r="ACZ26" s="6">
        <f t="shared" si="47"/>
        <v>7</v>
      </c>
      <c r="ADA26" s="6">
        <f t="shared" si="48"/>
        <v>2</v>
      </c>
      <c r="ADB26" s="6">
        <f t="shared" si="49"/>
        <v>2</v>
      </c>
      <c r="ADC26" s="6">
        <f t="shared" si="50"/>
        <v>21</v>
      </c>
      <c r="ADD26">
        <v>2</v>
      </c>
      <c r="ADE26" s="1">
        <v>45043.736111111109</v>
      </c>
      <c r="ADF26" s="5">
        <v>4</v>
      </c>
      <c r="ADG26">
        <f t="shared" si="51"/>
        <v>1</v>
      </c>
      <c r="ADH26" s="5">
        <v>3</v>
      </c>
      <c r="ADI26">
        <f t="shared" si="52"/>
        <v>2</v>
      </c>
      <c r="ADJ26">
        <v>2</v>
      </c>
      <c r="ADK26">
        <v>2</v>
      </c>
      <c r="ADL26" s="5">
        <v>3</v>
      </c>
      <c r="ADM26">
        <f t="shared" si="3"/>
        <v>2</v>
      </c>
      <c r="ADN26">
        <v>2</v>
      </c>
      <c r="ADO26">
        <v>3</v>
      </c>
      <c r="ADP26" s="5">
        <v>3</v>
      </c>
      <c r="ADQ26">
        <f t="shared" si="4"/>
        <v>2</v>
      </c>
      <c r="ADR26">
        <v>1</v>
      </c>
      <c r="ADS26" s="5">
        <v>2</v>
      </c>
      <c r="ADT26">
        <f t="shared" si="5"/>
        <v>3</v>
      </c>
      <c r="ADU26" s="5">
        <v>3</v>
      </c>
      <c r="ADV26">
        <f t="shared" ref="ADV26" si="110">INDEX($AD$48:$AE$51, MATCH(ADU26, $AD$48:$AD$51, 0), 2)</f>
        <v>2</v>
      </c>
      <c r="ADW26">
        <v>2</v>
      </c>
      <c r="ADX26">
        <v>2</v>
      </c>
      <c r="ADY26">
        <v>3</v>
      </c>
      <c r="ADZ26" s="5">
        <v>2</v>
      </c>
      <c r="AEA26">
        <f t="shared" si="6"/>
        <v>3</v>
      </c>
      <c r="AEB26" s="5">
        <v>2</v>
      </c>
      <c r="AEC26">
        <f t="shared" ref="AEC26" si="111">INDEX($AD$48:$AE$51, MATCH(AEB26, $AD$48:$AD$51, 0), 2)</f>
        <v>3</v>
      </c>
      <c r="AED26">
        <v>1</v>
      </c>
      <c r="AEE26">
        <v>1</v>
      </c>
      <c r="AEF26" s="5">
        <v>3</v>
      </c>
      <c r="AEG26">
        <f t="shared" si="7"/>
        <v>2</v>
      </c>
      <c r="AEH26" s="5">
        <v>3</v>
      </c>
      <c r="AEI26">
        <f t="shared" si="8"/>
        <v>2</v>
      </c>
      <c r="AEJ26" s="6">
        <f t="shared" si="55"/>
        <v>44</v>
      </c>
      <c r="AEK26">
        <v>2</v>
      </c>
      <c r="AEL26" s="1">
        <v>45043.736111111109</v>
      </c>
      <c r="AEM26">
        <v>0</v>
      </c>
      <c r="AER26">
        <v>0</v>
      </c>
      <c r="AES26">
        <v>0</v>
      </c>
      <c r="AET26">
        <v>0</v>
      </c>
      <c r="AEU26">
        <v>0</v>
      </c>
      <c r="AEV26">
        <v>0</v>
      </c>
      <c r="AEX26">
        <v>2</v>
      </c>
    </row>
    <row r="27" spans="1:830">
      <c r="A27">
        <v>190</v>
      </c>
      <c r="B27" t="s">
        <v>1201</v>
      </c>
      <c r="C27">
        <v>2</v>
      </c>
      <c r="D27">
        <v>2</v>
      </c>
      <c r="E27">
        <v>22</v>
      </c>
      <c r="F27">
        <v>65</v>
      </c>
      <c r="G27">
        <v>135</v>
      </c>
      <c r="H27">
        <v>1</v>
      </c>
      <c r="I27">
        <v>3</v>
      </c>
      <c r="K27" t="s">
        <v>383</v>
      </c>
      <c r="L27">
        <v>2</v>
      </c>
      <c r="M27" s="1">
        <v>45044.584722222222</v>
      </c>
      <c r="N27">
        <v>5</v>
      </c>
      <c r="O27" t="s">
        <v>208</v>
      </c>
      <c r="Q27">
        <v>0</v>
      </c>
      <c r="R27">
        <v>0</v>
      </c>
      <c r="S27">
        <v>0</v>
      </c>
      <c r="T27">
        <v>1</v>
      </c>
      <c r="U27">
        <v>0</v>
      </c>
      <c r="V27">
        <v>0</v>
      </c>
      <c r="W27">
        <v>0</v>
      </c>
      <c r="X27">
        <v>0</v>
      </c>
      <c r="Y27">
        <v>0</v>
      </c>
      <c r="Z27">
        <v>0</v>
      </c>
      <c r="AA27">
        <v>0</v>
      </c>
      <c r="AB27">
        <v>1</v>
      </c>
      <c r="AC27">
        <v>2</v>
      </c>
      <c r="AD27" s="1">
        <v>45044.585416666669</v>
      </c>
      <c r="AE27" s="5">
        <v>3</v>
      </c>
      <c r="AF27">
        <f t="shared" si="9"/>
        <v>2</v>
      </c>
      <c r="AG27">
        <v>3</v>
      </c>
      <c r="AH27" s="5">
        <v>2</v>
      </c>
      <c r="AI27">
        <f t="shared" si="10"/>
        <v>3</v>
      </c>
      <c r="AJ27">
        <v>4</v>
      </c>
      <c r="AK27">
        <v>3</v>
      </c>
      <c r="AL27" s="5">
        <v>2</v>
      </c>
      <c r="AM27">
        <f t="shared" si="11"/>
        <v>3</v>
      </c>
      <c r="AN27" s="5">
        <v>2</v>
      </c>
      <c r="AO27">
        <f t="shared" si="12"/>
        <v>3</v>
      </c>
      <c r="AP27">
        <v>3</v>
      </c>
      <c r="AQ27">
        <v>4</v>
      </c>
      <c r="AR27" s="5">
        <v>2</v>
      </c>
      <c r="AS27">
        <f t="shared" si="13"/>
        <v>3</v>
      </c>
      <c r="AT27">
        <v>1</v>
      </c>
      <c r="AU27">
        <v>3</v>
      </c>
      <c r="AV27" s="5">
        <v>2</v>
      </c>
      <c r="AW27">
        <f t="shared" si="14"/>
        <v>3</v>
      </c>
      <c r="AX27" s="5">
        <v>2</v>
      </c>
      <c r="AY27">
        <f t="shared" si="15"/>
        <v>3</v>
      </c>
      <c r="AZ27">
        <v>3</v>
      </c>
      <c r="BA27" s="5">
        <v>2</v>
      </c>
      <c r="BB27">
        <f t="shared" si="16"/>
        <v>3</v>
      </c>
      <c r="BC27">
        <v>3</v>
      </c>
      <c r="BD27">
        <v>3</v>
      </c>
      <c r="BE27" s="5">
        <v>2</v>
      </c>
      <c r="BF27">
        <f t="shared" si="17"/>
        <v>3</v>
      </c>
      <c r="BG27">
        <v>4</v>
      </c>
      <c r="BH27" s="6">
        <f t="shared" si="18"/>
        <v>60</v>
      </c>
      <c r="BI27">
        <v>2</v>
      </c>
      <c r="BJ27" s="1">
        <v>45044.586111111108</v>
      </c>
      <c r="BK27">
        <v>12</v>
      </c>
      <c r="BL27">
        <v>2</v>
      </c>
      <c r="BM27">
        <v>7</v>
      </c>
      <c r="BP27" t="s">
        <v>427</v>
      </c>
      <c r="BQ27" s="2">
        <v>45026</v>
      </c>
      <c r="BR27">
        <v>2</v>
      </c>
      <c r="BS27">
        <v>2</v>
      </c>
      <c r="BU27">
        <v>25</v>
      </c>
      <c r="BV27">
        <v>5</v>
      </c>
      <c r="BW27">
        <v>1</v>
      </c>
      <c r="BX27">
        <v>2</v>
      </c>
      <c r="BY27" s="1">
        <v>45044.586111111108</v>
      </c>
      <c r="BZ27">
        <v>4</v>
      </c>
      <c r="CA27">
        <v>3</v>
      </c>
      <c r="CB27">
        <v>3</v>
      </c>
      <c r="CC27">
        <v>4</v>
      </c>
      <c r="CD27">
        <v>4</v>
      </c>
      <c r="CE27">
        <v>3</v>
      </c>
      <c r="CF27">
        <v>4</v>
      </c>
      <c r="CG27">
        <v>4</v>
      </c>
      <c r="CH27">
        <v>4</v>
      </c>
      <c r="CI27">
        <v>4</v>
      </c>
      <c r="CJ27">
        <v>3</v>
      </c>
      <c r="CK27">
        <v>4</v>
      </c>
      <c r="CL27" s="5">
        <v>1</v>
      </c>
      <c r="CM27">
        <f t="shared" si="19"/>
        <v>4</v>
      </c>
      <c r="CN27">
        <v>2</v>
      </c>
      <c r="CO27">
        <v>4</v>
      </c>
      <c r="CP27">
        <v>3</v>
      </c>
      <c r="CQ27">
        <v>2</v>
      </c>
      <c r="CR27" s="5">
        <v>2</v>
      </c>
      <c r="CS27">
        <f t="shared" si="20"/>
        <v>3</v>
      </c>
      <c r="CT27">
        <v>3</v>
      </c>
      <c r="CU27">
        <v>3</v>
      </c>
      <c r="CV27" s="6">
        <f t="shared" si="21"/>
        <v>10</v>
      </c>
      <c r="CW27" s="6">
        <f t="shared" si="22"/>
        <v>14</v>
      </c>
      <c r="CX27" s="6">
        <f t="shared" si="23"/>
        <v>18</v>
      </c>
      <c r="CY27" s="6">
        <f t="shared" si="24"/>
        <v>42</v>
      </c>
      <c r="CZ27" s="6">
        <f t="shared" si="25"/>
        <v>26</v>
      </c>
      <c r="DA27">
        <v>2</v>
      </c>
      <c r="DB27" s="1">
        <v>45044.586805555555</v>
      </c>
      <c r="DC27">
        <v>1</v>
      </c>
      <c r="DD27">
        <v>0</v>
      </c>
      <c r="DE27">
        <v>0</v>
      </c>
      <c r="DF27">
        <v>0</v>
      </c>
      <c r="DG27">
        <v>0</v>
      </c>
      <c r="DH27">
        <v>0</v>
      </c>
      <c r="DI27">
        <v>0</v>
      </c>
      <c r="DJ27">
        <v>0</v>
      </c>
      <c r="DK27">
        <v>0</v>
      </c>
      <c r="DL27">
        <v>1</v>
      </c>
      <c r="DM27">
        <v>0</v>
      </c>
      <c r="DN27">
        <v>0</v>
      </c>
      <c r="DO27">
        <v>0</v>
      </c>
      <c r="DP27">
        <v>0</v>
      </c>
      <c r="DQ27">
        <v>1</v>
      </c>
      <c r="DR27">
        <v>0</v>
      </c>
      <c r="DS27">
        <v>0</v>
      </c>
      <c r="DT27">
        <v>0</v>
      </c>
      <c r="DU27">
        <v>0</v>
      </c>
      <c r="DV27">
        <v>1</v>
      </c>
      <c r="DW27">
        <v>0</v>
      </c>
      <c r="DX27">
        <v>0</v>
      </c>
      <c r="DY27">
        <v>0</v>
      </c>
      <c r="DZ27">
        <v>0</v>
      </c>
      <c r="EA27">
        <v>1</v>
      </c>
      <c r="EB27">
        <v>0</v>
      </c>
      <c r="EC27">
        <v>0</v>
      </c>
      <c r="ED27">
        <v>0</v>
      </c>
      <c r="EE27">
        <v>0</v>
      </c>
      <c r="EF27">
        <v>1</v>
      </c>
      <c r="EG27">
        <v>0</v>
      </c>
      <c r="EH27">
        <v>0</v>
      </c>
      <c r="EI27">
        <v>0</v>
      </c>
      <c r="EJ27">
        <v>0</v>
      </c>
      <c r="EK27">
        <v>1</v>
      </c>
      <c r="EL27">
        <v>0</v>
      </c>
      <c r="EM27">
        <v>0</v>
      </c>
      <c r="EN27">
        <v>1</v>
      </c>
      <c r="EO27">
        <v>0</v>
      </c>
      <c r="EP27">
        <v>0</v>
      </c>
      <c r="EQ27">
        <v>0</v>
      </c>
      <c r="ER27">
        <v>0</v>
      </c>
      <c r="ES27">
        <v>1</v>
      </c>
      <c r="ET27">
        <v>0</v>
      </c>
      <c r="EU27">
        <v>0</v>
      </c>
      <c r="EV27">
        <v>0</v>
      </c>
      <c r="EW27">
        <v>0</v>
      </c>
      <c r="EX27">
        <v>0</v>
      </c>
      <c r="EY27">
        <v>0</v>
      </c>
      <c r="EZ27">
        <v>1</v>
      </c>
      <c r="FA27">
        <v>0</v>
      </c>
      <c r="FB27">
        <v>0</v>
      </c>
      <c r="FC27">
        <v>0</v>
      </c>
      <c r="FD27">
        <v>0</v>
      </c>
      <c r="FE27">
        <v>1</v>
      </c>
      <c r="FF27">
        <v>0</v>
      </c>
      <c r="FG27">
        <v>0</v>
      </c>
      <c r="FH27">
        <v>1</v>
      </c>
      <c r="FI27">
        <v>0</v>
      </c>
      <c r="FJ27">
        <v>0</v>
      </c>
      <c r="FK27">
        <v>0</v>
      </c>
      <c r="FL27">
        <v>0</v>
      </c>
      <c r="FM27">
        <v>0</v>
      </c>
      <c r="FN27">
        <v>0</v>
      </c>
      <c r="FO27">
        <v>1</v>
      </c>
      <c r="FP27">
        <v>0</v>
      </c>
      <c r="FQ27">
        <v>0</v>
      </c>
      <c r="FR27">
        <v>0</v>
      </c>
      <c r="FS27">
        <v>0</v>
      </c>
      <c r="FT27">
        <v>1</v>
      </c>
      <c r="FU27">
        <v>0</v>
      </c>
      <c r="FV27">
        <v>0</v>
      </c>
      <c r="FW27">
        <v>0</v>
      </c>
      <c r="FX27">
        <v>0</v>
      </c>
      <c r="FY27">
        <v>1</v>
      </c>
      <c r="FZ27">
        <v>0</v>
      </c>
      <c r="GA27">
        <v>0</v>
      </c>
      <c r="GB27">
        <v>0</v>
      </c>
      <c r="GC27">
        <v>0</v>
      </c>
      <c r="GD27">
        <v>1</v>
      </c>
      <c r="GE27">
        <v>0</v>
      </c>
      <c r="GF27">
        <v>0</v>
      </c>
      <c r="GG27">
        <v>1</v>
      </c>
      <c r="GH27">
        <v>0</v>
      </c>
      <c r="GI27">
        <v>0</v>
      </c>
      <c r="GJ27" s="6">
        <f t="shared" si="26"/>
        <v>17</v>
      </c>
      <c r="GK27">
        <v>2</v>
      </c>
      <c r="GL27" s="1">
        <v>45044.587500000001</v>
      </c>
      <c r="GM27">
        <v>0</v>
      </c>
      <c r="GQ27" s="5"/>
      <c r="GV27" s="5"/>
      <c r="HA27" s="5"/>
      <c r="HF27" s="5"/>
      <c r="HI27" s="6"/>
      <c r="HJ27" s="6"/>
      <c r="HK27" s="6"/>
      <c r="HL27">
        <v>2</v>
      </c>
      <c r="HM27" s="1">
        <v>45044.587500000001</v>
      </c>
      <c r="HN27">
        <v>7</v>
      </c>
      <c r="HO27">
        <v>8</v>
      </c>
      <c r="HP27">
        <v>6</v>
      </c>
      <c r="HQ27">
        <v>2</v>
      </c>
      <c r="HR27" s="1">
        <v>45057.48333333333</v>
      </c>
      <c r="HS27">
        <v>0</v>
      </c>
      <c r="HT27">
        <v>1</v>
      </c>
      <c r="HU27">
        <v>3</v>
      </c>
      <c r="HV27">
        <v>0</v>
      </c>
      <c r="HW27">
        <v>2</v>
      </c>
      <c r="HX27">
        <v>0</v>
      </c>
      <c r="HY27">
        <v>2</v>
      </c>
      <c r="HZ27">
        <v>3</v>
      </c>
      <c r="IA27">
        <v>0</v>
      </c>
      <c r="IB27">
        <v>1</v>
      </c>
      <c r="IC27">
        <v>0</v>
      </c>
      <c r="ID27">
        <v>0</v>
      </c>
      <c r="IE27">
        <v>0</v>
      </c>
      <c r="IF27">
        <v>0</v>
      </c>
      <c r="IG27">
        <v>0</v>
      </c>
      <c r="IH27">
        <v>0</v>
      </c>
      <c r="II27">
        <v>0</v>
      </c>
      <c r="IJ27">
        <v>0</v>
      </c>
      <c r="IK27">
        <v>0</v>
      </c>
      <c r="IL27">
        <v>0</v>
      </c>
      <c r="IM27">
        <v>0</v>
      </c>
      <c r="IN27" s="6">
        <f t="shared" si="31"/>
        <v>12</v>
      </c>
      <c r="IO27">
        <v>2</v>
      </c>
      <c r="IP27" s="1">
        <v>45057.48333333333</v>
      </c>
      <c r="IQ27">
        <v>0</v>
      </c>
      <c r="IR27">
        <v>0</v>
      </c>
      <c r="IS27">
        <v>0</v>
      </c>
      <c r="IT27">
        <v>0</v>
      </c>
      <c r="IU27">
        <v>0</v>
      </c>
      <c r="IV27">
        <v>0</v>
      </c>
      <c r="IW27">
        <v>0</v>
      </c>
      <c r="IX27">
        <v>0</v>
      </c>
      <c r="IY27">
        <v>0</v>
      </c>
      <c r="IZ27">
        <v>0</v>
      </c>
      <c r="JA27">
        <v>0</v>
      </c>
      <c r="JB27">
        <v>0</v>
      </c>
      <c r="JC27">
        <v>0</v>
      </c>
      <c r="JD27">
        <v>0</v>
      </c>
      <c r="JE27">
        <v>0</v>
      </c>
      <c r="JF27">
        <v>0</v>
      </c>
      <c r="JG27">
        <v>0</v>
      </c>
      <c r="JH27">
        <v>0</v>
      </c>
      <c r="JI27">
        <v>0</v>
      </c>
      <c r="JJ27">
        <v>1</v>
      </c>
      <c r="JT27" s="6">
        <f t="shared" si="32"/>
        <v>0</v>
      </c>
      <c r="JU27" s="6"/>
      <c r="JV27" s="6"/>
      <c r="JW27" s="6"/>
      <c r="JX27">
        <v>2</v>
      </c>
      <c r="JY27" s="1">
        <v>45057.48333333333</v>
      </c>
      <c r="JZ27">
        <v>0</v>
      </c>
      <c r="KA27">
        <v>0</v>
      </c>
      <c r="KB27">
        <v>0</v>
      </c>
      <c r="KC27" s="6">
        <f t="shared" si="35"/>
        <v>0</v>
      </c>
      <c r="KD27">
        <v>2</v>
      </c>
      <c r="KE27" s="1">
        <v>45057.484027777777</v>
      </c>
      <c r="KF27" s="6">
        <v>48.5</v>
      </c>
      <c r="KG27" s="6">
        <v>2.2000000000000002</v>
      </c>
      <c r="KP27">
        <v>2</v>
      </c>
      <c r="UH27">
        <v>2</v>
      </c>
      <c r="WX27">
        <v>2</v>
      </c>
      <c r="XN27" s="6">
        <v>2</v>
      </c>
      <c r="YX27">
        <v>2</v>
      </c>
      <c r="YY27" s="6">
        <v>48.5</v>
      </c>
      <c r="YZ27" s="6">
        <v>2.2000000000000002</v>
      </c>
      <c r="ZB27">
        <v>2</v>
      </c>
      <c r="ZC27" s="1">
        <v>45100.661111111112</v>
      </c>
      <c r="ZD27">
        <v>4</v>
      </c>
      <c r="ZE27">
        <v>2</v>
      </c>
      <c r="ZF27">
        <v>4</v>
      </c>
      <c r="ZG27">
        <v>3</v>
      </c>
      <c r="ZH27">
        <v>2</v>
      </c>
      <c r="ZI27">
        <v>2</v>
      </c>
      <c r="ZJ27">
        <v>3</v>
      </c>
      <c r="ZK27">
        <v>1</v>
      </c>
      <c r="ZL27">
        <v>4</v>
      </c>
      <c r="ZM27">
        <v>3</v>
      </c>
      <c r="ZN27">
        <v>1</v>
      </c>
      <c r="ZO27">
        <v>4</v>
      </c>
      <c r="ZP27">
        <v>2</v>
      </c>
      <c r="ZQ27">
        <v>3</v>
      </c>
      <c r="ZR27">
        <v>3</v>
      </c>
      <c r="ZS27">
        <v>2</v>
      </c>
      <c r="ZT27">
        <v>2</v>
      </c>
      <c r="ZU27">
        <v>1</v>
      </c>
      <c r="ZV27">
        <v>2</v>
      </c>
      <c r="ZW27">
        <v>2</v>
      </c>
      <c r="ZX27" s="6">
        <f t="shared" si="36"/>
        <v>30</v>
      </c>
      <c r="ZY27" s="6">
        <f t="shared" si="37"/>
        <v>20</v>
      </c>
      <c r="ZZ27">
        <v>2</v>
      </c>
      <c r="AAA27" s="1">
        <v>45057.484722222223</v>
      </c>
      <c r="AAB27">
        <v>0</v>
      </c>
      <c r="AAC27">
        <v>0</v>
      </c>
      <c r="AAD27">
        <v>0</v>
      </c>
      <c r="AAE27">
        <v>0</v>
      </c>
      <c r="AAF27">
        <v>2</v>
      </c>
      <c r="AAG27">
        <v>1</v>
      </c>
      <c r="AAH27">
        <v>0</v>
      </c>
      <c r="AAI27">
        <v>1</v>
      </c>
      <c r="AAJ27">
        <v>0</v>
      </c>
      <c r="AAK27">
        <v>0</v>
      </c>
      <c r="AAL27">
        <v>1</v>
      </c>
      <c r="AAM27">
        <v>0</v>
      </c>
      <c r="AAN27">
        <v>0</v>
      </c>
      <c r="AAO27">
        <v>2</v>
      </c>
      <c r="AAP27">
        <v>0</v>
      </c>
      <c r="AAQ27">
        <v>0</v>
      </c>
      <c r="AAR27">
        <v>0</v>
      </c>
      <c r="AAS27">
        <v>0</v>
      </c>
      <c r="AAT27" s="6">
        <f t="shared" si="38"/>
        <v>0</v>
      </c>
      <c r="AAU27" s="6">
        <f t="shared" si="39"/>
        <v>6</v>
      </c>
      <c r="AAV27" s="6">
        <f t="shared" si="40"/>
        <v>1</v>
      </c>
      <c r="AAW27" s="6">
        <f t="shared" si="41"/>
        <v>7</v>
      </c>
      <c r="AAX27">
        <v>2</v>
      </c>
      <c r="AAY27" s="1">
        <v>45057.484722222223</v>
      </c>
      <c r="AAZ27">
        <v>0</v>
      </c>
      <c r="ABO27" s="6"/>
      <c r="ABP27" s="6"/>
      <c r="ABQ27">
        <v>2</v>
      </c>
      <c r="ABS27">
        <v>0</v>
      </c>
      <c r="ABT27">
        <v>0</v>
      </c>
      <c r="ABU27">
        <v>0</v>
      </c>
      <c r="ABV27">
        <v>1</v>
      </c>
      <c r="ABW27">
        <v>0</v>
      </c>
      <c r="ABX27">
        <v>0</v>
      </c>
      <c r="ABY27">
        <v>0</v>
      </c>
      <c r="ABZ27">
        <v>1</v>
      </c>
      <c r="ACA27">
        <v>0</v>
      </c>
      <c r="ACB27">
        <v>1</v>
      </c>
      <c r="ACC27">
        <v>0</v>
      </c>
      <c r="ACD27">
        <v>0</v>
      </c>
      <c r="ACE27">
        <v>1</v>
      </c>
      <c r="ACF27">
        <v>0</v>
      </c>
      <c r="ACG27">
        <v>0</v>
      </c>
      <c r="ACH27">
        <v>0</v>
      </c>
      <c r="ACI27">
        <v>0</v>
      </c>
      <c r="ACJ27">
        <v>0</v>
      </c>
      <c r="ACK27">
        <v>1</v>
      </c>
      <c r="ACL27">
        <v>1</v>
      </c>
      <c r="ACM27">
        <v>0</v>
      </c>
      <c r="ACN27">
        <v>1</v>
      </c>
      <c r="ACO27">
        <v>0</v>
      </c>
      <c r="ACP27">
        <v>0</v>
      </c>
      <c r="ACQ27">
        <v>0</v>
      </c>
      <c r="ACR27">
        <v>0</v>
      </c>
      <c r="ACS27">
        <v>0</v>
      </c>
      <c r="ACT27">
        <v>0</v>
      </c>
      <c r="ACU27">
        <v>0</v>
      </c>
      <c r="ACV27">
        <v>0</v>
      </c>
      <c r="ACW27" s="6">
        <f t="shared" si="44"/>
        <v>1</v>
      </c>
      <c r="ACX27" s="6">
        <f t="shared" si="45"/>
        <v>0</v>
      </c>
      <c r="ACY27" s="6">
        <f t="shared" si="46"/>
        <v>0</v>
      </c>
      <c r="ACZ27" s="6">
        <f t="shared" si="47"/>
        <v>3</v>
      </c>
      <c r="ADA27" s="6">
        <f t="shared" si="48"/>
        <v>0</v>
      </c>
      <c r="ADB27" s="6">
        <f t="shared" si="49"/>
        <v>3</v>
      </c>
      <c r="ADC27" s="6">
        <f t="shared" si="50"/>
        <v>1</v>
      </c>
      <c r="ADD27">
        <v>2</v>
      </c>
      <c r="ADE27" s="1">
        <v>45057.486111111109</v>
      </c>
      <c r="ADF27" s="5">
        <v>2</v>
      </c>
      <c r="ADG27">
        <f t="shared" si="51"/>
        <v>3</v>
      </c>
      <c r="ADH27" s="5">
        <v>2</v>
      </c>
      <c r="ADI27">
        <f t="shared" si="52"/>
        <v>3</v>
      </c>
      <c r="ADJ27">
        <v>2</v>
      </c>
      <c r="ADK27">
        <v>1</v>
      </c>
      <c r="ADL27" s="5">
        <v>2</v>
      </c>
      <c r="ADM27">
        <f t="shared" si="3"/>
        <v>3</v>
      </c>
      <c r="ADN27">
        <v>1</v>
      </c>
      <c r="ADO27">
        <v>2</v>
      </c>
      <c r="ADP27" s="5">
        <v>2</v>
      </c>
      <c r="ADQ27">
        <f t="shared" si="4"/>
        <v>3</v>
      </c>
      <c r="ADR27">
        <v>1</v>
      </c>
      <c r="ADS27" s="5">
        <v>2</v>
      </c>
      <c r="ADT27">
        <f t="shared" si="5"/>
        <v>3</v>
      </c>
      <c r="ADU27" s="5">
        <v>2</v>
      </c>
      <c r="ADV27">
        <f t="shared" ref="ADV27" si="112">INDEX($AD$48:$AE$51, MATCH(ADU27, $AD$48:$AD$51, 0), 2)</f>
        <v>3</v>
      </c>
      <c r="ADW27">
        <v>2</v>
      </c>
      <c r="ADX27">
        <v>1</v>
      </c>
      <c r="ADY27">
        <v>1</v>
      </c>
      <c r="ADZ27" s="5">
        <v>2</v>
      </c>
      <c r="AEA27">
        <f t="shared" si="6"/>
        <v>3</v>
      </c>
      <c r="AEB27" s="5">
        <v>2</v>
      </c>
      <c r="AEC27">
        <f t="shared" ref="AEC27" si="113">INDEX($AD$48:$AE$51, MATCH(AEB27, $AD$48:$AD$51, 0), 2)</f>
        <v>3</v>
      </c>
      <c r="AED27">
        <v>2</v>
      </c>
      <c r="AEE27">
        <v>1</v>
      </c>
      <c r="AEF27" s="5">
        <v>2</v>
      </c>
      <c r="AEG27">
        <f t="shared" si="7"/>
        <v>3</v>
      </c>
      <c r="AEH27" s="5">
        <v>2</v>
      </c>
      <c r="AEI27">
        <f t="shared" si="8"/>
        <v>3</v>
      </c>
      <c r="AEJ27" s="6">
        <f t="shared" si="55"/>
        <v>47</v>
      </c>
      <c r="AEK27">
        <v>2</v>
      </c>
      <c r="AEL27" s="1">
        <v>45057.486111111109</v>
      </c>
      <c r="AEM27">
        <v>0</v>
      </c>
      <c r="AER27">
        <v>0</v>
      </c>
      <c r="AES27">
        <v>0</v>
      </c>
      <c r="AET27">
        <v>0</v>
      </c>
      <c r="AEU27">
        <v>0</v>
      </c>
      <c r="AEV27">
        <v>0</v>
      </c>
      <c r="AEX27">
        <v>2</v>
      </c>
    </row>
    <row r="28" spans="1:830">
      <c r="A28">
        <v>192</v>
      </c>
      <c r="B28" t="s">
        <v>1203</v>
      </c>
      <c r="C28">
        <v>2</v>
      </c>
      <c r="D28">
        <v>2</v>
      </c>
      <c r="E28">
        <v>42</v>
      </c>
      <c r="F28">
        <v>66</v>
      </c>
      <c r="G28">
        <v>142</v>
      </c>
      <c r="H28">
        <v>0</v>
      </c>
      <c r="I28">
        <v>3</v>
      </c>
      <c r="K28" t="s">
        <v>432</v>
      </c>
      <c r="L28">
        <v>2</v>
      </c>
      <c r="M28" s="1">
        <v>45047.574305555558</v>
      </c>
      <c r="N28">
        <v>7</v>
      </c>
      <c r="O28">
        <v>0</v>
      </c>
      <c r="Q28">
        <v>0</v>
      </c>
      <c r="R28">
        <v>0</v>
      </c>
      <c r="S28">
        <v>0</v>
      </c>
      <c r="T28">
        <v>0</v>
      </c>
      <c r="U28">
        <v>1</v>
      </c>
      <c r="V28">
        <v>0</v>
      </c>
      <c r="W28">
        <v>0</v>
      </c>
      <c r="X28">
        <v>0</v>
      </c>
      <c r="Y28">
        <v>0</v>
      </c>
      <c r="Z28">
        <v>0</v>
      </c>
      <c r="AA28">
        <v>0</v>
      </c>
      <c r="AB28">
        <v>2</v>
      </c>
      <c r="AC28">
        <v>2</v>
      </c>
      <c r="AD28" s="1">
        <v>45047.576388888891</v>
      </c>
      <c r="AE28" s="5">
        <v>4</v>
      </c>
      <c r="AF28">
        <f t="shared" si="9"/>
        <v>1</v>
      </c>
      <c r="AG28">
        <v>1</v>
      </c>
      <c r="AH28" s="5">
        <v>4</v>
      </c>
      <c r="AI28">
        <f t="shared" si="10"/>
        <v>1</v>
      </c>
      <c r="AJ28">
        <v>1</v>
      </c>
      <c r="AK28">
        <v>1</v>
      </c>
      <c r="AL28" s="5">
        <v>2</v>
      </c>
      <c r="AM28">
        <f t="shared" si="11"/>
        <v>3</v>
      </c>
      <c r="AN28" s="5">
        <v>3</v>
      </c>
      <c r="AO28">
        <f t="shared" si="12"/>
        <v>2</v>
      </c>
      <c r="AP28">
        <v>1</v>
      </c>
      <c r="AQ28">
        <v>2</v>
      </c>
      <c r="AR28" s="5">
        <v>4</v>
      </c>
      <c r="AS28">
        <f t="shared" si="13"/>
        <v>1</v>
      </c>
      <c r="AT28">
        <v>1</v>
      </c>
      <c r="AU28">
        <v>2</v>
      </c>
      <c r="AV28" s="5">
        <v>3</v>
      </c>
      <c r="AW28">
        <f t="shared" si="14"/>
        <v>2</v>
      </c>
      <c r="AX28" s="5">
        <v>2</v>
      </c>
      <c r="AY28">
        <f t="shared" si="15"/>
        <v>3</v>
      </c>
      <c r="AZ28">
        <v>1</v>
      </c>
      <c r="BA28" s="5">
        <v>4</v>
      </c>
      <c r="BB28">
        <f t="shared" si="16"/>
        <v>1</v>
      </c>
      <c r="BC28">
        <v>1</v>
      </c>
      <c r="BD28">
        <v>1</v>
      </c>
      <c r="BE28" s="5">
        <v>4</v>
      </c>
      <c r="BF28">
        <f t="shared" si="17"/>
        <v>1</v>
      </c>
      <c r="BG28">
        <v>1</v>
      </c>
      <c r="BH28" s="6">
        <f t="shared" si="18"/>
        <v>28</v>
      </c>
      <c r="BI28">
        <v>2</v>
      </c>
      <c r="BJ28" s="1">
        <v>45047.57708333333</v>
      </c>
      <c r="BK28">
        <v>12</v>
      </c>
      <c r="BL28">
        <v>2</v>
      </c>
      <c r="BM28">
        <v>1</v>
      </c>
      <c r="BQ28" s="2">
        <v>45040</v>
      </c>
      <c r="BU28">
        <v>28</v>
      </c>
      <c r="BV28">
        <v>5</v>
      </c>
      <c r="BW28">
        <v>1</v>
      </c>
      <c r="BX28">
        <v>2</v>
      </c>
      <c r="BY28" s="1">
        <v>45047.586111111108</v>
      </c>
      <c r="BZ28">
        <v>4</v>
      </c>
      <c r="CA28">
        <v>2</v>
      </c>
      <c r="CB28">
        <v>2</v>
      </c>
      <c r="CC28">
        <v>2</v>
      </c>
      <c r="CD28">
        <v>2</v>
      </c>
      <c r="CE28">
        <v>1</v>
      </c>
      <c r="CF28">
        <v>3</v>
      </c>
      <c r="CG28">
        <v>3</v>
      </c>
      <c r="CH28">
        <v>1</v>
      </c>
      <c r="CI28">
        <v>3</v>
      </c>
      <c r="CJ28">
        <v>1</v>
      </c>
      <c r="CK28">
        <v>3</v>
      </c>
      <c r="CL28" s="5">
        <v>2</v>
      </c>
      <c r="CM28">
        <f t="shared" si="19"/>
        <v>3</v>
      </c>
      <c r="CN28">
        <v>1</v>
      </c>
      <c r="CO28">
        <v>3</v>
      </c>
      <c r="CP28">
        <v>1</v>
      </c>
      <c r="CQ28">
        <v>1</v>
      </c>
      <c r="CR28" s="5">
        <v>2</v>
      </c>
      <c r="CS28">
        <f t="shared" si="20"/>
        <v>3</v>
      </c>
      <c r="CT28">
        <v>3</v>
      </c>
      <c r="CU28">
        <v>2</v>
      </c>
      <c r="CV28" s="6">
        <f t="shared" si="21"/>
        <v>5</v>
      </c>
      <c r="CW28" s="6">
        <f t="shared" si="22"/>
        <v>5</v>
      </c>
      <c r="CX28" s="6">
        <f t="shared" si="23"/>
        <v>15</v>
      </c>
      <c r="CY28" s="6">
        <f t="shared" si="24"/>
        <v>25</v>
      </c>
      <c r="CZ28" s="6">
        <f t="shared" si="25"/>
        <v>19</v>
      </c>
      <c r="DA28">
        <v>2</v>
      </c>
      <c r="DB28" s="1">
        <v>45047.590277777781</v>
      </c>
      <c r="DC28">
        <v>1</v>
      </c>
      <c r="DD28">
        <v>1</v>
      </c>
      <c r="DE28">
        <v>1</v>
      </c>
      <c r="DF28">
        <v>0</v>
      </c>
      <c r="DG28">
        <v>0</v>
      </c>
      <c r="DH28">
        <v>0</v>
      </c>
      <c r="DI28">
        <v>0</v>
      </c>
      <c r="DJ28">
        <v>0</v>
      </c>
      <c r="DK28">
        <v>0</v>
      </c>
      <c r="DL28">
        <v>1</v>
      </c>
      <c r="DM28">
        <v>1</v>
      </c>
      <c r="DN28">
        <v>1</v>
      </c>
      <c r="DO28">
        <v>0</v>
      </c>
      <c r="DP28">
        <v>0</v>
      </c>
      <c r="DQ28">
        <v>0</v>
      </c>
      <c r="DR28">
        <v>0</v>
      </c>
      <c r="DS28">
        <v>1</v>
      </c>
      <c r="DT28">
        <v>1</v>
      </c>
      <c r="DU28">
        <v>0</v>
      </c>
      <c r="DV28">
        <v>0</v>
      </c>
      <c r="DW28">
        <v>0</v>
      </c>
      <c r="DX28">
        <v>0</v>
      </c>
      <c r="DY28">
        <v>0</v>
      </c>
      <c r="DZ28">
        <v>0</v>
      </c>
      <c r="EA28">
        <v>1</v>
      </c>
      <c r="EB28">
        <v>0</v>
      </c>
      <c r="EC28">
        <v>0</v>
      </c>
      <c r="ED28">
        <v>0</v>
      </c>
      <c r="EE28">
        <v>0</v>
      </c>
      <c r="EF28">
        <v>1</v>
      </c>
      <c r="EG28">
        <v>0</v>
      </c>
      <c r="EH28">
        <v>0</v>
      </c>
      <c r="EI28">
        <v>0</v>
      </c>
      <c r="EJ28">
        <v>0</v>
      </c>
      <c r="EK28">
        <v>1</v>
      </c>
      <c r="EL28">
        <v>1</v>
      </c>
      <c r="EM28">
        <v>0</v>
      </c>
      <c r="EN28">
        <v>1</v>
      </c>
      <c r="EO28">
        <v>0</v>
      </c>
      <c r="EP28">
        <v>0</v>
      </c>
      <c r="EQ28">
        <v>1</v>
      </c>
      <c r="ER28">
        <v>0</v>
      </c>
      <c r="ES28">
        <v>1</v>
      </c>
      <c r="ET28">
        <v>0</v>
      </c>
      <c r="EU28">
        <v>0</v>
      </c>
      <c r="EV28">
        <v>1</v>
      </c>
      <c r="EW28">
        <v>0</v>
      </c>
      <c r="EX28">
        <v>0</v>
      </c>
      <c r="EY28">
        <v>0</v>
      </c>
      <c r="EZ28">
        <v>0</v>
      </c>
      <c r="FA28">
        <v>0</v>
      </c>
      <c r="FB28">
        <v>0</v>
      </c>
      <c r="FC28">
        <v>0</v>
      </c>
      <c r="FD28">
        <v>0</v>
      </c>
      <c r="FE28">
        <v>1</v>
      </c>
      <c r="FF28">
        <v>0</v>
      </c>
      <c r="FG28">
        <v>0</v>
      </c>
      <c r="FH28">
        <v>0</v>
      </c>
      <c r="FI28">
        <v>0</v>
      </c>
      <c r="FJ28">
        <v>1</v>
      </c>
      <c r="FK28">
        <v>0</v>
      </c>
      <c r="FL28">
        <v>0</v>
      </c>
      <c r="FM28">
        <v>0</v>
      </c>
      <c r="FN28">
        <v>0</v>
      </c>
      <c r="FO28">
        <v>1</v>
      </c>
      <c r="FP28">
        <v>0</v>
      </c>
      <c r="FQ28">
        <v>0</v>
      </c>
      <c r="FR28">
        <v>1</v>
      </c>
      <c r="FS28">
        <v>0</v>
      </c>
      <c r="FT28">
        <v>0</v>
      </c>
      <c r="FU28">
        <v>0</v>
      </c>
      <c r="FV28">
        <v>0</v>
      </c>
      <c r="FW28">
        <v>0</v>
      </c>
      <c r="FX28">
        <v>0</v>
      </c>
      <c r="FY28">
        <v>1</v>
      </c>
      <c r="FZ28">
        <v>0</v>
      </c>
      <c r="GA28">
        <v>0</v>
      </c>
      <c r="GB28">
        <v>0</v>
      </c>
      <c r="GC28">
        <v>0</v>
      </c>
      <c r="GD28">
        <v>1</v>
      </c>
      <c r="GE28">
        <v>1</v>
      </c>
      <c r="GF28">
        <v>0</v>
      </c>
      <c r="GG28">
        <v>0</v>
      </c>
      <c r="GH28">
        <v>0</v>
      </c>
      <c r="GI28">
        <v>0</v>
      </c>
      <c r="GJ28" s="6">
        <f t="shared" si="26"/>
        <v>23</v>
      </c>
      <c r="GK28">
        <v>2</v>
      </c>
      <c r="GL28" s="1">
        <v>45047.590277777781</v>
      </c>
      <c r="GM28">
        <v>0</v>
      </c>
      <c r="GQ28" s="5"/>
      <c r="GV28" s="5"/>
      <c r="HA28" s="5"/>
      <c r="HF28" s="5"/>
      <c r="HI28" s="6"/>
      <c r="HJ28" s="6"/>
      <c r="HK28" s="6"/>
      <c r="HL28">
        <v>2</v>
      </c>
      <c r="HM28" s="1">
        <v>45047.591666666667</v>
      </c>
      <c r="HN28">
        <v>2</v>
      </c>
      <c r="HO28">
        <v>13</v>
      </c>
      <c r="HP28">
        <v>10</v>
      </c>
      <c r="HQ28">
        <v>2</v>
      </c>
      <c r="HR28" s="1">
        <v>45082.490277777775</v>
      </c>
      <c r="HS28">
        <v>0</v>
      </c>
      <c r="HT28">
        <v>0</v>
      </c>
      <c r="HU28">
        <v>0</v>
      </c>
      <c r="HV28">
        <v>0</v>
      </c>
      <c r="HW28">
        <v>0</v>
      </c>
      <c r="HX28">
        <v>0</v>
      </c>
      <c r="HY28">
        <v>0</v>
      </c>
      <c r="HZ28">
        <v>0</v>
      </c>
      <c r="IA28">
        <v>0</v>
      </c>
      <c r="IB28">
        <v>0</v>
      </c>
      <c r="IC28">
        <v>0</v>
      </c>
      <c r="ID28">
        <v>0</v>
      </c>
      <c r="IE28">
        <v>0</v>
      </c>
      <c r="IF28">
        <v>0</v>
      </c>
      <c r="IG28">
        <v>0</v>
      </c>
      <c r="IH28">
        <v>0</v>
      </c>
      <c r="II28">
        <v>0</v>
      </c>
      <c r="IJ28">
        <v>0</v>
      </c>
      <c r="IK28">
        <v>0</v>
      </c>
      <c r="IL28">
        <v>0</v>
      </c>
      <c r="IM28">
        <v>0</v>
      </c>
      <c r="IN28" s="6">
        <f t="shared" si="31"/>
        <v>0</v>
      </c>
      <c r="IO28">
        <v>2</v>
      </c>
      <c r="IP28" s="1">
        <v>45082.490277777775</v>
      </c>
      <c r="IQ28">
        <v>0</v>
      </c>
      <c r="IR28">
        <v>0</v>
      </c>
      <c r="IS28">
        <v>0</v>
      </c>
      <c r="IT28">
        <v>0</v>
      </c>
      <c r="IU28">
        <v>0</v>
      </c>
      <c r="IV28">
        <v>0</v>
      </c>
      <c r="IW28">
        <v>0</v>
      </c>
      <c r="IX28">
        <v>0</v>
      </c>
      <c r="IY28">
        <v>0</v>
      </c>
      <c r="IZ28">
        <v>0</v>
      </c>
      <c r="JA28">
        <v>0</v>
      </c>
      <c r="JB28">
        <v>0</v>
      </c>
      <c r="JC28">
        <v>0</v>
      </c>
      <c r="JD28">
        <v>0</v>
      </c>
      <c r="JE28">
        <v>0</v>
      </c>
      <c r="JF28">
        <v>0</v>
      </c>
      <c r="JG28">
        <v>0</v>
      </c>
      <c r="JH28">
        <v>0</v>
      </c>
      <c r="JI28">
        <v>0</v>
      </c>
      <c r="JJ28">
        <v>1</v>
      </c>
      <c r="JT28" s="6">
        <f t="shared" si="32"/>
        <v>0</v>
      </c>
      <c r="JU28" s="6"/>
      <c r="JV28" s="6"/>
      <c r="JW28" s="6"/>
      <c r="JX28">
        <v>2</v>
      </c>
      <c r="JY28" s="1">
        <v>45082.490277777775</v>
      </c>
      <c r="JZ28">
        <v>0</v>
      </c>
      <c r="KA28">
        <v>0</v>
      </c>
      <c r="KB28">
        <v>0</v>
      </c>
      <c r="KC28" s="6">
        <f t="shared" si="35"/>
        <v>0</v>
      </c>
      <c r="KD28">
        <v>2</v>
      </c>
      <c r="KE28" s="1">
        <v>45082.48541666667</v>
      </c>
      <c r="KF28" s="6">
        <v>52.8</v>
      </c>
      <c r="KG28" s="6">
        <v>2.2000000000000002</v>
      </c>
      <c r="KP28">
        <v>3</v>
      </c>
      <c r="UH28">
        <v>2</v>
      </c>
      <c r="WX28">
        <v>3</v>
      </c>
      <c r="XN28" s="6">
        <v>2</v>
      </c>
      <c r="YX28">
        <v>2</v>
      </c>
      <c r="YY28" s="6">
        <v>52.8</v>
      </c>
      <c r="YZ28" s="6">
        <v>2.2000000000000002</v>
      </c>
      <c r="ZB28">
        <v>2</v>
      </c>
      <c r="ZC28" s="1">
        <v>45101.661111111112</v>
      </c>
      <c r="ZD28">
        <v>3</v>
      </c>
      <c r="ZE28">
        <v>2</v>
      </c>
      <c r="ZF28">
        <v>3</v>
      </c>
      <c r="ZG28">
        <v>3</v>
      </c>
      <c r="ZH28">
        <v>3</v>
      </c>
      <c r="ZI28">
        <v>1</v>
      </c>
      <c r="ZJ28">
        <v>1</v>
      </c>
      <c r="ZK28">
        <v>2</v>
      </c>
      <c r="ZL28">
        <v>3</v>
      </c>
      <c r="ZM28">
        <v>2</v>
      </c>
      <c r="ZN28">
        <v>3</v>
      </c>
      <c r="ZO28">
        <v>3</v>
      </c>
      <c r="ZP28">
        <v>1</v>
      </c>
      <c r="ZQ28">
        <v>3</v>
      </c>
      <c r="ZR28">
        <v>2</v>
      </c>
      <c r="ZS28">
        <v>3</v>
      </c>
      <c r="ZT28">
        <v>4</v>
      </c>
      <c r="ZU28">
        <v>1</v>
      </c>
      <c r="ZV28">
        <v>3</v>
      </c>
      <c r="ZW28">
        <v>1</v>
      </c>
      <c r="ZX28" s="6">
        <f t="shared" si="36"/>
        <v>30</v>
      </c>
      <c r="ZY28" s="6">
        <f t="shared" si="37"/>
        <v>17</v>
      </c>
      <c r="ZZ28">
        <v>2</v>
      </c>
      <c r="AAA28" s="1">
        <v>45082.486805555556</v>
      </c>
      <c r="AAB28">
        <v>0</v>
      </c>
      <c r="AAC28">
        <v>0</v>
      </c>
      <c r="AAD28">
        <v>0</v>
      </c>
      <c r="AAE28">
        <v>0</v>
      </c>
      <c r="AAF28">
        <v>1</v>
      </c>
      <c r="AAG28">
        <v>2</v>
      </c>
      <c r="AAH28">
        <v>1</v>
      </c>
      <c r="AAI28">
        <v>0</v>
      </c>
      <c r="AAJ28">
        <v>0</v>
      </c>
      <c r="AAK28">
        <v>0</v>
      </c>
      <c r="AAL28">
        <v>0</v>
      </c>
      <c r="AAM28">
        <v>0</v>
      </c>
      <c r="AAN28">
        <v>0</v>
      </c>
      <c r="AAO28">
        <v>0</v>
      </c>
      <c r="AAP28">
        <v>2</v>
      </c>
      <c r="AAQ28">
        <v>0</v>
      </c>
      <c r="AAR28">
        <v>0</v>
      </c>
      <c r="AAS28">
        <v>0</v>
      </c>
      <c r="AAT28" s="6">
        <f t="shared" si="38"/>
        <v>1</v>
      </c>
      <c r="AAU28" s="6">
        <f t="shared" si="39"/>
        <v>1</v>
      </c>
      <c r="AAV28" s="6">
        <f t="shared" si="40"/>
        <v>4</v>
      </c>
      <c r="AAW28" s="6">
        <f t="shared" si="41"/>
        <v>6</v>
      </c>
      <c r="AAX28">
        <v>2</v>
      </c>
      <c r="AAY28" s="1">
        <v>45082.486805555556</v>
      </c>
      <c r="AAZ28">
        <v>0</v>
      </c>
      <c r="ABO28" s="6"/>
      <c r="ABP28" s="6"/>
      <c r="ABQ28">
        <v>2</v>
      </c>
      <c r="ABS28">
        <v>1</v>
      </c>
      <c r="ABT28">
        <v>0</v>
      </c>
      <c r="ABU28">
        <v>1</v>
      </c>
      <c r="ABV28">
        <v>1</v>
      </c>
      <c r="ABW28">
        <v>0</v>
      </c>
      <c r="ABX28">
        <v>1</v>
      </c>
      <c r="ABY28">
        <v>0</v>
      </c>
      <c r="ABZ28">
        <v>1</v>
      </c>
      <c r="ACA28">
        <v>1</v>
      </c>
      <c r="ACB28">
        <v>1</v>
      </c>
      <c r="ACC28">
        <v>0</v>
      </c>
      <c r="ACD28">
        <v>1</v>
      </c>
      <c r="ACE28">
        <v>0</v>
      </c>
      <c r="ACF28">
        <v>1</v>
      </c>
      <c r="ACG28">
        <v>0</v>
      </c>
      <c r="ACH28">
        <v>0</v>
      </c>
      <c r="ACI28">
        <v>0</v>
      </c>
      <c r="ACJ28">
        <v>0</v>
      </c>
      <c r="ACK28">
        <v>0</v>
      </c>
      <c r="ACL28">
        <v>1</v>
      </c>
      <c r="ACM28">
        <v>0</v>
      </c>
      <c r="ACN28">
        <v>0</v>
      </c>
      <c r="ACO28">
        <v>0</v>
      </c>
      <c r="ACP28">
        <v>0</v>
      </c>
      <c r="ACQ28">
        <v>0</v>
      </c>
      <c r="ACR28">
        <v>1</v>
      </c>
      <c r="ACS28">
        <v>1</v>
      </c>
      <c r="ACT28">
        <v>1</v>
      </c>
      <c r="ACU28">
        <v>0</v>
      </c>
      <c r="ACV28">
        <v>1</v>
      </c>
      <c r="ACW28" s="6">
        <f t="shared" si="44"/>
        <v>4</v>
      </c>
      <c r="ACX28" s="6">
        <f t="shared" si="45"/>
        <v>0</v>
      </c>
      <c r="ACY28" s="6">
        <f t="shared" si="46"/>
        <v>3</v>
      </c>
      <c r="ACZ28" s="6">
        <f t="shared" si="47"/>
        <v>1</v>
      </c>
      <c r="ADA28" s="6">
        <f t="shared" si="48"/>
        <v>1</v>
      </c>
      <c r="ADB28" s="6">
        <f t="shared" si="49"/>
        <v>5</v>
      </c>
      <c r="ADC28" s="6">
        <f t="shared" si="50"/>
        <v>4</v>
      </c>
      <c r="ADD28">
        <v>2</v>
      </c>
      <c r="ADE28" s="1">
        <v>45082.488888888889</v>
      </c>
      <c r="ADF28" s="5">
        <v>2</v>
      </c>
      <c r="ADG28">
        <f t="shared" si="51"/>
        <v>3</v>
      </c>
      <c r="ADH28" s="5">
        <v>3</v>
      </c>
      <c r="ADI28">
        <f t="shared" si="52"/>
        <v>2</v>
      </c>
      <c r="ADJ28">
        <v>2</v>
      </c>
      <c r="ADK28">
        <v>2</v>
      </c>
      <c r="ADL28" s="5">
        <v>3</v>
      </c>
      <c r="ADM28">
        <f t="shared" si="3"/>
        <v>2</v>
      </c>
      <c r="ADN28">
        <v>1</v>
      </c>
      <c r="ADO28">
        <v>2</v>
      </c>
      <c r="ADP28" s="5">
        <v>2</v>
      </c>
      <c r="ADQ28">
        <f t="shared" si="4"/>
        <v>3</v>
      </c>
      <c r="ADR28">
        <v>1</v>
      </c>
      <c r="ADS28" s="5">
        <v>2</v>
      </c>
      <c r="ADT28">
        <f t="shared" si="5"/>
        <v>3</v>
      </c>
      <c r="ADU28" s="5">
        <v>2</v>
      </c>
      <c r="ADV28">
        <f t="shared" ref="ADV28" si="114">INDEX($AD$48:$AE$51, MATCH(ADU28, $AD$48:$AD$51, 0), 2)</f>
        <v>3</v>
      </c>
      <c r="ADW28">
        <v>1</v>
      </c>
      <c r="ADX28">
        <v>1</v>
      </c>
      <c r="ADY28">
        <v>1</v>
      </c>
      <c r="ADZ28" s="5">
        <v>2</v>
      </c>
      <c r="AEA28">
        <f t="shared" si="6"/>
        <v>3</v>
      </c>
      <c r="AEB28" s="5">
        <v>3</v>
      </c>
      <c r="AEC28">
        <f t="shared" ref="AEC28" si="115">INDEX($AD$48:$AE$51, MATCH(AEB28, $AD$48:$AD$51, 0), 2)</f>
        <v>2</v>
      </c>
      <c r="AED28">
        <v>3</v>
      </c>
      <c r="AEE28">
        <v>1</v>
      </c>
      <c r="AEF28" s="5">
        <v>2</v>
      </c>
      <c r="AEG28">
        <f t="shared" si="7"/>
        <v>3</v>
      </c>
      <c r="AEH28" s="5">
        <v>2</v>
      </c>
      <c r="AEI28">
        <f t="shared" si="8"/>
        <v>3</v>
      </c>
      <c r="AEJ28" s="6">
        <f t="shared" si="55"/>
        <v>45</v>
      </c>
      <c r="AEK28">
        <v>2</v>
      </c>
      <c r="AEL28" s="1">
        <v>45082.488888888889</v>
      </c>
      <c r="AEM28">
        <v>0</v>
      </c>
      <c r="AER28">
        <v>0</v>
      </c>
      <c r="AES28">
        <v>0</v>
      </c>
      <c r="AET28">
        <v>0</v>
      </c>
      <c r="AEU28">
        <v>0</v>
      </c>
      <c r="AEV28">
        <v>0</v>
      </c>
      <c r="AEX28">
        <v>2</v>
      </c>
    </row>
    <row r="29" spans="1:830">
      <c r="A29">
        <v>193</v>
      </c>
      <c r="B29" t="s">
        <v>1204</v>
      </c>
      <c r="C29">
        <v>2</v>
      </c>
      <c r="D29">
        <v>2</v>
      </c>
      <c r="E29">
        <v>24</v>
      </c>
      <c r="F29">
        <v>63</v>
      </c>
      <c r="G29">
        <v>165</v>
      </c>
      <c r="H29">
        <v>1</v>
      </c>
      <c r="I29">
        <v>3</v>
      </c>
      <c r="K29" t="s">
        <v>383</v>
      </c>
      <c r="L29">
        <v>2</v>
      </c>
      <c r="M29" s="1">
        <v>45068.308333333334</v>
      </c>
      <c r="N29">
        <v>8</v>
      </c>
      <c r="O29">
        <v>0</v>
      </c>
      <c r="Q29">
        <v>0</v>
      </c>
      <c r="R29">
        <v>0</v>
      </c>
      <c r="S29">
        <v>1</v>
      </c>
      <c r="T29">
        <v>0</v>
      </c>
      <c r="U29">
        <v>0</v>
      </c>
      <c r="V29">
        <v>0</v>
      </c>
      <c r="W29">
        <v>0</v>
      </c>
      <c r="X29">
        <v>0</v>
      </c>
      <c r="Y29">
        <v>0</v>
      </c>
      <c r="Z29">
        <v>0</v>
      </c>
      <c r="AA29">
        <v>0</v>
      </c>
      <c r="AB29">
        <v>1</v>
      </c>
      <c r="AC29">
        <v>2</v>
      </c>
      <c r="AD29" s="1">
        <v>45068.30972222222</v>
      </c>
      <c r="AE29" s="5">
        <v>2</v>
      </c>
      <c r="AF29">
        <f t="shared" si="9"/>
        <v>3</v>
      </c>
      <c r="AG29">
        <v>3</v>
      </c>
      <c r="AH29" s="5">
        <v>3</v>
      </c>
      <c r="AI29">
        <f t="shared" si="10"/>
        <v>2</v>
      </c>
      <c r="AJ29">
        <v>4</v>
      </c>
      <c r="AK29">
        <v>2</v>
      </c>
      <c r="AL29" s="5">
        <v>3</v>
      </c>
      <c r="AM29">
        <f t="shared" si="11"/>
        <v>2</v>
      </c>
      <c r="AN29" s="5">
        <v>2</v>
      </c>
      <c r="AO29">
        <f t="shared" si="12"/>
        <v>3</v>
      </c>
      <c r="AP29">
        <v>2</v>
      </c>
      <c r="AQ29">
        <v>3</v>
      </c>
      <c r="AR29" s="5">
        <v>3</v>
      </c>
      <c r="AS29">
        <f t="shared" si="13"/>
        <v>2</v>
      </c>
      <c r="AT29">
        <v>2</v>
      </c>
      <c r="AU29">
        <v>2</v>
      </c>
      <c r="AV29" s="5">
        <v>2</v>
      </c>
      <c r="AW29">
        <f t="shared" si="14"/>
        <v>3</v>
      </c>
      <c r="AX29" s="5">
        <v>3</v>
      </c>
      <c r="AY29">
        <f t="shared" si="15"/>
        <v>2</v>
      </c>
      <c r="AZ29">
        <v>2</v>
      </c>
      <c r="BA29" s="5">
        <v>2</v>
      </c>
      <c r="BB29">
        <f t="shared" si="16"/>
        <v>3</v>
      </c>
      <c r="BC29">
        <v>3</v>
      </c>
      <c r="BD29">
        <v>2</v>
      </c>
      <c r="BE29" s="5">
        <v>3</v>
      </c>
      <c r="BF29">
        <f t="shared" si="17"/>
        <v>2</v>
      </c>
      <c r="BG29">
        <v>3</v>
      </c>
      <c r="BH29" s="6">
        <f t="shared" si="18"/>
        <v>50</v>
      </c>
      <c r="BI29">
        <v>2</v>
      </c>
      <c r="BJ29" s="1">
        <v>45068.313888888886</v>
      </c>
      <c r="BK29" t="s">
        <v>208</v>
      </c>
      <c r="BL29">
        <v>2</v>
      </c>
      <c r="BM29">
        <v>2</v>
      </c>
      <c r="BQ29" s="2">
        <v>44985</v>
      </c>
      <c r="BU29">
        <v>45</v>
      </c>
      <c r="BV29">
        <v>5</v>
      </c>
      <c r="BW29">
        <v>3</v>
      </c>
      <c r="BX29">
        <v>2</v>
      </c>
      <c r="BY29" s="1">
        <v>45068.314583333333</v>
      </c>
      <c r="BZ29">
        <v>3</v>
      </c>
      <c r="CA29">
        <v>3</v>
      </c>
      <c r="CB29">
        <v>3</v>
      </c>
      <c r="CC29">
        <v>4</v>
      </c>
      <c r="CD29">
        <v>4</v>
      </c>
      <c r="CE29">
        <v>3</v>
      </c>
      <c r="CF29">
        <v>4</v>
      </c>
      <c r="CG29">
        <v>4</v>
      </c>
      <c r="CH29">
        <v>3</v>
      </c>
      <c r="CI29">
        <v>4</v>
      </c>
      <c r="CJ29">
        <v>2</v>
      </c>
      <c r="CK29">
        <v>4</v>
      </c>
      <c r="CL29" s="5">
        <v>2</v>
      </c>
      <c r="CM29">
        <f t="shared" si="19"/>
        <v>3</v>
      </c>
      <c r="CN29">
        <v>3</v>
      </c>
      <c r="CO29">
        <v>4</v>
      </c>
      <c r="CP29">
        <v>3</v>
      </c>
      <c r="CQ29">
        <v>3</v>
      </c>
      <c r="CR29" s="5">
        <v>2</v>
      </c>
      <c r="CS29">
        <f t="shared" si="20"/>
        <v>3</v>
      </c>
      <c r="CT29">
        <v>4</v>
      </c>
      <c r="CU29">
        <v>3</v>
      </c>
      <c r="CV29" s="6">
        <f t="shared" si="21"/>
        <v>12</v>
      </c>
      <c r="CW29" s="6">
        <f t="shared" si="22"/>
        <v>12</v>
      </c>
      <c r="CX29" s="6">
        <f t="shared" si="23"/>
        <v>18</v>
      </c>
      <c r="CY29" s="6">
        <f t="shared" si="24"/>
        <v>42</v>
      </c>
      <c r="CZ29" s="6">
        <f t="shared" si="25"/>
        <v>25</v>
      </c>
      <c r="DA29">
        <v>2</v>
      </c>
      <c r="DB29" s="1">
        <v>45068.316666666666</v>
      </c>
      <c r="DC29">
        <v>1</v>
      </c>
      <c r="DD29">
        <v>0</v>
      </c>
      <c r="DE29">
        <v>0</v>
      </c>
      <c r="DF29">
        <v>0</v>
      </c>
      <c r="DG29">
        <v>0</v>
      </c>
      <c r="DH29">
        <v>0</v>
      </c>
      <c r="DI29">
        <v>0</v>
      </c>
      <c r="DJ29">
        <v>1</v>
      </c>
      <c r="DK29">
        <v>0</v>
      </c>
      <c r="DL29">
        <v>0</v>
      </c>
      <c r="DM29">
        <v>1</v>
      </c>
      <c r="DN29">
        <v>0</v>
      </c>
      <c r="DO29">
        <v>0</v>
      </c>
      <c r="DP29">
        <v>0</v>
      </c>
      <c r="DQ29">
        <v>0</v>
      </c>
      <c r="DR29">
        <v>0</v>
      </c>
      <c r="DS29">
        <v>0</v>
      </c>
      <c r="DT29">
        <v>1</v>
      </c>
      <c r="DU29">
        <v>0</v>
      </c>
      <c r="DV29">
        <v>0</v>
      </c>
      <c r="DW29">
        <v>0</v>
      </c>
      <c r="DX29">
        <v>1</v>
      </c>
      <c r="DY29">
        <v>0</v>
      </c>
      <c r="DZ29">
        <v>0</v>
      </c>
      <c r="EA29">
        <v>0</v>
      </c>
      <c r="EB29">
        <v>0</v>
      </c>
      <c r="EC29">
        <v>0</v>
      </c>
      <c r="ED29">
        <v>1</v>
      </c>
      <c r="EE29">
        <v>0</v>
      </c>
      <c r="EF29">
        <v>0</v>
      </c>
      <c r="EG29">
        <v>0</v>
      </c>
      <c r="EH29">
        <v>0</v>
      </c>
      <c r="EI29">
        <v>1</v>
      </c>
      <c r="EJ29">
        <v>0</v>
      </c>
      <c r="EK29">
        <v>0</v>
      </c>
      <c r="EL29">
        <v>1</v>
      </c>
      <c r="EM29">
        <v>0</v>
      </c>
      <c r="EN29">
        <v>0</v>
      </c>
      <c r="EO29">
        <v>0</v>
      </c>
      <c r="EP29">
        <v>0</v>
      </c>
      <c r="EQ29">
        <v>1</v>
      </c>
      <c r="ER29">
        <v>0</v>
      </c>
      <c r="ES29">
        <v>0</v>
      </c>
      <c r="ET29">
        <v>0</v>
      </c>
      <c r="EU29">
        <v>0</v>
      </c>
      <c r="EV29">
        <v>0</v>
      </c>
      <c r="EW29">
        <v>0</v>
      </c>
      <c r="EX29">
        <v>1</v>
      </c>
      <c r="EY29">
        <v>0</v>
      </c>
      <c r="EZ29">
        <v>0</v>
      </c>
      <c r="FA29">
        <v>0</v>
      </c>
      <c r="FB29">
        <v>0</v>
      </c>
      <c r="FC29">
        <v>0</v>
      </c>
      <c r="FD29">
        <v>0</v>
      </c>
      <c r="FE29">
        <v>1</v>
      </c>
      <c r="FF29">
        <v>0</v>
      </c>
      <c r="FG29">
        <v>1</v>
      </c>
      <c r="FH29">
        <v>0</v>
      </c>
      <c r="FI29">
        <v>0</v>
      </c>
      <c r="FJ29">
        <v>0</v>
      </c>
      <c r="FK29">
        <v>0</v>
      </c>
      <c r="FL29">
        <v>0</v>
      </c>
      <c r="FM29">
        <v>0</v>
      </c>
      <c r="FN29">
        <v>0</v>
      </c>
      <c r="FO29">
        <v>1</v>
      </c>
      <c r="FP29">
        <v>0</v>
      </c>
      <c r="FQ29">
        <v>1</v>
      </c>
      <c r="FR29">
        <v>0</v>
      </c>
      <c r="FS29">
        <v>0</v>
      </c>
      <c r="FT29">
        <v>0</v>
      </c>
      <c r="FU29">
        <v>0</v>
      </c>
      <c r="FV29">
        <v>1</v>
      </c>
      <c r="FW29">
        <v>0</v>
      </c>
      <c r="FX29">
        <v>0</v>
      </c>
      <c r="FY29">
        <v>0</v>
      </c>
      <c r="FZ29">
        <v>0</v>
      </c>
      <c r="GA29">
        <v>0</v>
      </c>
      <c r="GB29">
        <v>0</v>
      </c>
      <c r="GC29">
        <v>0</v>
      </c>
      <c r="GD29">
        <v>1</v>
      </c>
      <c r="GE29">
        <v>0</v>
      </c>
      <c r="GF29">
        <v>0</v>
      </c>
      <c r="GG29">
        <v>0</v>
      </c>
      <c r="GH29">
        <v>0</v>
      </c>
      <c r="GI29">
        <v>1</v>
      </c>
      <c r="GJ29" s="6">
        <f t="shared" si="26"/>
        <v>17</v>
      </c>
      <c r="GK29">
        <v>2</v>
      </c>
      <c r="GL29" s="1">
        <v>45068.316666666666</v>
      </c>
      <c r="GM29">
        <v>0</v>
      </c>
      <c r="GQ29" s="5"/>
      <c r="GV29" s="5"/>
      <c r="HA29" s="5"/>
      <c r="HF29" s="5"/>
      <c r="HI29" s="6"/>
      <c r="HJ29" s="6"/>
      <c r="HK29" s="6"/>
      <c r="HL29">
        <v>2</v>
      </c>
      <c r="HM29" s="1">
        <v>45068.317361111112</v>
      </c>
      <c r="HN29">
        <v>10</v>
      </c>
      <c r="HO29">
        <v>6</v>
      </c>
      <c r="HP29">
        <v>11</v>
      </c>
      <c r="HQ29">
        <v>2</v>
      </c>
      <c r="HR29" s="1">
        <v>45070.527083333334</v>
      </c>
      <c r="HS29">
        <v>1</v>
      </c>
      <c r="HT29">
        <v>1</v>
      </c>
      <c r="HU29">
        <v>1</v>
      </c>
      <c r="HV29">
        <v>0</v>
      </c>
      <c r="HW29">
        <v>2</v>
      </c>
      <c r="HX29">
        <v>0</v>
      </c>
      <c r="HY29">
        <v>1</v>
      </c>
      <c r="HZ29">
        <v>1</v>
      </c>
      <c r="IA29">
        <v>0</v>
      </c>
      <c r="IB29">
        <v>0</v>
      </c>
      <c r="IC29">
        <v>0</v>
      </c>
      <c r="ID29">
        <v>1</v>
      </c>
      <c r="IE29">
        <v>1</v>
      </c>
      <c r="IF29">
        <v>1</v>
      </c>
      <c r="IG29">
        <v>1</v>
      </c>
      <c r="IH29">
        <v>0</v>
      </c>
      <c r="II29">
        <v>0</v>
      </c>
      <c r="IJ29">
        <v>1</v>
      </c>
      <c r="IK29">
        <v>2</v>
      </c>
      <c r="IL29">
        <v>1</v>
      </c>
      <c r="IM29">
        <v>1</v>
      </c>
      <c r="IN29" s="6">
        <f t="shared" si="31"/>
        <v>16</v>
      </c>
      <c r="IO29">
        <v>2</v>
      </c>
      <c r="IP29" s="1">
        <v>45070.527083333334</v>
      </c>
      <c r="IQ29">
        <v>0</v>
      </c>
      <c r="IR29">
        <v>0</v>
      </c>
      <c r="IS29">
        <v>0</v>
      </c>
      <c r="IT29">
        <v>0</v>
      </c>
      <c r="IU29">
        <v>0</v>
      </c>
      <c r="IV29">
        <v>0</v>
      </c>
      <c r="IW29">
        <v>0</v>
      </c>
      <c r="IX29">
        <v>0</v>
      </c>
      <c r="IY29">
        <v>0</v>
      </c>
      <c r="IZ29">
        <v>0</v>
      </c>
      <c r="JA29">
        <v>0</v>
      </c>
      <c r="JB29">
        <v>0</v>
      </c>
      <c r="JC29">
        <v>0</v>
      </c>
      <c r="JD29">
        <v>0</v>
      </c>
      <c r="JE29">
        <v>0</v>
      </c>
      <c r="JF29">
        <v>0</v>
      </c>
      <c r="JG29">
        <v>0</v>
      </c>
      <c r="JH29">
        <v>0</v>
      </c>
      <c r="JI29">
        <v>0</v>
      </c>
      <c r="JJ29">
        <v>1</v>
      </c>
      <c r="JT29" s="6">
        <f t="shared" si="32"/>
        <v>0</v>
      </c>
      <c r="JU29" s="6"/>
      <c r="JV29" s="6"/>
      <c r="JW29" s="6"/>
      <c r="JX29">
        <v>2</v>
      </c>
      <c r="JY29" s="1">
        <v>45070.527777777781</v>
      </c>
      <c r="JZ29">
        <v>0</v>
      </c>
      <c r="KA29">
        <v>0</v>
      </c>
      <c r="KB29">
        <v>0</v>
      </c>
      <c r="KC29" s="6">
        <f t="shared" si="35"/>
        <v>0</v>
      </c>
      <c r="KD29">
        <v>2</v>
      </c>
      <c r="KE29" s="1">
        <v>45070.527777777781</v>
      </c>
      <c r="KF29" s="6">
        <v>47.4</v>
      </c>
      <c r="KG29" s="6">
        <v>2.2999999999999998</v>
      </c>
      <c r="KP29">
        <v>2</v>
      </c>
      <c r="UH29">
        <v>1</v>
      </c>
      <c r="UX29">
        <v>2</v>
      </c>
      <c r="XN29" s="6">
        <v>2</v>
      </c>
      <c r="YX29">
        <v>2</v>
      </c>
      <c r="YY29" s="6">
        <v>47.4</v>
      </c>
      <c r="YZ29" s="6">
        <v>2.2999999999999998</v>
      </c>
      <c r="ZB29">
        <v>2</v>
      </c>
      <c r="ZC29" s="1">
        <v>45102.661111111112</v>
      </c>
      <c r="ZD29">
        <v>4</v>
      </c>
      <c r="ZE29">
        <v>2</v>
      </c>
      <c r="ZF29">
        <v>4</v>
      </c>
      <c r="ZG29">
        <v>2</v>
      </c>
      <c r="ZH29">
        <v>3</v>
      </c>
      <c r="ZI29">
        <v>2</v>
      </c>
      <c r="ZJ29">
        <v>1</v>
      </c>
      <c r="ZK29">
        <v>1</v>
      </c>
      <c r="ZL29">
        <v>4</v>
      </c>
      <c r="ZM29">
        <v>1</v>
      </c>
      <c r="ZN29">
        <v>1</v>
      </c>
      <c r="ZO29">
        <v>4</v>
      </c>
      <c r="ZP29">
        <v>4</v>
      </c>
      <c r="ZQ29">
        <v>2</v>
      </c>
      <c r="ZR29">
        <v>3</v>
      </c>
      <c r="ZS29">
        <v>3</v>
      </c>
      <c r="ZT29">
        <v>3</v>
      </c>
      <c r="ZU29">
        <v>2</v>
      </c>
      <c r="ZV29">
        <v>3</v>
      </c>
      <c r="ZW29">
        <v>2</v>
      </c>
      <c r="ZX29" s="6">
        <f t="shared" si="36"/>
        <v>31</v>
      </c>
      <c r="ZY29" s="6">
        <f t="shared" si="37"/>
        <v>20</v>
      </c>
      <c r="ZZ29">
        <v>2</v>
      </c>
      <c r="AAA29" s="1">
        <v>45070.529861111114</v>
      </c>
      <c r="AAB29">
        <v>1</v>
      </c>
      <c r="AAC29">
        <v>0</v>
      </c>
      <c r="AAD29">
        <v>1</v>
      </c>
      <c r="AAE29">
        <v>0</v>
      </c>
      <c r="AAF29">
        <v>1</v>
      </c>
      <c r="AAG29">
        <v>1</v>
      </c>
      <c r="AAH29">
        <v>0</v>
      </c>
      <c r="AAI29">
        <v>1</v>
      </c>
      <c r="AAJ29">
        <v>1</v>
      </c>
      <c r="AAK29">
        <v>2</v>
      </c>
      <c r="AAL29">
        <v>1</v>
      </c>
      <c r="AAM29">
        <v>0</v>
      </c>
      <c r="AAN29">
        <v>1</v>
      </c>
      <c r="AAO29">
        <v>1</v>
      </c>
      <c r="AAP29">
        <v>0</v>
      </c>
      <c r="AAQ29">
        <v>1</v>
      </c>
      <c r="AAR29">
        <v>0</v>
      </c>
      <c r="AAS29">
        <v>0</v>
      </c>
      <c r="AAT29" s="6">
        <f t="shared" si="38"/>
        <v>5</v>
      </c>
      <c r="AAU29" s="6">
        <f t="shared" si="39"/>
        <v>4</v>
      </c>
      <c r="AAV29" s="6">
        <f t="shared" si="40"/>
        <v>3</v>
      </c>
      <c r="AAW29" s="6">
        <f t="shared" si="41"/>
        <v>12</v>
      </c>
      <c r="AAX29">
        <v>2</v>
      </c>
      <c r="AAY29" s="1">
        <v>45070.530555555553</v>
      </c>
      <c r="AAZ29">
        <v>0</v>
      </c>
      <c r="ABO29" s="6"/>
      <c r="ABP29" s="6"/>
      <c r="ABQ29">
        <v>2</v>
      </c>
      <c r="ABS29">
        <v>0</v>
      </c>
      <c r="ABT29">
        <v>0</v>
      </c>
      <c r="ABU29">
        <v>1</v>
      </c>
      <c r="ABV29">
        <v>2</v>
      </c>
      <c r="ABW29">
        <v>0</v>
      </c>
      <c r="ABX29">
        <v>0</v>
      </c>
      <c r="ABY29">
        <v>0</v>
      </c>
      <c r="ABZ29">
        <v>1</v>
      </c>
      <c r="ACA29">
        <v>0</v>
      </c>
      <c r="ACB29">
        <v>2</v>
      </c>
      <c r="ACC29">
        <v>0</v>
      </c>
      <c r="ACD29">
        <v>0</v>
      </c>
      <c r="ACE29">
        <v>1</v>
      </c>
      <c r="ACF29">
        <v>0</v>
      </c>
      <c r="ACG29">
        <v>0</v>
      </c>
      <c r="ACH29">
        <v>0</v>
      </c>
      <c r="ACI29">
        <v>0</v>
      </c>
      <c r="ACJ29">
        <v>0</v>
      </c>
      <c r="ACK29">
        <v>1</v>
      </c>
      <c r="ACL29">
        <v>0</v>
      </c>
      <c r="ACM29">
        <v>0</v>
      </c>
      <c r="ACN29">
        <v>1</v>
      </c>
      <c r="ACO29">
        <v>1</v>
      </c>
      <c r="ACP29">
        <v>0</v>
      </c>
      <c r="ACQ29">
        <v>0</v>
      </c>
      <c r="ACR29">
        <v>2</v>
      </c>
      <c r="ACS29">
        <v>1</v>
      </c>
      <c r="ACT29">
        <v>0</v>
      </c>
      <c r="ACU29">
        <v>1</v>
      </c>
      <c r="ACV29">
        <v>0</v>
      </c>
      <c r="ACW29" s="6">
        <f t="shared" si="44"/>
        <v>0</v>
      </c>
      <c r="ACX29" s="6">
        <f t="shared" si="45"/>
        <v>0</v>
      </c>
      <c r="ACY29" s="6">
        <f t="shared" si="46"/>
        <v>0</v>
      </c>
      <c r="ACZ29" s="6">
        <f t="shared" si="47"/>
        <v>5</v>
      </c>
      <c r="ADA29" s="6">
        <f t="shared" si="48"/>
        <v>3</v>
      </c>
      <c r="ADB29" s="6">
        <f t="shared" si="49"/>
        <v>6</v>
      </c>
      <c r="ADC29" s="6">
        <f t="shared" si="50"/>
        <v>2</v>
      </c>
      <c r="ADD29">
        <v>2</v>
      </c>
      <c r="ADE29" s="1">
        <v>45070.531944444447</v>
      </c>
      <c r="ADF29" s="5">
        <v>3</v>
      </c>
      <c r="ADG29">
        <f t="shared" si="51"/>
        <v>2</v>
      </c>
      <c r="ADH29" s="5">
        <v>3</v>
      </c>
      <c r="ADI29">
        <f t="shared" si="52"/>
        <v>2</v>
      </c>
      <c r="ADJ29">
        <v>1</v>
      </c>
      <c r="ADK29">
        <v>1</v>
      </c>
      <c r="ADL29" s="5">
        <v>3</v>
      </c>
      <c r="ADM29">
        <f t="shared" si="3"/>
        <v>2</v>
      </c>
      <c r="ADN29">
        <v>1</v>
      </c>
      <c r="ADO29">
        <v>2</v>
      </c>
      <c r="ADP29" s="5">
        <v>2</v>
      </c>
      <c r="ADQ29">
        <f t="shared" si="4"/>
        <v>3</v>
      </c>
      <c r="ADR29">
        <v>1</v>
      </c>
      <c r="ADS29" s="5">
        <v>2</v>
      </c>
      <c r="ADT29">
        <f t="shared" si="5"/>
        <v>3</v>
      </c>
      <c r="ADU29" s="5">
        <v>2</v>
      </c>
      <c r="ADV29">
        <f t="shared" ref="ADV29" si="116">INDEX($AD$48:$AE$51, MATCH(ADU29, $AD$48:$AD$51, 0), 2)</f>
        <v>3</v>
      </c>
      <c r="ADW29">
        <v>1</v>
      </c>
      <c r="ADX29">
        <v>2</v>
      </c>
      <c r="ADY29">
        <v>1</v>
      </c>
      <c r="ADZ29" s="5">
        <v>2</v>
      </c>
      <c r="AEA29">
        <f t="shared" si="6"/>
        <v>3</v>
      </c>
      <c r="AEB29" s="5">
        <v>2</v>
      </c>
      <c r="AEC29">
        <f t="shared" ref="AEC29" si="117">INDEX($AD$48:$AE$51, MATCH(AEB29, $AD$48:$AD$51, 0), 2)</f>
        <v>3</v>
      </c>
      <c r="AED29">
        <v>2</v>
      </c>
      <c r="AEE29">
        <v>1</v>
      </c>
      <c r="AEF29" s="5">
        <v>2</v>
      </c>
      <c r="AEG29">
        <f t="shared" si="7"/>
        <v>3</v>
      </c>
      <c r="AEH29" s="5">
        <v>3</v>
      </c>
      <c r="AEI29">
        <f t="shared" si="8"/>
        <v>2</v>
      </c>
      <c r="AEJ29" s="6">
        <f t="shared" si="55"/>
        <v>42</v>
      </c>
      <c r="AEK29">
        <v>2</v>
      </c>
      <c r="AEL29" s="1">
        <v>45070.531944444447</v>
      </c>
      <c r="AEM29">
        <v>0</v>
      </c>
      <c r="AER29">
        <v>0</v>
      </c>
      <c r="AES29">
        <v>0</v>
      </c>
      <c r="AET29">
        <v>0</v>
      </c>
      <c r="AEU29">
        <v>0</v>
      </c>
      <c r="AEV29">
        <v>0</v>
      </c>
      <c r="AEX29">
        <v>2</v>
      </c>
    </row>
    <row r="30" spans="1:830">
      <c r="A30">
        <v>195</v>
      </c>
      <c r="B30" t="s">
        <v>1206</v>
      </c>
      <c r="C30">
        <v>2</v>
      </c>
      <c r="D30">
        <v>1</v>
      </c>
      <c r="E30">
        <v>34</v>
      </c>
      <c r="F30">
        <v>64</v>
      </c>
      <c r="G30">
        <v>107</v>
      </c>
      <c r="H30">
        <v>0</v>
      </c>
      <c r="I30">
        <v>3</v>
      </c>
      <c r="K30" t="s">
        <v>439</v>
      </c>
      <c r="L30">
        <v>2</v>
      </c>
      <c r="M30" s="1">
        <v>45068.48333333333</v>
      </c>
      <c r="N30">
        <v>5</v>
      </c>
      <c r="O30">
        <v>0</v>
      </c>
      <c r="Q30">
        <v>0</v>
      </c>
      <c r="R30">
        <v>0</v>
      </c>
      <c r="S30">
        <v>0</v>
      </c>
      <c r="T30">
        <v>0</v>
      </c>
      <c r="U30">
        <v>0</v>
      </c>
      <c r="V30">
        <v>0</v>
      </c>
      <c r="W30">
        <v>0</v>
      </c>
      <c r="X30">
        <v>0</v>
      </c>
      <c r="Y30">
        <v>0</v>
      </c>
      <c r="Z30">
        <v>1</v>
      </c>
      <c r="AA30">
        <v>0</v>
      </c>
      <c r="AB30">
        <v>2</v>
      </c>
      <c r="AC30">
        <v>2</v>
      </c>
      <c r="AD30" s="1">
        <v>45068.647916666669</v>
      </c>
      <c r="AE30" s="5">
        <v>1</v>
      </c>
      <c r="AF30">
        <f t="shared" si="9"/>
        <v>4</v>
      </c>
      <c r="AG30">
        <v>3</v>
      </c>
      <c r="AH30" s="5">
        <v>1</v>
      </c>
      <c r="AI30">
        <f t="shared" si="10"/>
        <v>4</v>
      </c>
      <c r="AJ30">
        <v>4</v>
      </c>
      <c r="AK30">
        <v>2</v>
      </c>
      <c r="AL30" s="5">
        <v>1</v>
      </c>
      <c r="AM30">
        <f t="shared" si="11"/>
        <v>4</v>
      </c>
      <c r="AN30" s="5">
        <v>3</v>
      </c>
      <c r="AO30">
        <f t="shared" si="12"/>
        <v>2</v>
      </c>
      <c r="AP30">
        <v>3</v>
      </c>
      <c r="AQ30">
        <v>2</v>
      </c>
      <c r="AR30" s="5">
        <v>2</v>
      </c>
      <c r="AS30">
        <f t="shared" si="13"/>
        <v>3</v>
      </c>
      <c r="AT30">
        <v>2</v>
      </c>
      <c r="AU30">
        <v>4</v>
      </c>
      <c r="AV30" s="5">
        <v>2</v>
      </c>
      <c r="AW30">
        <f t="shared" si="14"/>
        <v>3</v>
      </c>
      <c r="AX30" s="5">
        <v>1</v>
      </c>
      <c r="AY30">
        <f t="shared" si="15"/>
        <v>4</v>
      </c>
      <c r="AZ30">
        <v>4</v>
      </c>
      <c r="BA30" s="5">
        <v>1</v>
      </c>
      <c r="BB30">
        <f t="shared" si="16"/>
        <v>4</v>
      </c>
      <c r="BC30">
        <v>4</v>
      </c>
      <c r="BD30">
        <v>4</v>
      </c>
      <c r="BE30" s="5">
        <v>4</v>
      </c>
      <c r="BF30">
        <f t="shared" si="17"/>
        <v>1</v>
      </c>
      <c r="BG30">
        <v>4</v>
      </c>
      <c r="BH30" s="6">
        <f t="shared" si="18"/>
        <v>65</v>
      </c>
      <c r="BI30">
        <v>2</v>
      </c>
      <c r="BJ30" s="1">
        <v>45068.650694444441</v>
      </c>
      <c r="BK30">
        <v>10</v>
      </c>
      <c r="BL30">
        <v>2</v>
      </c>
      <c r="BM30">
        <v>2</v>
      </c>
      <c r="BQ30" s="2">
        <v>44928</v>
      </c>
      <c r="BU30" t="s">
        <v>440</v>
      </c>
      <c r="BV30" t="s">
        <v>441</v>
      </c>
      <c r="BW30">
        <v>3</v>
      </c>
      <c r="BX30">
        <v>2</v>
      </c>
      <c r="BY30" s="1">
        <v>45068.65347222222</v>
      </c>
      <c r="BZ30">
        <v>3</v>
      </c>
      <c r="CA30">
        <v>4</v>
      </c>
      <c r="CB30">
        <v>2</v>
      </c>
      <c r="CC30">
        <v>4</v>
      </c>
      <c r="CD30">
        <v>4</v>
      </c>
      <c r="CE30">
        <v>3</v>
      </c>
      <c r="CF30">
        <v>4</v>
      </c>
      <c r="CG30">
        <v>4</v>
      </c>
      <c r="CH30">
        <v>3</v>
      </c>
      <c r="CI30">
        <v>4</v>
      </c>
      <c r="CJ30">
        <v>2</v>
      </c>
      <c r="CK30">
        <v>4</v>
      </c>
      <c r="CL30" s="5">
        <v>1</v>
      </c>
      <c r="CM30">
        <f t="shared" si="19"/>
        <v>4</v>
      </c>
      <c r="CN30">
        <v>2</v>
      </c>
      <c r="CO30">
        <v>4</v>
      </c>
      <c r="CP30">
        <v>4</v>
      </c>
      <c r="CQ30">
        <v>2</v>
      </c>
      <c r="CR30" s="5">
        <v>3</v>
      </c>
      <c r="CS30">
        <f t="shared" si="20"/>
        <v>2</v>
      </c>
      <c r="CT30">
        <v>2</v>
      </c>
      <c r="CU30">
        <v>2</v>
      </c>
      <c r="CV30" s="6">
        <f t="shared" si="21"/>
        <v>9</v>
      </c>
      <c r="CW30" s="6">
        <f t="shared" si="22"/>
        <v>13</v>
      </c>
      <c r="CX30" s="6">
        <f t="shared" si="23"/>
        <v>15</v>
      </c>
      <c r="CY30" s="6">
        <f t="shared" si="24"/>
        <v>37</v>
      </c>
      <c r="CZ30" s="6">
        <f t="shared" si="25"/>
        <v>26</v>
      </c>
      <c r="DA30">
        <v>2</v>
      </c>
      <c r="DB30" s="1">
        <v>45068.656944444447</v>
      </c>
      <c r="DC30">
        <v>0</v>
      </c>
      <c r="DD30">
        <v>0</v>
      </c>
      <c r="DE30">
        <v>1</v>
      </c>
      <c r="DF30">
        <v>0</v>
      </c>
      <c r="DG30">
        <v>1</v>
      </c>
      <c r="DH30">
        <v>1</v>
      </c>
      <c r="DI30">
        <v>0</v>
      </c>
      <c r="DJ30">
        <v>0</v>
      </c>
      <c r="DK30">
        <v>0</v>
      </c>
      <c r="DL30">
        <v>0</v>
      </c>
      <c r="DM30">
        <v>1</v>
      </c>
      <c r="DN30">
        <v>0</v>
      </c>
      <c r="DO30">
        <v>1</v>
      </c>
      <c r="DP30">
        <v>0</v>
      </c>
      <c r="DQ30">
        <v>0</v>
      </c>
      <c r="DR30">
        <v>0</v>
      </c>
      <c r="DS30">
        <v>0</v>
      </c>
      <c r="DT30">
        <v>0</v>
      </c>
      <c r="DU30">
        <v>1</v>
      </c>
      <c r="DV30">
        <v>0</v>
      </c>
      <c r="DW30">
        <v>1</v>
      </c>
      <c r="DX30">
        <v>0</v>
      </c>
      <c r="DY30">
        <v>0</v>
      </c>
      <c r="DZ30">
        <v>0</v>
      </c>
      <c r="EA30">
        <v>0</v>
      </c>
      <c r="EB30">
        <v>1</v>
      </c>
      <c r="EC30">
        <v>1</v>
      </c>
      <c r="ED30">
        <v>0</v>
      </c>
      <c r="EE30">
        <v>0</v>
      </c>
      <c r="EF30">
        <v>0</v>
      </c>
      <c r="EG30">
        <v>1</v>
      </c>
      <c r="EH30">
        <v>1</v>
      </c>
      <c r="EI30">
        <v>0</v>
      </c>
      <c r="EJ30">
        <v>0</v>
      </c>
      <c r="EK30">
        <v>0</v>
      </c>
      <c r="EL30">
        <v>0</v>
      </c>
      <c r="EM30">
        <v>0</v>
      </c>
      <c r="EN30">
        <v>0</v>
      </c>
      <c r="EO30">
        <v>1</v>
      </c>
      <c r="EP30">
        <v>0</v>
      </c>
      <c r="EQ30">
        <v>1</v>
      </c>
      <c r="ER30">
        <v>0</v>
      </c>
      <c r="ES30">
        <v>0</v>
      </c>
      <c r="ET30">
        <v>0</v>
      </c>
      <c r="EU30">
        <v>0</v>
      </c>
      <c r="EV30">
        <v>0</v>
      </c>
      <c r="EW30">
        <v>0</v>
      </c>
      <c r="EX30">
        <v>0</v>
      </c>
      <c r="EY30">
        <v>0</v>
      </c>
      <c r="EZ30">
        <v>1</v>
      </c>
      <c r="FA30">
        <v>0</v>
      </c>
      <c r="FB30">
        <v>0</v>
      </c>
      <c r="FC30">
        <v>0</v>
      </c>
      <c r="FD30">
        <v>0</v>
      </c>
      <c r="FE30">
        <v>1</v>
      </c>
      <c r="FF30">
        <v>0</v>
      </c>
      <c r="FG30">
        <v>1</v>
      </c>
      <c r="FH30">
        <v>0</v>
      </c>
      <c r="FI30">
        <v>0</v>
      </c>
      <c r="FJ30">
        <v>0</v>
      </c>
      <c r="FK30">
        <v>0</v>
      </c>
      <c r="FL30">
        <v>0</v>
      </c>
      <c r="FM30">
        <v>0</v>
      </c>
      <c r="FN30">
        <v>0</v>
      </c>
      <c r="FO30">
        <v>1</v>
      </c>
      <c r="FP30">
        <v>0</v>
      </c>
      <c r="FQ30">
        <v>0</v>
      </c>
      <c r="FR30">
        <v>1</v>
      </c>
      <c r="FS30">
        <v>0</v>
      </c>
      <c r="FT30">
        <v>1</v>
      </c>
      <c r="FU30">
        <v>1</v>
      </c>
      <c r="FV30">
        <v>0</v>
      </c>
      <c r="FW30">
        <v>0</v>
      </c>
      <c r="FX30">
        <v>0</v>
      </c>
      <c r="FY30">
        <v>0</v>
      </c>
      <c r="FZ30">
        <v>0</v>
      </c>
      <c r="GA30">
        <v>0</v>
      </c>
      <c r="GB30">
        <v>0</v>
      </c>
      <c r="GC30">
        <v>0</v>
      </c>
      <c r="GD30">
        <v>1</v>
      </c>
      <c r="GE30">
        <v>1</v>
      </c>
      <c r="GF30">
        <v>0</v>
      </c>
      <c r="GG30">
        <v>0</v>
      </c>
      <c r="GH30">
        <v>0</v>
      </c>
      <c r="GI30">
        <v>0</v>
      </c>
      <c r="GJ30" s="6">
        <f t="shared" si="26"/>
        <v>22</v>
      </c>
      <c r="GK30">
        <v>2</v>
      </c>
      <c r="GL30" s="1">
        <v>45068.657638888886</v>
      </c>
      <c r="GM30">
        <v>0</v>
      </c>
      <c r="GQ30" s="5"/>
      <c r="GV30" s="5"/>
      <c r="HA30" s="5"/>
      <c r="HF30" s="5"/>
      <c r="HI30" s="6"/>
      <c r="HJ30" s="6"/>
      <c r="HK30" s="6"/>
      <c r="HL30">
        <v>2</v>
      </c>
      <c r="HM30" s="1">
        <v>45068.659722222219</v>
      </c>
      <c r="HN30">
        <v>2</v>
      </c>
      <c r="HO30">
        <v>4</v>
      </c>
      <c r="HP30">
        <v>1</v>
      </c>
      <c r="HQ30">
        <v>2</v>
      </c>
      <c r="HR30" s="1">
        <v>45068.663888888892</v>
      </c>
      <c r="HS30">
        <v>3</v>
      </c>
      <c r="HT30">
        <v>2</v>
      </c>
      <c r="HU30">
        <v>3</v>
      </c>
      <c r="HV30">
        <v>2</v>
      </c>
      <c r="HW30">
        <v>2</v>
      </c>
      <c r="HX30">
        <v>0</v>
      </c>
      <c r="HY30">
        <v>2</v>
      </c>
      <c r="HZ30">
        <v>2</v>
      </c>
      <c r="IA30">
        <v>0</v>
      </c>
      <c r="IB30">
        <v>1</v>
      </c>
      <c r="IC30">
        <v>2</v>
      </c>
      <c r="ID30">
        <v>3</v>
      </c>
      <c r="IE30">
        <v>3</v>
      </c>
      <c r="IF30">
        <v>2</v>
      </c>
      <c r="IG30">
        <v>2</v>
      </c>
      <c r="IH30">
        <v>3</v>
      </c>
      <c r="II30">
        <v>2</v>
      </c>
      <c r="IJ30">
        <v>0</v>
      </c>
      <c r="IK30">
        <v>1</v>
      </c>
      <c r="IL30">
        <v>3</v>
      </c>
      <c r="IM30">
        <v>0</v>
      </c>
      <c r="IN30" s="6">
        <f t="shared" si="31"/>
        <v>38</v>
      </c>
      <c r="IO30">
        <v>2</v>
      </c>
      <c r="IP30" s="1">
        <v>45068.664583333331</v>
      </c>
      <c r="IQ30">
        <v>0</v>
      </c>
      <c r="IR30">
        <v>0</v>
      </c>
      <c r="IS30">
        <v>0</v>
      </c>
      <c r="IT30">
        <v>0</v>
      </c>
      <c r="IU30">
        <v>0</v>
      </c>
      <c r="IV30">
        <v>0</v>
      </c>
      <c r="IW30">
        <v>0</v>
      </c>
      <c r="IX30">
        <v>0</v>
      </c>
      <c r="IY30">
        <v>0</v>
      </c>
      <c r="IZ30">
        <v>0</v>
      </c>
      <c r="JA30">
        <v>0</v>
      </c>
      <c r="JB30">
        <v>0</v>
      </c>
      <c r="JC30">
        <v>0</v>
      </c>
      <c r="JD30">
        <v>0</v>
      </c>
      <c r="JE30">
        <v>0</v>
      </c>
      <c r="JF30">
        <v>0</v>
      </c>
      <c r="JG30">
        <v>0</v>
      </c>
      <c r="JH30">
        <v>0</v>
      </c>
      <c r="JI30">
        <v>0</v>
      </c>
      <c r="JJ30">
        <v>1</v>
      </c>
      <c r="JT30" s="6">
        <f t="shared" si="32"/>
        <v>0</v>
      </c>
      <c r="JU30" s="6"/>
      <c r="JV30" s="6"/>
      <c r="JW30" s="6"/>
      <c r="JX30">
        <v>2</v>
      </c>
      <c r="JY30" s="1">
        <v>45068.664583333331</v>
      </c>
      <c r="JZ30">
        <v>0</v>
      </c>
      <c r="KA30">
        <v>0</v>
      </c>
      <c r="KB30">
        <v>0</v>
      </c>
      <c r="KC30" s="6">
        <f t="shared" si="35"/>
        <v>0</v>
      </c>
      <c r="KD30">
        <v>2</v>
      </c>
      <c r="KE30" s="1">
        <v>45068.665277777778</v>
      </c>
      <c r="KF30" s="6">
        <v>66.099999999999994</v>
      </c>
      <c r="KG30" s="6">
        <v>2.4</v>
      </c>
      <c r="KP30">
        <v>4</v>
      </c>
      <c r="UX30">
        <v>4</v>
      </c>
      <c r="WX30">
        <v>4</v>
      </c>
      <c r="XN30" s="6">
        <v>5</v>
      </c>
      <c r="YX30">
        <v>5</v>
      </c>
      <c r="YY30" s="6">
        <v>66.099999999999994</v>
      </c>
      <c r="YZ30" s="6">
        <v>2.4</v>
      </c>
      <c r="ZB30">
        <v>2</v>
      </c>
      <c r="ZC30" s="1">
        <v>45103.661111111112</v>
      </c>
      <c r="ZD30">
        <v>3</v>
      </c>
      <c r="ZE30">
        <v>3</v>
      </c>
      <c r="ZF30">
        <v>1</v>
      </c>
      <c r="ZG30">
        <v>3</v>
      </c>
      <c r="ZH30">
        <v>1</v>
      </c>
      <c r="ZI30">
        <v>2</v>
      </c>
      <c r="ZJ30">
        <v>1</v>
      </c>
      <c r="ZK30">
        <v>1</v>
      </c>
      <c r="ZL30">
        <v>1</v>
      </c>
      <c r="ZM30">
        <v>1</v>
      </c>
      <c r="ZN30">
        <v>3</v>
      </c>
      <c r="ZO30">
        <v>3</v>
      </c>
      <c r="ZP30">
        <v>1</v>
      </c>
      <c r="ZQ30">
        <v>2</v>
      </c>
      <c r="ZR30">
        <v>3</v>
      </c>
      <c r="ZS30">
        <v>1</v>
      </c>
      <c r="ZT30">
        <v>2</v>
      </c>
      <c r="ZU30">
        <v>1</v>
      </c>
      <c r="ZV30">
        <v>2</v>
      </c>
      <c r="ZW30">
        <v>1</v>
      </c>
      <c r="ZX30" s="6">
        <f t="shared" si="36"/>
        <v>17</v>
      </c>
      <c r="ZY30" s="6">
        <f t="shared" si="37"/>
        <v>19</v>
      </c>
      <c r="ZZ30">
        <v>2</v>
      </c>
      <c r="AAA30" s="1">
        <v>45068.668055555558</v>
      </c>
      <c r="AAB30">
        <v>0</v>
      </c>
      <c r="AAC30">
        <v>4</v>
      </c>
      <c r="AAD30">
        <v>0</v>
      </c>
      <c r="AAE30">
        <v>0</v>
      </c>
      <c r="AAF30">
        <v>2</v>
      </c>
      <c r="AAG30">
        <v>1</v>
      </c>
      <c r="AAH30">
        <v>0</v>
      </c>
      <c r="AAI30">
        <v>3</v>
      </c>
      <c r="AAJ30">
        <v>0</v>
      </c>
      <c r="AAK30">
        <v>0</v>
      </c>
      <c r="AAL30">
        <v>1</v>
      </c>
      <c r="AAM30">
        <v>0</v>
      </c>
      <c r="AAN30">
        <v>0</v>
      </c>
      <c r="AAO30">
        <v>2</v>
      </c>
      <c r="AAP30">
        <v>1</v>
      </c>
      <c r="AAQ30">
        <v>0</v>
      </c>
      <c r="AAR30">
        <v>0</v>
      </c>
      <c r="AAS30">
        <v>0</v>
      </c>
      <c r="AAT30" s="6">
        <f t="shared" si="38"/>
        <v>0</v>
      </c>
      <c r="AAU30" s="6">
        <f t="shared" si="39"/>
        <v>12</v>
      </c>
      <c r="AAV30" s="6">
        <f t="shared" si="40"/>
        <v>2</v>
      </c>
      <c r="AAW30" s="6">
        <f t="shared" si="41"/>
        <v>14</v>
      </c>
      <c r="AAX30">
        <v>2</v>
      </c>
      <c r="AAY30" s="1">
        <v>45068.668055555558</v>
      </c>
      <c r="AAZ30">
        <v>0</v>
      </c>
      <c r="ABO30" s="6"/>
      <c r="ABP30" s="6"/>
      <c r="ABQ30">
        <v>2</v>
      </c>
      <c r="ABS30">
        <v>0</v>
      </c>
      <c r="ABT30">
        <v>0</v>
      </c>
      <c r="ABU30">
        <v>0</v>
      </c>
      <c r="ABV30">
        <v>0</v>
      </c>
      <c r="ABW30">
        <v>0</v>
      </c>
      <c r="ABX30">
        <v>0</v>
      </c>
      <c r="ABY30">
        <v>0</v>
      </c>
      <c r="ABZ30">
        <v>0</v>
      </c>
      <c r="ACA30">
        <v>0</v>
      </c>
      <c r="ACB30">
        <v>0</v>
      </c>
      <c r="ACC30">
        <v>0</v>
      </c>
      <c r="ACD30">
        <v>0</v>
      </c>
      <c r="ACE30">
        <v>1</v>
      </c>
      <c r="ACF30">
        <v>1</v>
      </c>
      <c r="ACG30">
        <v>0</v>
      </c>
      <c r="ACH30">
        <v>0</v>
      </c>
      <c r="ACI30">
        <v>0</v>
      </c>
      <c r="ACJ30">
        <v>0</v>
      </c>
      <c r="ACK30">
        <v>0</v>
      </c>
      <c r="ACL30">
        <v>0</v>
      </c>
      <c r="ACM30">
        <v>0</v>
      </c>
      <c r="ACN30">
        <v>0</v>
      </c>
      <c r="ACO30">
        <v>0</v>
      </c>
      <c r="ACP30">
        <v>0</v>
      </c>
      <c r="ACQ30">
        <v>0</v>
      </c>
      <c r="ACR30">
        <v>1</v>
      </c>
      <c r="ACS30">
        <v>0</v>
      </c>
      <c r="ACT30">
        <v>0</v>
      </c>
      <c r="ACU30">
        <v>0</v>
      </c>
      <c r="ACV30">
        <v>0</v>
      </c>
      <c r="ACW30" s="6">
        <f t="shared" si="44"/>
        <v>0</v>
      </c>
      <c r="ACX30" s="6">
        <f t="shared" si="45"/>
        <v>0</v>
      </c>
      <c r="ACY30" s="6">
        <f t="shared" si="46"/>
        <v>1</v>
      </c>
      <c r="ACZ30" s="6">
        <f t="shared" si="47"/>
        <v>1</v>
      </c>
      <c r="ADA30" s="6">
        <f t="shared" si="48"/>
        <v>1</v>
      </c>
      <c r="ADB30" s="6">
        <f t="shared" si="49"/>
        <v>0</v>
      </c>
      <c r="ADC30" s="6">
        <f t="shared" si="50"/>
        <v>3</v>
      </c>
      <c r="ADD30">
        <v>2</v>
      </c>
      <c r="ADE30" s="1">
        <v>45068.67083333333</v>
      </c>
      <c r="ADF30" s="5">
        <v>4</v>
      </c>
      <c r="ADG30">
        <f t="shared" si="51"/>
        <v>1</v>
      </c>
      <c r="ADH30" s="5">
        <v>4</v>
      </c>
      <c r="ADI30">
        <f t="shared" si="52"/>
        <v>1</v>
      </c>
      <c r="ADJ30">
        <v>1</v>
      </c>
      <c r="ADK30">
        <v>1</v>
      </c>
      <c r="ADL30" s="5">
        <v>3</v>
      </c>
      <c r="ADM30">
        <f t="shared" si="3"/>
        <v>2</v>
      </c>
      <c r="ADN30">
        <v>1</v>
      </c>
      <c r="ADO30">
        <v>2</v>
      </c>
      <c r="ADP30" s="5">
        <v>3</v>
      </c>
      <c r="ADQ30">
        <f t="shared" si="4"/>
        <v>2</v>
      </c>
      <c r="ADR30">
        <v>1</v>
      </c>
      <c r="ADS30" s="5">
        <v>4</v>
      </c>
      <c r="ADT30">
        <f t="shared" si="5"/>
        <v>1</v>
      </c>
      <c r="ADU30" s="5">
        <v>1</v>
      </c>
      <c r="ADV30">
        <f t="shared" ref="ADV30" si="118">INDEX($AD$48:$AE$51, MATCH(ADU30, $AD$48:$AD$51, 0), 2)</f>
        <v>4</v>
      </c>
      <c r="ADW30">
        <v>1</v>
      </c>
      <c r="ADX30">
        <v>1</v>
      </c>
      <c r="ADY30">
        <v>2</v>
      </c>
      <c r="ADZ30" s="5">
        <v>3</v>
      </c>
      <c r="AEA30">
        <f t="shared" si="6"/>
        <v>2</v>
      </c>
      <c r="AEB30" s="5">
        <v>4</v>
      </c>
      <c r="AEC30">
        <f t="shared" ref="AEC30" si="119">INDEX($AD$48:$AE$51, MATCH(AEB30, $AD$48:$AD$51, 0), 2)</f>
        <v>1</v>
      </c>
      <c r="AED30">
        <v>1</v>
      </c>
      <c r="AEE30">
        <v>1</v>
      </c>
      <c r="AEF30" s="5">
        <v>4</v>
      </c>
      <c r="AEG30">
        <f t="shared" si="7"/>
        <v>1</v>
      </c>
      <c r="AEH30" s="5">
        <v>3</v>
      </c>
      <c r="AEI30">
        <f t="shared" si="8"/>
        <v>2</v>
      </c>
      <c r="AEJ30" s="6">
        <f t="shared" si="55"/>
        <v>31</v>
      </c>
      <c r="AEK30">
        <v>2</v>
      </c>
      <c r="AEL30" s="1">
        <v>45068.671527777777</v>
      </c>
      <c r="AEM30">
        <v>1</v>
      </c>
      <c r="AEN30" t="s">
        <v>295</v>
      </c>
      <c r="AEO30" t="s">
        <v>296</v>
      </c>
      <c r="AEP30">
        <v>10</v>
      </c>
      <c r="AEQ30">
        <v>19</v>
      </c>
      <c r="AER30">
        <v>1</v>
      </c>
      <c r="AES30">
        <v>0</v>
      </c>
      <c r="AET30">
        <v>0</v>
      </c>
      <c r="AEU30">
        <v>0</v>
      </c>
      <c r="AEV30">
        <v>0</v>
      </c>
      <c r="AEX30">
        <v>2</v>
      </c>
    </row>
    <row r="31" spans="1:830">
      <c r="A31">
        <v>199</v>
      </c>
      <c r="B31" t="s">
        <v>1208</v>
      </c>
      <c r="C31">
        <v>2</v>
      </c>
      <c r="D31">
        <v>2</v>
      </c>
      <c r="E31">
        <v>28</v>
      </c>
      <c r="F31">
        <v>64</v>
      </c>
      <c r="G31">
        <v>114</v>
      </c>
      <c r="H31">
        <v>0</v>
      </c>
      <c r="I31">
        <v>3</v>
      </c>
      <c r="K31" t="s">
        <v>383</v>
      </c>
      <c r="L31">
        <v>2</v>
      </c>
      <c r="M31" s="1">
        <v>45068.556250000001</v>
      </c>
      <c r="N31">
        <v>7</v>
      </c>
      <c r="O31">
        <v>0</v>
      </c>
      <c r="Q31">
        <v>0</v>
      </c>
      <c r="R31">
        <v>0</v>
      </c>
      <c r="S31">
        <v>0</v>
      </c>
      <c r="T31">
        <v>1</v>
      </c>
      <c r="U31">
        <v>0</v>
      </c>
      <c r="V31">
        <v>0</v>
      </c>
      <c r="W31">
        <v>0</v>
      </c>
      <c r="X31">
        <v>0</v>
      </c>
      <c r="Y31">
        <v>0</v>
      </c>
      <c r="Z31">
        <v>0</v>
      </c>
      <c r="AA31">
        <v>0</v>
      </c>
      <c r="AB31">
        <v>2</v>
      </c>
      <c r="AC31">
        <v>2</v>
      </c>
      <c r="AD31" s="1">
        <v>45068.556944444441</v>
      </c>
      <c r="AE31" s="5">
        <v>4</v>
      </c>
      <c r="AF31">
        <f t="shared" si="9"/>
        <v>1</v>
      </c>
      <c r="AG31">
        <v>2</v>
      </c>
      <c r="AH31" s="5">
        <v>3</v>
      </c>
      <c r="AI31">
        <f t="shared" si="10"/>
        <v>2</v>
      </c>
      <c r="AJ31">
        <v>1</v>
      </c>
      <c r="AK31">
        <v>1</v>
      </c>
      <c r="AL31" s="5">
        <v>4</v>
      </c>
      <c r="AM31">
        <f t="shared" si="11"/>
        <v>1</v>
      </c>
      <c r="AN31" s="5">
        <v>4</v>
      </c>
      <c r="AO31">
        <f t="shared" si="12"/>
        <v>1</v>
      </c>
      <c r="AP31">
        <v>1</v>
      </c>
      <c r="AQ31">
        <v>1</v>
      </c>
      <c r="AR31" s="5">
        <v>4</v>
      </c>
      <c r="AS31">
        <f t="shared" si="13"/>
        <v>1</v>
      </c>
      <c r="AT31">
        <v>1</v>
      </c>
      <c r="AU31">
        <v>1</v>
      </c>
      <c r="AV31" s="5">
        <v>4</v>
      </c>
      <c r="AW31">
        <f t="shared" si="14"/>
        <v>1</v>
      </c>
      <c r="AX31" s="5">
        <v>4</v>
      </c>
      <c r="AY31">
        <f t="shared" si="15"/>
        <v>1</v>
      </c>
      <c r="AZ31">
        <v>1</v>
      </c>
      <c r="BA31" s="5">
        <v>4</v>
      </c>
      <c r="BB31">
        <f t="shared" si="16"/>
        <v>1</v>
      </c>
      <c r="BC31">
        <v>2</v>
      </c>
      <c r="BD31">
        <v>2</v>
      </c>
      <c r="BE31" s="5">
        <v>4</v>
      </c>
      <c r="BF31">
        <f t="shared" si="17"/>
        <v>1</v>
      </c>
      <c r="BG31">
        <v>1</v>
      </c>
      <c r="BH31" s="6">
        <f t="shared" si="18"/>
        <v>24</v>
      </c>
      <c r="BI31">
        <v>2</v>
      </c>
      <c r="BJ31" s="1">
        <v>45068.557638888888</v>
      </c>
      <c r="BK31">
        <v>12</v>
      </c>
      <c r="BL31">
        <v>2</v>
      </c>
      <c r="BM31">
        <v>1</v>
      </c>
      <c r="BQ31" s="2">
        <v>45067</v>
      </c>
      <c r="BU31">
        <v>24</v>
      </c>
      <c r="BV31">
        <v>8</v>
      </c>
      <c r="BW31">
        <v>1</v>
      </c>
      <c r="BX31">
        <v>2</v>
      </c>
      <c r="BY31" s="1">
        <v>45068.558333333334</v>
      </c>
      <c r="BZ31">
        <v>4</v>
      </c>
      <c r="CA31">
        <v>2</v>
      </c>
      <c r="CB31">
        <v>4</v>
      </c>
      <c r="CC31">
        <v>3</v>
      </c>
      <c r="CD31">
        <v>3</v>
      </c>
      <c r="CE31">
        <v>3</v>
      </c>
      <c r="CF31">
        <v>3</v>
      </c>
      <c r="CG31">
        <v>4</v>
      </c>
      <c r="CH31">
        <v>2</v>
      </c>
      <c r="CI31">
        <v>3</v>
      </c>
      <c r="CJ31">
        <v>1</v>
      </c>
      <c r="CK31">
        <v>4</v>
      </c>
      <c r="CL31" s="5">
        <v>3</v>
      </c>
      <c r="CM31">
        <f t="shared" si="19"/>
        <v>2</v>
      </c>
      <c r="CN31">
        <v>3</v>
      </c>
      <c r="CO31">
        <v>3</v>
      </c>
      <c r="CP31">
        <v>1</v>
      </c>
      <c r="CQ31">
        <v>2</v>
      </c>
      <c r="CR31" s="5">
        <v>3</v>
      </c>
      <c r="CS31">
        <f t="shared" si="20"/>
        <v>2</v>
      </c>
      <c r="CT31">
        <v>4</v>
      </c>
      <c r="CU31">
        <v>4</v>
      </c>
      <c r="CV31" s="6">
        <f>SUM(CB31,CE31,CN31,CQ31)</f>
        <v>12</v>
      </c>
      <c r="CW31" s="6">
        <f>SUM(CD31,CH31,CJ31,CP31)</f>
        <v>7</v>
      </c>
      <c r="CX31" s="6">
        <f t="shared" si="23"/>
        <v>20</v>
      </c>
      <c r="CY31" s="6">
        <f t="shared" si="24"/>
        <v>39</v>
      </c>
      <c r="CZ31" s="6">
        <f t="shared" si="25"/>
        <v>18</v>
      </c>
      <c r="DA31">
        <v>2</v>
      </c>
      <c r="DB31" s="1">
        <v>45068.55972222222</v>
      </c>
      <c r="DC31">
        <v>0</v>
      </c>
      <c r="DD31">
        <v>0</v>
      </c>
      <c r="DE31">
        <v>0</v>
      </c>
      <c r="DF31">
        <v>1</v>
      </c>
      <c r="DG31">
        <v>0</v>
      </c>
      <c r="DH31">
        <v>0</v>
      </c>
      <c r="DI31">
        <v>1</v>
      </c>
      <c r="DJ31">
        <v>0</v>
      </c>
      <c r="DK31">
        <v>0</v>
      </c>
      <c r="DL31">
        <v>0</v>
      </c>
      <c r="DM31">
        <v>0</v>
      </c>
      <c r="DN31">
        <v>0</v>
      </c>
      <c r="DO31">
        <v>0</v>
      </c>
      <c r="DP31">
        <v>0</v>
      </c>
      <c r="DQ31">
        <v>1</v>
      </c>
      <c r="DR31">
        <v>0</v>
      </c>
      <c r="DS31">
        <v>0</v>
      </c>
      <c r="DT31">
        <v>0</v>
      </c>
      <c r="DU31">
        <v>0</v>
      </c>
      <c r="DV31">
        <v>1</v>
      </c>
      <c r="DW31">
        <v>0</v>
      </c>
      <c r="DX31">
        <v>0</v>
      </c>
      <c r="DY31">
        <v>0</v>
      </c>
      <c r="DZ31">
        <v>0</v>
      </c>
      <c r="EA31">
        <v>1</v>
      </c>
      <c r="EB31">
        <v>0</v>
      </c>
      <c r="EC31">
        <v>0</v>
      </c>
      <c r="ED31">
        <v>0</v>
      </c>
      <c r="EE31">
        <v>0</v>
      </c>
      <c r="EF31">
        <v>1</v>
      </c>
      <c r="EG31">
        <v>0</v>
      </c>
      <c r="EH31">
        <v>0</v>
      </c>
      <c r="EI31">
        <v>0</v>
      </c>
      <c r="EJ31">
        <v>0</v>
      </c>
      <c r="EK31">
        <v>1</v>
      </c>
      <c r="EL31">
        <v>0</v>
      </c>
      <c r="EM31">
        <v>0</v>
      </c>
      <c r="EN31">
        <v>0</v>
      </c>
      <c r="EO31">
        <v>0</v>
      </c>
      <c r="EP31">
        <v>1</v>
      </c>
      <c r="EQ31">
        <v>0</v>
      </c>
      <c r="ER31">
        <v>1</v>
      </c>
      <c r="ES31">
        <v>0</v>
      </c>
      <c r="ET31">
        <v>0</v>
      </c>
      <c r="EU31">
        <v>0</v>
      </c>
      <c r="EV31">
        <v>0</v>
      </c>
      <c r="EW31">
        <v>0</v>
      </c>
      <c r="EX31">
        <v>0</v>
      </c>
      <c r="EY31">
        <v>0</v>
      </c>
      <c r="EZ31">
        <v>1</v>
      </c>
      <c r="FA31">
        <v>0</v>
      </c>
      <c r="FB31">
        <v>0</v>
      </c>
      <c r="FC31">
        <v>0</v>
      </c>
      <c r="FD31">
        <v>0</v>
      </c>
      <c r="FE31">
        <v>1</v>
      </c>
      <c r="FF31">
        <v>0</v>
      </c>
      <c r="FG31">
        <v>1</v>
      </c>
      <c r="FH31">
        <v>1</v>
      </c>
      <c r="FI31">
        <v>0</v>
      </c>
      <c r="FJ31">
        <v>0</v>
      </c>
      <c r="FK31">
        <v>0</v>
      </c>
      <c r="FL31">
        <v>1</v>
      </c>
      <c r="FM31">
        <v>1</v>
      </c>
      <c r="FN31">
        <v>0</v>
      </c>
      <c r="FO31">
        <v>0</v>
      </c>
      <c r="FP31">
        <v>0</v>
      </c>
      <c r="FQ31">
        <v>0</v>
      </c>
      <c r="FR31">
        <v>1</v>
      </c>
      <c r="FS31">
        <v>0</v>
      </c>
      <c r="FT31">
        <v>0</v>
      </c>
      <c r="FU31">
        <v>1</v>
      </c>
      <c r="FV31">
        <v>0</v>
      </c>
      <c r="FW31">
        <v>0</v>
      </c>
      <c r="FX31">
        <v>0</v>
      </c>
      <c r="FY31">
        <v>0</v>
      </c>
      <c r="FZ31">
        <v>0</v>
      </c>
      <c r="GA31">
        <v>0</v>
      </c>
      <c r="GB31">
        <v>0</v>
      </c>
      <c r="GC31">
        <v>1</v>
      </c>
      <c r="GD31">
        <v>0</v>
      </c>
      <c r="GE31">
        <v>0</v>
      </c>
      <c r="GF31">
        <v>0</v>
      </c>
      <c r="GG31">
        <v>0</v>
      </c>
      <c r="GH31">
        <v>1</v>
      </c>
      <c r="GI31">
        <v>0</v>
      </c>
      <c r="GJ31" s="6">
        <f t="shared" si="26"/>
        <v>19</v>
      </c>
      <c r="GK31">
        <v>2</v>
      </c>
      <c r="GL31" s="1">
        <v>45068.560416666667</v>
      </c>
      <c r="GM31">
        <v>0</v>
      </c>
      <c r="GQ31" s="5"/>
      <c r="GV31" s="5"/>
      <c r="HA31" s="5"/>
      <c r="HF31" s="5"/>
      <c r="HI31" s="6"/>
      <c r="HJ31" s="6"/>
      <c r="HK31" s="6"/>
      <c r="HL31">
        <v>2</v>
      </c>
      <c r="HM31" s="1">
        <v>45068.560416666667</v>
      </c>
      <c r="HN31">
        <v>8</v>
      </c>
      <c r="HO31">
        <v>14</v>
      </c>
      <c r="HP31">
        <v>1</v>
      </c>
      <c r="HQ31">
        <v>2</v>
      </c>
      <c r="HR31" s="1">
        <v>45077.567361111112</v>
      </c>
      <c r="HS31">
        <v>0</v>
      </c>
      <c r="HT31">
        <v>0</v>
      </c>
      <c r="HU31">
        <v>0</v>
      </c>
      <c r="HV31">
        <v>0</v>
      </c>
      <c r="HW31">
        <v>0</v>
      </c>
      <c r="HX31">
        <v>0</v>
      </c>
      <c r="HY31">
        <v>0</v>
      </c>
      <c r="HZ31">
        <v>0</v>
      </c>
      <c r="IA31">
        <v>0</v>
      </c>
      <c r="IB31">
        <v>0</v>
      </c>
      <c r="IC31">
        <v>0</v>
      </c>
      <c r="ID31">
        <v>0</v>
      </c>
      <c r="IE31">
        <v>0</v>
      </c>
      <c r="IF31">
        <v>0</v>
      </c>
      <c r="IG31">
        <v>0</v>
      </c>
      <c r="IH31">
        <v>0</v>
      </c>
      <c r="II31">
        <v>0</v>
      </c>
      <c r="IJ31">
        <v>0</v>
      </c>
      <c r="IK31">
        <v>0</v>
      </c>
      <c r="IL31">
        <v>0</v>
      </c>
      <c r="IM31">
        <v>0</v>
      </c>
      <c r="IN31" s="6">
        <f t="shared" si="31"/>
        <v>0</v>
      </c>
      <c r="IO31">
        <v>2</v>
      </c>
      <c r="IP31" s="1">
        <v>45077.568055555559</v>
      </c>
      <c r="IQ31">
        <v>0</v>
      </c>
      <c r="IR31">
        <v>0</v>
      </c>
      <c r="IS31">
        <v>0</v>
      </c>
      <c r="IT31">
        <v>0</v>
      </c>
      <c r="IU31">
        <v>0</v>
      </c>
      <c r="IV31">
        <v>0</v>
      </c>
      <c r="IW31">
        <v>0</v>
      </c>
      <c r="IX31">
        <v>0</v>
      </c>
      <c r="IY31">
        <v>0</v>
      </c>
      <c r="IZ31">
        <v>0</v>
      </c>
      <c r="JA31">
        <v>0</v>
      </c>
      <c r="JB31">
        <v>0</v>
      </c>
      <c r="JC31">
        <v>0</v>
      </c>
      <c r="JD31">
        <v>0</v>
      </c>
      <c r="JE31">
        <v>0</v>
      </c>
      <c r="JF31">
        <v>0</v>
      </c>
      <c r="JG31">
        <v>0</v>
      </c>
      <c r="JH31">
        <v>0</v>
      </c>
      <c r="JI31">
        <v>0</v>
      </c>
      <c r="JJ31">
        <v>1</v>
      </c>
      <c r="JT31" s="6">
        <f t="shared" si="32"/>
        <v>0</v>
      </c>
      <c r="JU31" s="6"/>
      <c r="JV31" s="6"/>
      <c r="JW31" s="6"/>
      <c r="JX31">
        <v>2</v>
      </c>
      <c r="JY31" s="1">
        <v>45077.568749999999</v>
      </c>
      <c r="JZ31">
        <v>0</v>
      </c>
      <c r="KA31">
        <v>0</v>
      </c>
      <c r="KB31">
        <v>0</v>
      </c>
      <c r="KC31" s="6">
        <f t="shared" si="35"/>
        <v>0</v>
      </c>
      <c r="KD31">
        <v>2</v>
      </c>
      <c r="KE31" s="1">
        <v>45077.568749999999</v>
      </c>
      <c r="KF31" s="6">
        <v>42.3</v>
      </c>
      <c r="KG31" s="6">
        <v>2.6</v>
      </c>
      <c r="KP31">
        <v>1</v>
      </c>
      <c r="UT31">
        <v>2</v>
      </c>
      <c r="UX31">
        <v>1</v>
      </c>
      <c r="WX31" s="6">
        <v>2</v>
      </c>
      <c r="YX31">
        <v>2</v>
      </c>
      <c r="YY31" s="6">
        <v>42.3</v>
      </c>
      <c r="YZ31" s="6">
        <v>2.6</v>
      </c>
      <c r="ZB31">
        <v>2</v>
      </c>
      <c r="ZC31" s="1">
        <v>45104.661111111112</v>
      </c>
      <c r="ZD31">
        <v>4</v>
      </c>
      <c r="ZE31">
        <v>1</v>
      </c>
      <c r="ZF31">
        <v>3</v>
      </c>
      <c r="ZG31">
        <v>2</v>
      </c>
      <c r="ZH31">
        <v>4</v>
      </c>
      <c r="ZI31">
        <v>1</v>
      </c>
      <c r="ZJ31">
        <v>1</v>
      </c>
      <c r="ZK31">
        <v>1</v>
      </c>
      <c r="ZL31">
        <v>3</v>
      </c>
      <c r="ZM31">
        <v>5</v>
      </c>
      <c r="ZN31">
        <v>2</v>
      </c>
      <c r="ZO31">
        <v>4</v>
      </c>
      <c r="ZP31">
        <v>1</v>
      </c>
      <c r="ZQ31">
        <v>3</v>
      </c>
      <c r="ZR31">
        <v>1</v>
      </c>
      <c r="ZS31">
        <v>5</v>
      </c>
      <c r="ZT31">
        <v>4</v>
      </c>
      <c r="ZU31">
        <v>2</v>
      </c>
      <c r="ZV31">
        <v>3</v>
      </c>
      <c r="ZW31">
        <v>1</v>
      </c>
      <c r="ZX31" s="6">
        <f t="shared" si="36"/>
        <v>38</v>
      </c>
      <c r="ZY31" s="6">
        <f t="shared" si="37"/>
        <v>13</v>
      </c>
      <c r="ZZ31">
        <v>2</v>
      </c>
      <c r="AAA31" s="1">
        <v>45077.570138888892</v>
      </c>
      <c r="AAB31">
        <v>1</v>
      </c>
      <c r="AAC31">
        <v>1</v>
      </c>
      <c r="AAD31">
        <v>0</v>
      </c>
      <c r="AAE31">
        <v>0</v>
      </c>
      <c r="AAF31">
        <v>0</v>
      </c>
      <c r="AAG31">
        <v>0</v>
      </c>
      <c r="AAH31">
        <v>0</v>
      </c>
      <c r="AAI31">
        <v>0</v>
      </c>
      <c r="AAJ31">
        <v>0</v>
      </c>
      <c r="AAK31">
        <v>0</v>
      </c>
      <c r="AAL31">
        <v>0</v>
      </c>
      <c r="AAM31">
        <v>0</v>
      </c>
      <c r="AAN31">
        <v>0</v>
      </c>
      <c r="AAO31">
        <v>0</v>
      </c>
      <c r="AAP31">
        <v>0</v>
      </c>
      <c r="AAQ31">
        <v>0</v>
      </c>
      <c r="AAR31">
        <v>0</v>
      </c>
      <c r="AAS31">
        <v>0</v>
      </c>
      <c r="AAT31" s="6">
        <f t="shared" si="38"/>
        <v>1</v>
      </c>
      <c r="AAU31" s="6">
        <f t="shared" si="39"/>
        <v>1</v>
      </c>
      <c r="AAV31" s="6">
        <f t="shared" si="40"/>
        <v>0</v>
      </c>
      <c r="AAW31" s="6">
        <f t="shared" si="41"/>
        <v>2</v>
      </c>
      <c r="AAX31">
        <v>2</v>
      </c>
      <c r="AAY31" s="1">
        <v>45077.570833333331</v>
      </c>
      <c r="AAZ31">
        <v>0</v>
      </c>
      <c r="ABO31" s="6"/>
      <c r="ABP31" s="6"/>
      <c r="ABQ31">
        <v>2</v>
      </c>
      <c r="ABS31">
        <v>1</v>
      </c>
      <c r="ABT31">
        <v>0</v>
      </c>
      <c r="ABU31">
        <v>0</v>
      </c>
      <c r="ABV31">
        <v>2</v>
      </c>
      <c r="ABW31">
        <v>0</v>
      </c>
      <c r="ABX31">
        <v>1</v>
      </c>
      <c r="ABY31">
        <v>0</v>
      </c>
      <c r="ABZ31">
        <v>2</v>
      </c>
      <c r="ACA31">
        <v>0</v>
      </c>
      <c r="ACB31">
        <v>2</v>
      </c>
      <c r="ACC31">
        <v>0</v>
      </c>
      <c r="ACD31">
        <v>0</v>
      </c>
      <c r="ACE31">
        <v>1</v>
      </c>
      <c r="ACF31">
        <v>1</v>
      </c>
      <c r="ACG31">
        <v>1</v>
      </c>
      <c r="ACH31">
        <v>0</v>
      </c>
      <c r="ACI31">
        <v>0</v>
      </c>
      <c r="ACJ31">
        <v>0</v>
      </c>
      <c r="ACK31">
        <v>0</v>
      </c>
      <c r="ACL31">
        <v>0</v>
      </c>
      <c r="ACM31">
        <v>0</v>
      </c>
      <c r="ACN31">
        <v>1</v>
      </c>
      <c r="ACO31">
        <v>1</v>
      </c>
      <c r="ACP31">
        <v>0</v>
      </c>
      <c r="ACQ31">
        <v>0</v>
      </c>
      <c r="ACR31">
        <v>2</v>
      </c>
      <c r="ACS31">
        <v>2</v>
      </c>
      <c r="ACT31">
        <v>0</v>
      </c>
      <c r="ACU31">
        <v>0</v>
      </c>
      <c r="ACV31">
        <v>2</v>
      </c>
      <c r="ACW31" s="6">
        <f t="shared" si="44"/>
        <v>2</v>
      </c>
      <c r="ACX31" s="6">
        <f t="shared" si="45"/>
        <v>1</v>
      </c>
      <c r="ACY31" s="6">
        <f t="shared" si="46"/>
        <v>1</v>
      </c>
      <c r="ACZ31" s="6">
        <f t="shared" si="47"/>
        <v>3</v>
      </c>
      <c r="ADA31" s="6">
        <f t="shared" si="48"/>
        <v>2</v>
      </c>
      <c r="ADB31" s="6">
        <f t="shared" si="49"/>
        <v>10</v>
      </c>
      <c r="ADC31" s="6">
        <f t="shared" si="50"/>
        <v>-1</v>
      </c>
      <c r="ADD31">
        <v>2</v>
      </c>
      <c r="ADE31" s="1">
        <v>45077.572222222225</v>
      </c>
      <c r="ADF31" s="5">
        <v>4</v>
      </c>
      <c r="ADG31">
        <f t="shared" si="51"/>
        <v>1</v>
      </c>
      <c r="ADH31" s="5">
        <v>4</v>
      </c>
      <c r="ADI31">
        <f t="shared" si="52"/>
        <v>1</v>
      </c>
      <c r="ADJ31">
        <v>1</v>
      </c>
      <c r="ADK31">
        <v>1</v>
      </c>
      <c r="ADL31" s="5">
        <v>4</v>
      </c>
      <c r="ADM31">
        <f t="shared" si="3"/>
        <v>1</v>
      </c>
      <c r="ADN31">
        <v>1</v>
      </c>
      <c r="ADO31">
        <v>1</v>
      </c>
      <c r="ADP31" s="5">
        <v>4</v>
      </c>
      <c r="ADQ31">
        <f t="shared" si="4"/>
        <v>1</v>
      </c>
      <c r="ADR31">
        <v>1</v>
      </c>
      <c r="ADS31" s="5">
        <v>4</v>
      </c>
      <c r="ADT31">
        <f t="shared" si="5"/>
        <v>1</v>
      </c>
      <c r="ADU31" s="5">
        <v>4</v>
      </c>
      <c r="ADV31">
        <f t="shared" ref="ADV31" si="120">INDEX($AD$48:$AE$51, MATCH(ADU31, $AD$48:$AD$51, 0), 2)</f>
        <v>1</v>
      </c>
      <c r="ADW31">
        <v>1</v>
      </c>
      <c r="ADX31">
        <v>1</v>
      </c>
      <c r="ADY31">
        <v>1</v>
      </c>
      <c r="ADZ31" s="5">
        <v>4</v>
      </c>
      <c r="AEA31">
        <f t="shared" si="6"/>
        <v>1</v>
      </c>
      <c r="AEB31" s="5">
        <v>4</v>
      </c>
      <c r="AEC31">
        <f t="shared" ref="AEC31" si="121">INDEX($AD$48:$AE$51, MATCH(AEB31, $AD$48:$AD$51, 0), 2)</f>
        <v>1</v>
      </c>
      <c r="AED31">
        <v>1</v>
      </c>
      <c r="AEE31">
        <v>1</v>
      </c>
      <c r="AEF31" s="5">
        <v>4</v>
      </c>
      <c r="AEG31">
        <f t="shared" si="7"/>
        <v>1</v>
      </c>
      <c r="AEH31" s="5">
        <v>4</v>
      </c>
      <c r="AEI31">
        <f t="shared" si="8"/>
        <v>1</v>
      </c>
      <c r="AEJ31" s="6">
        <f t="shared" si="55"/>
        <v>21</v>
      </c>
      <c r="AEK31">
        <v>2</v>
      </c>
      <c r="AEL31" s="1">
        <v>45077.572222222225</v>
      </c>
      <c r="AEM31">
        <v>0</v>
      </c>
      <c r="AER31">
        <v>0</v>
      </c>
      <c r="AES31">
        <v>0</v>
      </c>
      <c r="AET31">
        <v>0</v>
      </c>
      <c r="AEU31">
        <v>0</v>
      </c>
      <c r="AEV31">
        <v>0</v>
      </c>
      <c r="AEX31">
        <v>2</v>
      </c>
    </row>
    <row r="32" spans="1:830">
      <c r="A32">
        <v>200</v>
      </c>
      <c r="B32" t="s">
        <v>1209</v>
      </c>
      <c r="C32">
        <v>2</v>
      </c>
      <c r="D32">
        <v>2</v>
      </c>
      <c r="E32">
        <v>43</v>
      </c>
      <c r="F32">
        <v>66</v>
      </c>
      <c r="G32">
        <v>192</v>
      </c>
      <c r="H32">
        <v>0</v>
      </c>
      <c r="I32">
        <v>3</v>
      </c>
      <c r="K32" t="s">
        <v>450</v>
      </c>
      <c r="L32">
        <v>2</v>
      </c>
      <c r="M32" s="1">
        <v>45059.917361111111</v>
      </c>
      <c r="N32">
        <v>5</v>
      </c>
      <c r="O32">
        <v>0</v>
      </c>
      <c r="Q32">
        <v>0</v>
      </c>
      <c r="R32">
        <v>1</v>
      </c>
      <c r="S32">
        <v>0</v>
      </c>
      <c r="T32">
        <v>0</v>
      </c>
      <c r="U32">
        <v>0</v>
      </c>
      <c r="V32">
        <v>0</v>
      </c>
      <c r="W32">
        <v>0</v>
      </c>
      <c r="X32">
        <v>0</v>
      </c>
      <c r="Y32">
        <v>0</v>
      </c>
      <c r="Z32">
        <v>0</v>
      </c>
      <c r="AA32">
        <v>0</v>
      </c>
      <c r="AB32">
        <v>4</v>
      </c>
      <c r="AC32">
        <v>2</v>
      </c>
      <c r="AD32" s="1">
        <v>45059.918055555558</v>
      </c>
      <c r="AE32" s="5">
        <v>3</v>
      </c>
      <c r="AF32">
        <f t="shared" si="9"/>
        <v>2</v>
      </c>
      <c r="AG32">
        <v>1</v>
      </c>
      <c r="AH32" s="5">
        <v>3</v>
      </c>
      <c r="AI32">
        <f t="shared" si="10"/>
        <v>2</v>
      </c>
      <c r="AJ32">
        <v>2</v>
      </c>
      <c r="AK32">
        <v>1</v>
      </c>
      <c r="AL32" s="5">
        <v>3</v>
      </c>
      <c r="AM32">
        <f t="shared" si="11"/>
        <v>2</v>
      </c>
      <c r="AN32" s="5">
        <v>4</v>
      </c>
      <c r="AO32">
        <f t="shared" si="12"/>
        <v>1</v>
      </c>
      <c r="AP32">
        <v>2</v>
      </c>
      <c r="AQ32">
        <v>1</v>
      </c>
      <c r="AR32" s="5">
        <v>4</v>
      </c>
      <c r="AS32">
        <f t="shared" si="13"/>
        <v>1</v>
      </c>
      <c r="AT32">
        <v>1</v>
      </c>
      <c r="AU32">
        <v>1</v>
      </c>
      <c r="AV32" s="5">
        <v>4</v>
      </c>
      <c r="AW32">
        <f t="shared" si="14"/>
        <v>1</v>
      </c>
      <c r="AX32" s="5">
        <v>3</v>
      </c>
      <c r="AY32">
        <f t="shared" si="15"/>
        <v>2</v>
      </c>
      <c r="AZ32">
        <v>1</v>
      </c>
      <c r="BA32" s="5">
        <v>3</v>
      </c>
      <c r="BB32">
        <f t="shared" si="16"/>
        <v>2</v>
      </c>
      <c r="BC32">
        <v>1</v>
      </c>
      <c r="BD32">
        <v>1</v>
      </c>
      <c r="BE32" s="5">
        <v>3</v>
      </c>
      <c r="BF32">
        <f t="shared" si="17"/>
        <v>2</v>
      </c>
      <c r="BG32">
        <v>1</v>
      </c>
      <c r="BH32" s="6">
        <f t="shared" si="18"/>
        <v>28</v>
      </c>
      <c r="BI32">
        <v>2</v>
      </c>
      <c r="BJ32" s="1">
        <v>45059.920138888891</v>
      </c>
      <c r="BK32">
        <v>11</v>
      </c>
      <c r="BL32">
        <v>2</v>
      </c>
      <c r="BM32">
        <v>9</v>
      </c>
      <c r="BN32" t="s">
        <v>451</v>
      </c>
      <c r="BQ32" s="2">
        <v>41030</v>
      </c>
      <c r="BR32">
        <v>3</v>
      </c>
      <c r="BS32">
        <v>3</v>
      </c>
      <c r="BU32">
        <v>28</v>
      </c>
      <c r="BV32">
        <v>7</v>
      </c>
      <c r="BW32">
        <v>2</v>
      </c>
      <c r="BX32">
        <v>2</v>
      </c>
      <c r="BY32" s="1">
        <v>45059.92083333333</v>
      </c>
      <c r="BZ32">
        <v>4</v>
      </c>
      <c r="CA32">
        <v>3</v>
      </c>
      <c r="CB32">
        <v>3</v>
      </c>
      <c r="CC32">
        <v>3</v>
      </c>
      <c r="CD32">
        <v>4</v>
      </c>
      <c r="CE32">
        <v>3</v>
      </c>
      <c r="CF32">
        <v>2</v>
      </c>
      <c r="CG32">
        <v>4</v>
      </c>
      <c r="CH32">
        <v>2</v>
      </c>
      <c r="CI32">
        <v>2</v>
      </c>
      <c r="CJ32">
        <v>3</v>
      </c>
      <c r="CK32">
        <v>4</v>
      </c>
      <c r="CL32" s="5">
        <v>2</v>
      </c>
      <c r="CM32">
        <f t="shared" si="19"/>
        <v>3</v>
      </c>
      <c r="CN32">
        <v>2</v>
      </c>
      <c r="CO32">
        <v>3</v>
      </c>
      <c r="CP32">
        <v>1</v>
      </c>
      <c r="CQ32">
        <v>1</v>
      </c>
      <c r="CR32" s="5">
        <v>2</v>
      </c>
      <c r="CS32">
        <f t="shared" si="20"/>
        <v>3</v>
      </c>
      <c r="CT32">
        <v>3</v>
      </c>
      <c r="CU32">
        <v>3</v>
      </c>
      <c r="CV32" s="6">
        <f t="shared" si="21"/>
        <v>9</v>
      </c>
      <c r="CW32" s="6">
        <f t="shared" si="22"/>
        <v>10</v>
      </c>
      <c r="CX32" s="6">
        <f t="shared" si="23"/>
        <v>18</v>
      </c>
      <c r="CY32" s="6">
        <f t="shared" si="24"/>
        <v>37</v>
      </c>
      <c r="CZ32" s="6">
        <f t="shared" si="25"/>
        <v>19</v>
      </c>
      <c r="DA32">
        <v>2</v>
      </c>
      <c r="DB32" s="1">
        <v>45059.921527777777</v>
      </c>
      <c r="DC32">
        <v>0</v>
      </c>
      <c r="DD32">
        <v>0</v>
      </c>
      <c r="DE32">
        <v>1</v>
      </c>
      <c r="DF32">
        <v>0</v>
      </c>
      <c r="DG32">
        <v>0</v>
      </c>
      <c r="DH32">
        <v>0</v>
      </c>
      <c r="DI32">
        <v>0</v>
      </c>
      <c r="DJ32">
        <v>0</v>
      </c>
      <c r="DK32">
        <v>0</v>
      </c>
      <c r="DL32">
        <v>1</v>
      </c>
      <c r="DM32">
        <v>1</v>
      </c>
      <c r="DN32">
        <v>0</v>
      </c>
      <c r="DO32">
        <v>0</v>
      </c>
      <c r="DP32">
        <v>0</v>
      </c>
      <c r="DQ32">
        <v>0</v>
      </c>
      <c r="DR32">
        <v>0</v>
      </c>
      <c r="DS32">
        <v>0</v>
      </c>
      <c r="DT32">
        <v>0</v>
      </c>
      <c r="DU32">
        <v>0</v>
      </c>
      <c r="DV32">
        <v>1</v>
      </c>
      <c r="DW32">
        <v>0</v>
      </c>
      <c r="DX32">
        <v>0</v>
      </c>
      <c r="DY32">
        <v>0</v>
      </c>
      <c r="DZ32">
        <v>0</v>
      </c>
      <c r="EA32">
        <v>1</v>
      </c>
      <c r="EB32">
        <v>0</v>
      </c>
      <c r="EC32">
        <v>0</v>
      </c>
      <c r="ED32">
        <v>0</v>
      </c>
      <c r="EE32">
        <v>0</v>
      </c>
      <c r="EF32">
        <v>1</v>
      </c>
      <c r="EG32">
        <v>0</v>
      </c>
      <c r="EH32">
        <v>0</v>
      </c>
      <c r="EI32">
        <v>0</v>
      </c>
      <c r="EJ32">
        <v>0</v>
      </c>
      <c r="EK32">
        <v>1</v>
      </c>
      <c r="EL32">
        <v>0</v>
      </c>
      <c r="EM32">
        <v>0</v>
      </c>
      <c r="EN32">
        <v>0</v>
      </c>
      <c r="EO32">
        <v>0</v>
      </c>
      <c r="EP32">
        <v>1</v>
      </c>
      <c r="EQ32">
        <v>0</v>
      </c>
      <c r="ER32">
        <v>0</v>
      </c>
      <c r="ES32">
        <v>0</v>
      </c>
      <c r="ET32">
        <v>0</v>
      </c>
      <c r="EU32">
        <v>1</v>
      </c>
      <c r="EV32">
        <v>0</v>
      </c>
      <c r="EW32">
        <v>0</v>
      </c>
      <c r="EX32">
        <v>0</v>
      </c>
      <c r="EY32">
        <v>0</v>
      </c>
      <c r="EZ32">
        <v>1</v>
      </c>
      <c r="FA32">
        <v>0</v>
      </c>
      <c r="FB32">
        <v>0</v>
      </c>
      <c r="FC32">
        <v>0</v>
      </c>
      <c r="FD32">
        <v>0</v>
      </c>
      <c r="FE32">
        <v>1</v>
      </c>
      <c r="FF32">
        <v>0</v>
      </c>
      <c r="FG32">
        <v>0</v>
      </c>
      <c r="FH32">
        <v>0</v>
      </c>
      <c r="FI32">
        <v>1</v>
      </c>
      <c r="FJ32">
        <v>0</v>
      </c>
      <c r="FK32">
        <v>0</v>
      </c>
      <c r="FL32">
        <v>0</v>
      </c>
      <c r="FM32">
        <v>0</v>
      </c>
      <c r="FN32">
        <v>0</v>
      </c>
      <c r="FO32">
        <v>1</v>
      </c>
      <c r="FP32">
        <v>0</v>
      </c>
      <c r="FQ32">
        <v>0</v>
      </c>
      <c r="FR32">
        <v>0</v>
      </c>
      <c r="FS32">
        <v>0</v>
      </c>
      <c r="FT32">
        <v>1</v>
      </c>
      <c r="FU32">
        <v>1</v>
      </c>
      <c r="FV32">
        <v>0</v>
      </c>
      <c r="FW32">
        <v>0</v>
      </c>
      <c r="FX32">
        <v>0</v>
      </c>
      <c r="FY32">
        <v>0</v>
      </c>
      <c r="FZ32">
        <v>0</v>
      </c>
      <c r="GA32">
        <v>0</v>
      </c>
      <c r="GB32">
        <v>0</v>
      </c>
      <c r="GC32">
        <v>0</v>
      </c>
      <c r="GD32">
        <v>1</v>
      </c>
      <c r="GE32">
        <v>1</v>
      </c>
      <c r="GF32">
        <v>0</v>
      </c>
      <c r="GG32">
        <v>0</v>
      </c>
      <c r="GH32">
        <v>0</v>
      </c>
      <c r="GI32">
        <v>0</v>
      </c>
      <c r="GJ32" s="6">
        <f t="shared" si="26"/>
        <v>17</v>
      </c>
      <c r="GK32">
        <v>2</v>
      </c>
      <c r="GL32" s="1">
        <v>45059.922222222223</v>
      </c>
      <c r="GM32">
        <v>0</v>
      </c>
      <c r="GQ32" s="5"/>
      <c r="GV32" s="5"/>
      <c r="HA32" s="5"/>
      <c r="HF32" s="5"/>
      <c r="HI32" s="6"/>
      <c r="HJ32" s="6"/>
      <c r="HK32" s="6"/>
      <c r="HL32">
        <v>2</v>
      </c>
      <c r="HM32" s="1">
        <v>45059.922222222223</v>
      </c>
      <c r="HN32">
        <v>4</v>
      </c>
      <c r="HO32">
        <v>12</v>
      </c>
      <c r="HP32">
        <v>10</v>
      </c>
      <c r="HQ32">
        <v>2</v>
      </c>
      <c r="HR32" s="1">
        <v>45065.547222222223</v>
      </c>
      <c r="HS32">
        <v>0</v>
      </c>
      <c r="HT32">
        <v>0</v>
      </c>
      <c r="HU32">
        <v>0</v>
      </c>
      <c r="HV32">
        <v>0</v>
      </c>
      <c r="HW32">
        <v>0</v>
      </c>
      <c r="HX32">
        <v>0</v>
      </c>
      <c r="HY32">
        <v>0</v>
      </c>
      <c r="HZ32">
        <v>1</v>
      </c>
      <c r="IA32">
        <v>0</v>
      </c>
      <c r="IB32">
        <v>0</v>
      </c>
      <c r="IC32">
        <v>0</v>
      </c>
      <c r="ID32">
        <v>1</v>
      </c>
      <c r="IE32">
        <v>0</v>
      </c>
      <c r="IF32">
        <v>0</v>
      </c>
      <c r="IG32">
        <v>0</v>
      </c>
      <c r="IH32">
        <v>0</v>
      </c>
      <c r="II32">
        <v>0</v>
      </c>
      <c r="IJ32">
        <v>0</v>
      </c>
      <c r="IK32">
        <v>0</v>
      </c>
      <c r="IL32">
        <v>0</v>
      </c>
      <c r="IM32">
        <v>0</v>
      </c>
      <c r="IN32" s="6">
        <f t="shared" si="31"/>
        <v>2</v>
      </c>
      <c r="IO32">
        <v>2</v>
      </c>
      <c r="IP32" s="1">
        <v>45065.54791666667</v>
      </c>
      <c r="IQ32">
        <v>0</v>
      </c>
      <c r="IR32">
        <v>0</v>
      </c>
      <c r="IS32">
        <v>0</v>
      </c>
      <c r="IT32">
        <v>0</v>
      </c>
      <c r="IU32">
        <v>0</v>
      </c>
      <c r="IV32">
        <v>0</v>
      </c>
      <c r="IW32">
        <v>0</v>
      </c>
      <c r="IX32">
        <v>0</v>
      </c>
      <c r="IY32">
        <v>0</v>
      </c>
      <c r="IZ32">
        <v>0</v>
      </c>
      <c r="JA32">
        <v>0</v>
      </c>
      <c r="JB32">
        <v>0</v>
      </c>
      <c r="JC32">
        <v>0</v>
      </c>
      <c r="JD32">
        <v>0</v>
      </c>
      <c r="JE32">
        <v>0</v>
      </c>
      <c r="JF32">
        <v>0</v>
      </c>
      <c r="JG32">
        <v>0</v>
      </c>
      <c r="JH32">
        <v>0</v>
      </c>
      <c r="JI32">
        <v>0</v>
      </c>
      <c r="JJ32">
        <v>1</v>
      </c>
      <c r="JT32" s="6">
        <f t="shared" si="32"/>
        <v>0</v>
      </c>
      <c r="JU32" s="6"/>
      <c r="JV32" s="6"/>
      <c r="JW32" s="6"/>
      <c r="JX32">
        <v>2</v>
      </c>
      <c r="JY32" s="1">
        <v>45065.548611111109</v>
      </c>
      <c r="JZ32">
        <v>0</v>
      </c>
      <c r="KA32">
        <v>0</v>
      </c>
      <c r="KB32">
        <v>0</v>
      </c>
      <c r="KC32" s="6">
        <f t="shared" si="35"/>
        <v>0</v>
      </c>
      <c r="KD32">
        <v>2</v>
      </c>
      <c r="KE32" s="1">
        <v>45065.548611111109</v>
      </c>
      <c r="KF32" s="6">
        <v>47.4</v>
      </c>
      <c r="KG32" s="6">
        <v>2.2999999999999998</v>
      </c>
      <c r="KP32">
        <v>2</v>
      </c>
      <c r="UH32">
        <v>1</v>
      </c>
      <c r="UX32">
        <v>2</v>
      </c>
      <c r="XN32" s="6">
        <v>2</v>
      </c>
      <c r="YX32">
        <v>2</v>
      </c>
      <c r="YY32" s="6">
        <v>47.4</v>
      </c>
      <c r="YZ32" s="6">
        <v>2.2999999999999998</v>
      </c>
      <c r="ZB32">
        <v>2</v>
      </c>
      <c r="ZC32" s="1">
        <v>45105.661111111112</v>
      </c>
      <c r="ZD32">
        <v>5</v>
      </c>
      <c r="ZE32">
        <v>2</v>
      </c>
      <c r="ZF32">
        <v>4</v>
      </c>
      <c r="ZG32">
        <v>2</v>
      </c>
      <c r="ZH32">
        <v>3</v>
      </c>
      <c r="ZI32">
        <v>1</v>
      </c>
      <c r="ZJ32">
        <v>1</v>
      </c>
      <c r="ZK32">
        <v>1</v>
      </c>
      <c r="ZL32">
        <v>4</v>
      </c>
      <c r="ZM32">
        <v>3</v>
      </c>
      <c r="ZN32">
        <v>2</v>
      </c>
      <c r="ZO32">
        <v>4</v>
      </c>
      <c r="ZP32">
        <v>1</v>
      </c>
      <c r="ZQ32">
        <v>4</v>
      </c>
      <c r="ZR32">
        <v>2</v>
      </c>
      <c r="ZS32">
        <v>4</v>
      </c>
      <c r="ZT32">
        <v>4</v>
      </c>
      <c r="ZU32">
        <v>2</v>
      </c>
      <c r="ZV32">
        <v>4</v>
      </c>
      <c r="ZW32">
        <v>1</v>
      </c>
      <c r="ZX32" s="6">
        <f t="shared" si="36"/>
        <v>39</v>
      </c>
      <c r="ZY32" s="6">
        <f t="shared" si="37"/>
        <v>15</v>
      </c>
      <c r="ZZ32">
        <v>2</v>
      </c>
      <c r="AAA32" s="1">
        <v>45065.550694444442</v>
      </c>
      <c r="AAB32">
        <v>0</v>
      </c>
      <c r="AAC32">
        <v>0</v>
      </c>
      <c r="AAD32">
        <v>1</v>
      </c>
      <c r="AAE32">
        <v>0</v>
      </c>
      <c r="AAF32">
        <v>0</v>
      </c>
      <c r="AAG32">
        <v>0</v>
      </c>
      <c r="AAH32">
        <v>1</v>
      </c>
      <c r="AAI32">
        <v>0</v>
      </c>
      <c r="AAJ32">
        <v>0</v>
      </c>
      <c r="AAK32">
        <v>0</v>
      </c>
      <c r="AAL32">
        <v>0</v>
      </c>
      <c r="AAM32">
        <v>0</v>
      </c>
      <c r="AAN32">
        <v>0</v>
      </c>
      <c r="AAO32">
        <v>0</v>
      </c>
      <c r="AAP32">
        <v>0</v>
      </c>
      <c r="AAQ32">
        <v>0</v>
      </c>
      <c r="AAR32">
        <v>0</v>
      </c>
      <c r="AAS32">
        <v>0</v>
      </c>
      <c r="AAT32" s="6">
        <f t="shared" si="38"/>
        <v>1</v>
      </c>
      <c r="AAU32" s="6">
        <f t="shared" si="39"/>
        <v>0</v>
      </c>
      <c r="AAV32" s="6">
        <f t="shared" si="40"/>
        <v>1</v>
      </c>
      <c r="AAW32" s="6">
        <f t="shared" si="41"/>
        <v>2</v>
      </c>
      <c r="AAX32">
        <v>2</v>
      </c>
      <c r="AAY32" s="1">
        <v>45065.550694444442</v>
      </c>
      <c r="AAZ32">
        <v>0</v>
      </c>
      <c r="ABO32" s="6"/>
      <c r="ABP32" s="6"/>
      <c r="ABQ32">
        <v>2</v>
      </c>
      <c r="ABS32">
        <v>0</v>
      </c>
      <c r="ABT32">
        <v>0</v>
      </c>
      <c r="ABU32">
        <v>0</v>
      </c>
      <c r="ABV32">
        <v>2</v>
      </c>
      <c r="ABW32">
        <v>0</v>
      </c>
      <c r="ABX32">
        <v>0</v>
      </c>
      <c r="ABY32">
        <v>0</v>
      </c>
      <c r="ABZ32">
        <v>1</v>
      </c>
      <c r="ACA32">
        <v>0</v>
      </c>
      <c r="ACB32">
        <v>2</v>
      </c>
      <c r="ACC32">
        <v>0</v>
      </c>
      <c r="ACD32">
        <v>0</v>
      </c>
      <c r="ACE32">
        <v>0</v>
      </c>
      <c r="ACF32">
        <v>0</v>
      </c>
      <c r="ACG32">
        <v>0</v>
      </c>
      <c r="ACH32">
        <v>0</v>
      </c>
      <c r="ACI32">
        <v>0</v>
      </c>
      <c r="ACJ32">
        <v>0</v>
      </c>
      <c r="ACK32">
        <v>0</v>
      </c>
      <c r="ACL32">
        <v>0</v>
      </c>
      <c r="ACM32">
        <v>0</v>
      </c>
      <c r="ACN32">
        <v>0</v>
      </c>
      <c r="ACO32">
        <v>0</v>
      </c>
      <c r="ACP32">
        <v>0</v>
      </c>
      <c r="ACQ32">
        <v>0</v>
      </c>
      <c r="ACR32">
        <v>3</v>
      </c>
      <c r="ACS32">
        <v>2</v>
      </c>
      <c r="ACT32">
        <v>0</v>
      </c>
      <c r="ACU32">
        <v>0</v>
      </c>
      <c r="ACV32">
        <v>2</v>
      </c>
      <c r="ACW32" s="6">
        <f t="shared" si="44"/>
        <v>0</v>
      </c>
      <c r="ACX32" s="6">
        <f t="shared" si="45"/>
        <v>0</v>
      </c>
      <c r="ACY32" s="6">
        <f t="shared" si="46"/>
        <v>0</v>
      </c>
      <c r="ACZ32" s="6">
        <f t="shared" si="47"/>
        <v>0</v>
      </c>
      <c r="ADA32" s="6">
        <f t="shared" si="48"/>
        <v>3</v>
      </c>
      <c r="ADB32" s="6">
        <f t="shared" si="49"/>
        <v>9</v>
      </c>
      <c r="ADC32" s="6">
        <f t="shared" si="50"/>
        <v>-6</v>
      </c>
      <c r="ADD32">
        <v>2</v>
      </c>
      <c r="ADE32" s="1">
        <v>45065.552083333336</v>
      </c>
      <c r="ADF32" s="5">
        <v>4</v>
      </c>
      <c r="ADG32">
        <f t="shared" si="51"/>
        <v>1</v>
      </c>
      <c r="ADH32" s="5">
        <v>4</v>
      </c>
      <c r="ADI32">
        <f t="shared" si="52"/>
        <v>1</v>
      </c>
      <c r="ADJ32">
        <v>1</v>
      </c>
      <c r="ADK32">
        <v>1</v>
      </c>
      <c r="ADL32" s="5">
        <v>4</v>
      </c>
      <c r="ADM32">
        <f t="shared" si="3"/>
        <v>1</v>
      </c>
      <c r="ADN32">
        <v>1</v>
      </c>
      <c r="ADO32">
        <v>1</v>
      </c>
      <c r="ADP32" s="5">
        <v>4</v>
      </c>
      <c r="ADQ32">
        <f t="shared" si="4"/>
        <v>1</v>
      </c>
      <c r="ADR32">
        <v>1</v>
      </c>
      <c r="ADS32" s="5">
        <v>4</v>
      </c>
      <c r="ADT32">
        <f t="shared" si="5"/>
        <v>1</v>
      </c>
      <c r="ADU32" s="5">
        <v>4</v>
      </c>
      <c r="ADV32">
        <f t="shared" ref="ADV32" si="122">INDEX($AD$48:$AE$51, MATCH(ADU32, $AD$48:$AD$51, 0), 2)</f>
        <v>1</v>
      </c>
      <c r="ADW32">
        <v>1</v>
      </c>
      <c r="ADX32">
        <v>1</v>
      </c>
      <c r="ADY32">
        <v>1</v>
      </c>
      <c r="ADZ32" s="5">
        <v>4</v>
      </c>
      <c r="AEA32">
        <f t="shared" si="6"/>
        <v>1</v>
      </c>
      <c r="AEB32" s="5">
        <v>4</v>
      </c>
      <c r="AEC32">
        <f t="shared" ref="AEC32" si="123">INDEX($AD$48:$AE$51, MATCH(AEB32, $AD$48:$AD$51, 0), 2)</f>
        <v>1</v>
      </c>
      <c r="AED32">
        <v>1</v>
      </c>
      <c r="AEE32">
        <v>1</v>
      </c>
      <c r="AEF32" s="5">
        <v>4</v>
      </c>
      <c r="AEG32">
        <f t="shared" si="7"/>
        <v>1</v>
      </c>
      <c r="AEH32" s="5">
        <v>4</v>
      </c>
      <c r="AEI32">
        <f t="shared" si="8"/>
        <v>1</v>
      </c>
      <c r="AEJ32" s="6">
        <f t="shared" si="55"/>
        <v>21</v>
      </c>
      <c r="AEK32">
        <v>2</v>
      </c>
      <c r="AEL32" s="1">
        <v>45065.552083333336</v>
      </c>
      <c r="AEM32">
        <v>0</v>
      </c>
      <c r="AER32">
        <v>0</v>
      </c>
      <c r="AES32">
        <v>0</v>
      </c>
      <c r="AET32">
        <v>0</v>
      </c>
      <c r="AEU32">
        <v>0</v>
      </c>
      <c r="AEV32">
        <v>0</v>
      </c>
      <c r="AEX32">
        <v>2</v>
      </c>
    </row>
    <row r="33" spans="1:830">
      <c r="A33">
        <v>201</v>
      </c>
      <c r="B33" t="s">
        <v>1210</v>
      </c>
      <c r="C33">
        <v>2</v>
      </c>
      <c r="D33">
        <v>2</v>
      </c>
      <c r="E33">
        <v>27</v>
      </c>
      <c r="F33">
        <v>66</v>
      </c>
      <c r="G33">
        <v>140</v>
      </c>
      <c r="H33">
        <v>0</v>
      </c>
      <c r="I33">
        <v>3</v>
      </c>
      <c r="K33" t="s">
        <v>453</v>
      </c>
      <c r="L33">
        <v>2</v>
      </c>
      <c r="M33" s="1">
        <v>45069.70208333333</v>
      </c>
      <c r="N33">
        <v>7</v>
      </c>
      <c r="O33">
        <v>0</v>
      </c>
      <c r="Q33">
        <v>0</v>
      </c>
      <c r="R33">
        <v>0</v>
      </c>
      <c r="S33">
        <v>1</v>
      </c>
      <c r="T33">
        <v>0</v>
      </c>
      <c r="U33">
        <v>0</v>
      </c>
      <c r="V33">
        <v>0</v>
      </c>
      <c r="W33">
        <v>0</v>
      </c>
      <c r="X33">
        <v>0</v>
      </c>
      <c r="Y33">
        <v>0</v>
      </c>
      <c r="Z33">
        <v>0</v>
      </c>
      <c r="AA33">
        <v>0</v>
      </c>
      <c r="AB33">
        <v>1</v>
      </c>
      <c r="AC33">
        <v>2</v>
      </c>
      <c r="AD33" s="1">
        <v>45069.702777777777</v>
      </c>
      <c r="AE33" s="5">
        <v>4</v>
      </c>
      <c r="AF33">
        <f t="shared" si="9"/>
        <v>1</v>
      </c>
      <c r="AG33">
        <v>2</v>
      </c>
      <c r="AH33" s="5">
        <v>4</v>
      </c>
      <c r="AI33">
        <f t="shared" si="10"/>
        <v>1</v>
      </c>
      <c r="AJ33">
        <v>1</v>
      </c>
      <c r="AK33">
        <v>1</v>
      </c>
      <c r="AL33" s="5">
        <v>3</v>
      </c>
      <c r="AM33">
        <f t="shared" si="11"/>
        <v>2</v>
      </c>
      <c r="AN33" s="5">
        <v>4</v>
      </c>
      <c r="AO33">
        <f t="shared" si="12"/>
        <v>1</v>
      </c>
      <c r="AP33">
        <v>1</v>
      </c>
      <c r="AQ33">
        <v>1</v>
      </c>
      <c r="AR33" s="5">
        <v>4</v>
      </c>
      <c r="AS33">
        <f t="shared" si="13"/>
        <v>1</v>
      </c>
      <c r="AT33">
        <v>1</v>
      </c>
      <c r="AU33">
        <v>1</v>
      </c>
      <c r="AV33" s="5">
        <v>4</v>
      </c>
      <c r="AW33">
        <f t="shared" si="14"/>
        <v>1</v>
      </c>
      <c r="AX33" s="5">
        <v>3</v>
      </c>
      <c r="AY33">
        <f t="shared" si="15"/>
        <v>2</v>
      </c>
      <c r="AZ33">
        <v>1</v>
      </c>
      <c r="BA33" s="5">
        <v>4</v>
      </c>
      <c r="BB33">
        <f t="shared" si="16"/>
        <v>1</v>
      </c>
      <c r="BC33">
        <v>2</v>
      </c>
      <c r="BD33">
        <v>2</v>
      </c>
      <c r="BE33" s="5">
        <v>4</v>
      </c>
      <c r="BF33">
        <f t="shared" si="17"/>
        <v>1</v>
      </c>
      <c r="BG33">
        <v>1</v>
      </c>
      <c r="BH33" s="6">
        <f t="shared" si="18"/>
        <v>25</v>
      </c>
      <c r="BI33">
        <v>2</v>
      </c>
      <c r="BJ33" s="1">
        <v>45069.70416666667</v>
      </c>
      <c r="BK33">
        <v>10</v>
      </c>
      <c r="BL33">
        <v>2</v>
      </c>
      <c r="BM33">
        <v>1</v>
      </c>
      <c r="BQ33" s="2">
        <v>45063</v>
      </c>
      <c r="BU33">
        <v>28</v>
      </c>
      <c r="BV33">
        <v>4</v>
      </c>
      <c r="BW33">
        <v>1</v>
      </c>
      <c r="BX33">
        <v>2</v>
      </c>
      <c r="BY33" s="1">
        <v>45069.710416666669</v>
      </c>
      <c r="BZ33">
        <v>4</v>
      </c>
      <c r="CA33">
        <v>2</v>
      </c>
      <c r="CB33">
        <v>2</v>
      </c>
      <c r="CC33">
        <v>3</v>
      </c>
      <c r="CD33">
        <v>2</v>
      </c>
      <c r="CE33">
        <v>2</v>
      </c>
      <c r="CF33">
        <v>3</v>
      </c>
      <c r="CG33">
        <v>4</v>
      </c>
      <c r="CH33">
        <v>3</v>
      </c>
      <c r="CI33">
        <v>4</v>
      </c>
      <c r="CJ33">
        <v>1</v>
      </c>
      <c r="CK33">
        <v>3</v>
      </c>
      <c r="CL33" s="5">
        <v>1</v>
      </c>
      <c r="CM33">
        <f t="shared" si="19"/>
        <v>4</v>
      </c>
      <c r="CN33">
        <v>3</v>
      </c>
      <c r="CO33">
        <v>4</v>
      </c>
      <c r="CP33">
        <v>1</v>
      </c>
      <c r="CQ33">
        <v>1</v>
      </c>
      <c r="CR33" s="5">
        <v>3</v>
      </c>
      <c r="CS33">
        <f t="shared" si="20"/>
        <v>2</v>
      </c>
      <c r="CT33">
        <v>3</v>
      </c>
      <c r="CU33">
        <v>3</v>
      </c>
      <c r="CV33" s="6">
        <f t="shared" si="21"/>
        <v>8</v>
      </c>
      <c r="CW33" s="6">
        <f t="shared" si="22"/>
        <v>7</v>
      </c>
      <c r="CX33" s="6">
        <f t="shared" si="23"/>
        <v>17</v>
      </c>
      <c r="CY33" s="6">
        <f t="shared" si="24"/>
        <v>32</v>
      </c>
      <c r="CZ33" s="6">
        <f t="shared" si="25"/>
        <v>22</v>
      </c>
      <c r="DA33">
        <v>2</v>
      </c>
      <c r="DB33" s="1">
        <v>45069.711111111108</v>
      </c>
      <c r="DC33">
        <v>0</v>
      </c>
      <c r="DD33">
        <v>0</v>
      </c>
      <c r="DE33">
        <v>1</v>
      </c>
      <c r="DF33">
        <v>0</v>
      </c>
      <c r="DG33">
        <v>0</v>
      </c>
      <c r="DH33">
        <v>0</v>
      </c>
      <c r="DI33">
        <v>0</v>
      </c>
      <c r="DJ33">
        <v>1</v>
      </c>
      <c r="DK33">
        <v>0</v>
      </c>
      <c r="DL33">
        <v>0</v>
      </c>
      <c r="DM33">
        <v>1</v>
      </c>
      <c r="DN33">
        <v>0</v>
      </c>
      <c r="DO33">
        <v>0</v>
      </c>
      <c r="DP33">
        <v>0</v>
      </c>
      <c r="DQ33">
        <v>0</v>
      </c>
      <c r="DR33">
        <v>0</v>
      </c>
      <c r="DS33">
        <v>0</v>
      </c>
      <c r="DT33">
        <v>1</v>
      </c>
      <c r="DU33">
        <v>0</v>
      </c>
      <c r="DV33">
        <v>0</v>
      </c>
      <c r="DW33">
        <v>0</v>
      </c>
      <c r="DX33">
        <v>0</v>
      </c>
      <c r="DY33">
        <v>1</v>
      </c>
      <c r="DZ33">
        <v>0</v>
      </c>
      <c r="EA33">
        <v>0</v>
      </c>
      <c r="EB33">
        <v>0</v>
      </c>
      <c r="EC33">
        <v>0</v>
      </c>
      <c r="ED33">
        <v>1</v>
      </c>
      <c r="EE33">
        <v>0</v>
      </c>
      <c r="EF33">
        <v>0</v>
      </c>
      <c r="EG33">
        <v>0</v>
      </c>
      <c r="EH33">
        <v>0</v>
      </c>
      <c r="EI33">
        <v>1</v>
      </c>
      <c r="EJ33">
        <v>0</v>
      </c>
      <c r="EK33">
        <v>0</v>
      </c>
      <c r="EL33">
        <v>0</v>
      </c>
      <c r="EM33">
        <v>0</v>
      </c>
      <c r="EN33">
        <v>1</v>
      </c>
      <c r="EO33">
        <v>0</v>
      </c>
      <c r="EP33">
        <v>0</v>
      </c>
      <c r="EQ33">
        <v>0</v>
      </c>
      <c r="ER33">
        <v>0</v>
      </c>
      <c r="ES33">
        <v>1</v>
      </c>
      <c r="ET33">
        <v>0</v>
      </c>
      <c r="EU33">
        <v>0</v>
      </c>
      <c r="EV33">
        <v>0</v>
      </c>
      <c r="EW33">
        <v>0</v>
      </c>
      <c r="EX33">
        <v>1</v>
      </c>
      <c r="EY33">
        <v>0</v>
      </c>
      <c r="EZ33">
        <v>0</v>
      </c>
      <c r="FA33">
        <v>0</v>
      </c>
      <c r="FB33">
        <v>0</v>
      </c>
      <c r="FC33">
        <v>1</v>
      </c>
      <c r="FD33">
        <v>0</v>
      </c>
      <c r="FE33">
        <v>0</v>
      </c>
      <c r="FF33">
        <v>0</v>
      </c>
      <c r="FG33">
        <v>0</v>
      </c>
      <c r="FH33">
        <v>1</v>
      </c>
      <c r="FI33">
        <v>0</v>
      </c>
      <c r="FJ33">
        <v>0</v>
      </c>
      <c r="FK33">
        <v>0</v>
      </c>
      <c r="FL33">
        <v>0</v>
      </c>
      <c r="FM33">
        <v>1</v>
      </c>
      <c r="FN33">
        <v>0</v>
      </c>
      <c r="FO33">
        <v>0</v>
      </c>
      <c r="FP33">
        <v>0</v>
      </c>
      <c r="FQ33">
        <v>0</v>
      </c>
      <c r="FR33">
        <v>1</v>
      </c>
      <c r="FS33">
        <v>0</v>
      </c>
      <c r="FT33">
        <v>0</v>
      </c>
      <c r="FU33">
        <v>0</v>
      </c>
      <c r="FV33">
        <v>0</v>
      </c>
      <c r="FW33">
        <v>1</v>
      </c>
      <c r="FX33">
        <v>0</v>
      </c>
      <c r="FY33">
        <v>0</v>
      </c>
      <c r="FZ33">
        <v>0</v>
      </c>
      <c r="GA33">
        <v>0</v>
      </c>
      <c r="GB33">
        <v>1</v>
      </c>
      <c r="GC33">
        <v>0</v>
      </c>
      <c r="GD33">
        <v>0</v>
      </c>
      <c r="GE33">
        <v>0</v>
      </c>
      <c r="GF33">
        <v>0</v>
      </c>
      <c r="GG33">
        <v>1</v>
      </c>
      <c r="GH33">
        <v>0</v>
      </c>
      <c r="GI33">
        <v>0</v>
      </c>
      <c r="GJ33" s="6">
        <f t="shared" si="26"/>
        <v>17</v>
      </c>
      <c r="GK33">
        <v>2</v>
      </c>
      <c r="GL33" s="1">
        <v>45069.711111111108</v>
      </c>
      <c r="GM33">
        <v>0</v>
      </c>
      <c r="GQ33" s="5"/>
      <c r="GV33" s="5"/>
      <c r="HA33" s="5"/>
      <c r="HF33" s="5"/>
      <c r="HI33" s="6"/>
      <c r="HJ33" s="6"/>
      <c r="HK33" s="6"/>
      <c r="HL33">
        <v>2</v>
      </c>
      <c r="HM33" s="1">
        <v>45069.711805555555</v>
      </c>
      <c r="HN33">
        <v>3</v>
      </c>
      <c r="HO33">
        <v>6</v>
      </c>
      <c r="HP33">
        <v>6</v>
      </c>
      <c r="HQ33">
        <v>2</v>
      </c>
      <c r="HR33" s="1">
        <v>45076.488194444442</v>
      </c>
      <c r="HS33">
        <v>0</v>
      </c>
      <c r="HT33">
        <v>0</v>
      </c>
      <c r="HU33">
        <v>0</v>
      </c>
      <c r="HV33">
        <v>0</v>
      </c>
      <c r="HW33">
        <v>0</v>
      </c>
      <c r="HX33">
        <v>0</v>
      </c>
      <c r="HY33">
        <v>0</v>
      </c>
      <c r="HZ33">
        <v>0</v>
      </c>
      <c r="IA33">
        <v>0</v>
      </c>
      <c r="IB33">
        <v>0</v>
      </c>
      <c r="IC33">
        <v>0</v>
      </c>
      <c r="ID33">
        <v>0</v>
      </c>
      <c r="IE33">
        <v>0</v>
      </c>
      <c r="IF33">
        <v>0</v>
      </c>
      <c r="IG33">
        <v>1</v>
      </c>
      <c r="IH33">
        <v>0</v>
      </c>
      <c r="II33">
        <v>0</v>
      </c>
      <c r="IJ33">
        <v>0</v>
      </c>
      <c r="IK33">
        <v>0</v>
      </c>
      <c r="IL33">
        <v>0</v>
      </c>
      <c r="IM33">
        <v>0</v>
      </c>
      <c r="IN33" s="6">
        <f t="shared" si="31"/>
        <v>1</v>
      </c>
      <c r="IO33">
        <v>2</v>
      </c>
      <c r="IP33" s="1">
        <v>45076.489583333336</v>
      </c>
      <c r="IQ33">
        <v>1</v>
      </c>
      <c r="IR33">
        <v>1</v>
      </c>
      <c r="IS33">
        <v>0</v>
      </c>
      <c r="IT33">
        <v>0</v>
      </c>
      <c r="IU33">
        <v>0</v>
      </c>
      <c r="IV33">
        <v>0</v>
      </c>
      <c r="IW33">
        <v>0</v>
      </c>
      <c r="IX33">
        <v>0</v>
      </c>
      <c r="IY33">
        <v>0</v>
      </c>
      <c r="IZ33">
        <v>0</v>
      </c>
      <c r="JA33">
        <v>0</v>
      </c>
      <c r="JB33">
        <v>0</v>
      </c>
      <c r="JC33">
        <v>0</v>
      </c>
      <c r="JD33">
        <v>0</v>
      </c>
      <c r="JE33">
        <v>0</v>
      </c>
      <c r="JF33">
        <v>0</v>
      </c>
      <c r="JG33">
        <v>0</v>
      </c>
      <c r="JH33">
        <v>0</v>
      </c>
      <c r="JI33">
        <v>1</v>
      </c>
      <c r="JJ33">
        <v>0</v>
      </c>
      <c r="JK33">
        <v>4</v>
      </c>
      <c r="JL33">
        <v>1</v>
      </c>
      <c r="JM33">
        <v>0</v>
      </c>
      <c r="JN33">
        <v>0</v>
      </c>
      <c r="JO33">
        <v>0</v>
      </c>
      <c r="JP33">
        <v>0</v>
      </c>
      <c r="JQ33">
        <v>1</v>
      </c>
      <c r="JR33" t="s">
        <v>454</v>
      </c>
      <c r="JS33" t="s">
        <v>210</v>
      </c>
      <c r="JT33" s="6">
        <f t="shared" si="32"/>
        <v>3</v>
      </c>
      <c r="JU33" s="6">
        <v>4</v>
      </c>
      <c r="JV33" s="6">
        <f t="shared" ref="JV33:JV34" si="124">SUM(JL33:JN33)</f>
        <v>1</v>
      </c>
      <c r="JW33" s="6">
        <f t="shared" ref="JW33:JW34" si="125">SUM(JO33:JQ33)</f>
        <v>1</v>
      </c>
      <c r="JX33">
        <v>2</v>
      </c>
      <c r="JY33" s="1">
        <v>45076.489583333336</v>
      </c>
      <c r="JZ33">
        <v>0</v>
      </c>
      <c r="KA33">
        <v>0</v>
      </c>
      <c r="KB33">
        <v>5</v>
      </c>
      <c r="KC33" s="6">
        <f t="shared" si="35"/>
        <v>5</v>
      </c>
      <c r="KD33">
        <v>2</v>
      </c>
      <c r="KE33" s="1">
        <v>45076.490277777775</v>
      </c>
      <c r="KF33" s="6">
        <v>58.7</v>
      </c>
      <c r="KG33" s="6">
        <v>2.2000000000000002</v>
      </c>
      <c r="KP33">
        <v>3</v>
      </c>
      <c r="UH33">
        <v>4</v>
      </c>
      <c r="UX33">
        <v>3</v>
      </c>
      <c r="XN33" s="6">
        <v>3</v>
      </c>
      <c r="YX33">
        <v>3</v>
      </c>
      <c r="YY33" s="6">
        <v>58.7</v>
      </c>
      <c r="YZ33" s="6">
        <v>2.2000000000000002</v>
      </c>
      <c r="ZB33">
        <v>2</v>
      </c>
      <c r="ZC33" s="1">
        <v>45106.661111111112</v>
      </c>
      <c r="ZD33">
        <v>5</v>
      </c>
      <c r="ZE33">
        <v>1</v>
      </c>
      <c r="ZF33">
        <v>5</v>
      </c>
      <c r="ZG33">
        <v>3</v>
      </c>
      <c r="ZH33">
        <v>3</v>
      </c>
      <c r="ZI33">
        <v>1</v>
      </c>
      <c r="ZJ33">
        <v>1</v>
      </c>
      <c r="ZK33">
        <v>1</v>
      </c>
      <c r="ZL33">
        <v>5</v>
      </c>
      <c r="ZM33">
        <v>3</v>
      </c>
      <c r="ZN33">
        <v>3</v>
      </c>
      <c r="ZO33">
        <v>3</v>
      </c>
      <c r="ZP33">
        <v>1</v>
      </c>
      <c r="ZQ33">
        <v>5</v>
      </c>
      <c r="ZR33">
        <v>1</v>
      </c>
      <c r="ZS33">
        <v>5</v>
      </c>
      <c r="ZT33">
        <v>5</v>
      </c>
      <c r="ZU33">
        <v>2</v>
      </c>
      <c r="ZV33">
        <v>3</v>
      </c>
      <c r="ZW33">
        <v>1</v>
      </c>
      <c r="ZX33" s="6">
        <f t="shared" si="36"/>
        <v>42</v>
      </c>
      <c r="ZY33" s="6">
        <f t="shared" si="37"/>
        <v>15</v>
      </c>
      <c r="ZZ33">
        <v>2</v>
      </c>
      <c r="AAA33" s="1">
        <v>45076.490972222222</v>
      </c>
      <c r="AAB33">
        <v>0</v>
      </c>
      <c r="AAC33">
        <v>0</v>
      </c>
      <c r="AAD33">
        <v>0</v>
      </c>
      <c r="AAE33">
        <v>0</v>
      </c>
      <c r="AAF33">
        <v>1</v>
      </c>
      <c r="AAG33">
        <v>0</v>
      </c>
      <c r="AAH33">
        <v>0</v>
      </c>
      <c r="AAI33">
        <v>1</v>
      </c>
      <c r="AAJ33">
        <v>0</v>
      </c>
      <c r="AAK33">
        <v>0</v>
      </c>
      <c r="AAL33">
        <v>0</v>
      </c>
      <c r="AAM33">
        <v>0</v>
      </c>
      <c r="AAN33">
        <v>0</v>
      </c>
      <c r="AAO33">
        <v>0</v>
      </c>
      <c r="AAP33">
        <v>1</v>
      </c>
      <c r="AAQ33">
        <v>2</v>
      </c>
      <c r="AAR33">
        <v>0</v>
      </c>
      <c r="AAS33">
        <v>0</v>
      </c>
      <c r="AAT33" s="6">
        <f t="shared" si="38"/>
        <v>2</v>
      </c>
      <c r="AAU33" s="6">
        <f t="shared" si="39"/>
        <v>2</v>
      </c>
      <c r="AAV33" s="6">
        <f t="shared" si="40"/>
        <v>1</v>
      </c>
      <c r="AAW33" s="6">
        <f t="shared" si="41"/>
        <v>5</v>
      </c>
      <c r="AAX33">
        <v>2</v>
      </c>
      <c r="AAY33" s="1">
        <v>45076.492361111108</v>
      </c>
      <c r="AAZ33">
        <v>1</v>
      </c>
      <c r="ABA33">
        <v>5</v>
      </c>
      <c r="ABB33">
        <v>0</v>
      </c>
      <c r="ABC33">
        <v>3</v>
      </c>
      <c r="ABD33">
        <v>3</v>
      </c>
      <c r="ABE33">
        <v>16</v>
      </c>
      <c r="ABF33">
        <v>5</v>
      </c>
      <c r="ABG33">
        <v>8</v>
      </c>
      <c r="ABH33">
        <v>0</v>
      </c>
      <c r="ABI33">
        <v>4</v>
      </c>
      <c r="ABJ33">
        <v>6</v>
      </c>
      <c r="ABK33">
        <v>0</v>
      </c>
      <c r="ABL33">
        <v>6</v>
      </c>
      <c r="ABM33">
        <v>6</v>
      </c>
      <c r="ABN33">
        <v>0</v>
      </c>
      <c r="ABO33" s="6">
        <f>AVERAGE(ABA33:ABD33)</f>
        <v>2.75</v>
      </c>
      <c r="ABP33" s="6">
        <f t="shared" ref="ABP33" si="126">AVERAGE(ABF33:ABL33)</f>
        <v>4.1428571428571432</v>
      </c>
      <c r="ABQ33">
        <v>2</v>
      </c>
      <c r="ABS33">
        <v>0</v>
      </c>
      <c r="ABT33">
        <v>0</v>
      </c>
      <c r="ABU33">
        <v>1</v>
      </c>
      <c r="ABV33">
        <v>1</v>
      </c>
      <c r="ABW33">
        <v>0</v>
      </c>
      <c r="ABX33">
        <v>0</v>
      </c>
      <c r="ABY33">
        <v>0</v>
      </c>
      <c r="ABZ33">
        <v>1</v>
      </c>
      <c r="ACA33">
        <v>0</v>
      </c>
      <c r="ACB33">
        <v>1</v>
      </c>
      <c r="ACC33">
        <v>0</v>
      </c>
      <c r="ACD33">
        <v>0</v>
      </c>
      <c r="ACE33">
        <v>3</v>
      </c>
      <c r="ACF33">
        <v>0</v>
      </c>
      <c r="ACG33">
        <v>0</v>
      </c>
      <c r="ACH33">
        <v>0</v>
      </c>
      <c r="ACI33">
        <v>0</v>
      </c>
      <c r="ACJ33">
        <v>0</v>
      </c>
      <c r="ACK33">
        <v>1</v>
      </c>
      <c r="ACL33">
        <v>0</v>
      </c>
      <c r="ACM33">
        <v>0</v>
      </c>
      <c r="ACN33">
        <v>3</v>
      </c>
      <c r="ACO33">
        <v>1</v>
      </c>
      <c r="ACP33">
        <v>0</v>
      </c>
      <c r="ACQ33">
        <v>0</v>
      </c>
      <c r="ACR33">
        <v>3</v>
      </c>
      <c r="ACS33">
        <v>1</v>
      </c>
      <c r="ACT33">
        <v>0</v>
      </c>
      <c r="ACU33">
        <v>0</v>
      </c>
      <c r="ACV33">
        <v>0</v>
      </c>
      <c r="ACW33" s="6">
        <f t="shared" si="44"/>
        <v>0</v>
      </c>
      <c r="ACX33" s="6">
        <f t="shared" si="45"/>
        <v>0</v>
      </c>
      <c r="ACY33" s="6">
        <f t="shared" si="46"/>
        <v>0</v>
      </c>
      <c r="ACZ33" s="6">
        <f t="shared" si="47"/>
        <v>9</v>
      </c>
      <c r="ADA33" s="6">
        <f t="shared" si="48"/>
        <v>3</v>
      </c>
      <c r="ADB33" s="6">
        <f t="shared" si="49"/>
        <v>4</v>
      </c>
      <c r="ADC33" s="6">
        <f t="shared" si="50"/>
        <v>8</v>
      </c>
      <c r="ADD33">
        <v>2</v>
      </c>
      <c r="ADE33" s="1">
        <v>45076.493750000001</v>
      </c>
      <c r="ADF33" s="5">
        <v>3</v>
      </c>
      <c r="ADG33">
        <f t="shared" si="51"/>
        <v>2</v>
      </c>
      <c r="ADH33" s="5">
        <v>4</v>
      </c>
      <c r="ADI33">
        <f t="shared" si="52"/>
        <v>1</v>
      </c>
      <c r="ADJ33">
        <v>1</v>
      </c>
      <c r="ADK33">
        <v>1</v>
      </c>
      <c r="ADL33" s="5">
        <v>4</v>
      </c>
      <c r="ADM33">
        <f t="shared" si="3"/>
        <v>1</v>
      </c>
      <c r="ADN33">
        <v>1</v>
      </c>
      <c r="ADO33">
        <v>2</v>
      </c>
      <c r="ADP33" s="5">
        <v>4</v>
      </c>
      <c r="ADQ33">
        <f t="shared" si="4"/>
        <v>1</v>
      </c>
      <c r="ADR33">
        <v>1</v>
      </c>
      <c r="ADS33" s="5">
        <v>4</v>
      </c>
      <c r="ADT33">
        <f t="shared" si="5"/>
        <v>1</v>
      </c>
      <c r="ADU33" s="5">
        <v>4</v>
      </c>
      <c r="ADV33">
        <f t="shared" ref="ADV33" si="127">INDEX($AD$48:$AE$51, MATCH(ADU33, $AD$48:$AD$51, 0), 2)</f>
        <v>1</v>
      </c>
      <c r="ADW33">
        <v>1</v>
      </c>
      <c r="ADX33">
        <v>2</v>
      </c>
      <c r="ADY33">
        <v>1</v>
      </c>
      <c r="ADZ33" s="5">
        <v>4</v>
      </c>
      <c r="AEA33">
        <f t="shared" si="6"/>
        <v>1</v>
      </c>
      <c r="AEB33" s="5">
        <v>4</v>
      </c>
      <c r="AEC33">
        <f t="shared" ref="AEC33" si="128">INDEX($AD$48:$AE$51, MATCH(AEB33, $AD$48:$AD$51, 0), 2)</f>
        <v>1</v>
      </c>
      <c r="AED33">
        <v>1</v>
      </c>
      <c r="AEE33">
        <v>1</v>
      </c>
      <c r="AEF33" s="5">
        <v>4</v>
      </c>
      <c r="AEG33">
        <f t="shared" si="7"/>
        <v>1</v>
      </c>
      <c r="AEH33" s="5">
        <v>4</v>
      </c>
      <c r="AEI33">
        <f t="shared" si="8"/>
        <v>1</v>
      </c>
      <c r="AEJ33" s="6">
        <f t="shared" si="55"/>
        <v>24</v>
      </c>
      <c r="AEK33">
        <v>2</v>
      </c>
      <c r="AEL33" s="1">
        <v>45076.493750000001</v>
      </c>
      <c r="AEM33">
        <v>0</v>
      </c>
      <c r="AER33">
        <v>0</v>
      </c>
      <c r="AES33">
        <v>0</v>
      </c>
      <c r="AET33">
        <v>0</v>
      </c>
      <c r="AEU33">
        <v>0</v>
      </c>
      <c r="AEV33">
        <v>0</v>
      </c>
      <c r="AEX33">
        <v>2</v>
      </c>
    </row>
    <row r="34" spans="1:830">
      <c r="A34">
        <v>203</v>
      </c>
      <c r="B34" t="s">
        <v>1212</v>
      </c>
      <c r="C34">
        <v>2</v>
      </c>
      <c r="D34">
        <v>2</v>
      </c>
      <c r="E34">
        <v>46</v>
      </c>
      <c r="F34">
        <v>64</v>
      </c>
      <c r="G34">
        <v>130</v>
      </c>
      <c r="H34">
        <v>0</v>
      </c>
      <c r="I34">
        <v>3</v>
      </c>
      <c r="K34" t="s">
        <v>461</v>
      </c>
      <c r="L34">
        <v>2</v>
      </c>
      <c r="M34" s="1">
        <v>45068.412499999999</v>
      </c>
      <c r="N34">
        <v>7</v>
      </c>
      <c r="O34">
        <v>0</v>
      </c>
      <c r="Q34">
        <v>0</v>
      </c>
      <c r="R34">
        <v>1</v>
      </c>
      <c r="S34">
        <v>0</v>
      </c>
      <c r="T34">
        <v>0</v>
      </c>
      <c r="U34">
        <v>0</v>
      </c>
      <c r="V34">
        <v>0</v>
      </c>
      <c r="W34">
        <v>0</v>
      </c>
      <c r="X34">
        <v>0</v>
      </c>
      <c r="Y34">
        <v>0</v>
      </c>
      <c r="Z34">
        <v>0</v>
      </c>
      <c r="AA34">
        <v>0</v>
      </c>
      <c r="AB34">
        <v>2</v>
      </c>
      <c r="AC34">
        <v>2</v>
      </c>
      <c r="AD34" s="1">
        <v>45068.413888888892</v>
      </c>
      <c r="AE34" s="5">
        <v>4</v>
      </c>
      <c r="AF34">
        <f t="shared" si="9"/>
        <v>1</v>
      </c>
      <c r="AG34">
        <v>1</v>
      </c>
      <c r="AH34" s="5">
        <v>4</v>
      </c>
      <c r="AI34">
        <f t="shared" si="10"/>
        <v>1</v>
      </c>
      <c r="AJ34">
        <v>1</v>
      </c>
      <c r="AK34">
        <v>1</v>
      </c>
      <c r="AL34" s="5">
        <v>3</v>
      </c>
      <c r="AM34">
        <f t="shared" si="11"/>
        <v>2</v>
      </c>
      <c r="AN34" s="5">
        <v>3</v>
      </c>
      <c r="AO34">
        <f t="shared" si="12"/>
        <v>2</v>
      </c>
      <c r="AP34">
        <v>1</v>
      </c>
      <c r="AQ34">
        <v>2</v>
      </c>
      <c r="AR34" s="5">
        <v>4</v>
      </c>
      <c r="AS34">
        <f t="shared" si="13"/>
        <v>1</v>
      </c>
      <c r="AT34">
        <v>1</v>
      </c>
      <c r="AU34">
        <v>1</v>
      </c>
      <c r="AV34" s="5">
        <v>4</v>
      </c>
      <c r="AW34">
        <f t="shared" si="14"/>
        <v>1</v>
      </c>
      <c r="AX34" s="5">
        <v>4</v>
      </c>
      <c r="AY34">
        <f t="shared" si="15"/>
        <v>1</v>
      </c>
      <c r="AZ34">
        <v>1</v>
      </c>
      <c r="BA34" s="5">
        <v>4</v>
      </c>
      <c r="BB34">
        <f t="shared" si="16"/>
        <v>1</v>
      </c>
      <c r="BC34">
        <v>2</v>
      </c>
      <c r="BD34">
        <v>2</v>
      </c>
      <c r="BE34" s="5">
        <v>4</v>
      </c>
      <c r="BF34">
        <f t="shared" si="17"/>
        <v>1</v>
      </c>
      <c r="BG34">
        <v>1</v>
      </c>
      <c r="BH34" s="6">
        <f t="shared" si="18"/>
        <v>25</v>
      </c>
      <c r="BI34">
        <v>2</v>
      </c>
      <c r="BJ34" s="1">
        <v>45068.414583333331</v>
      </c>
      <c r="BK34">
        <v>12</v>
      </c>
      <c r="BL34">
        <v>2</v>
      </c>
      <c r="BM34">
        <v>1</v>
      </c>
      <c r="BQ34" s="2">
        <v>45056</v>
      </c>
      <c r="BU34">
        <v>28</v>
      </c>
      <c r="BV34" t="s">
        <v>462</v>
      </c>
      <c r="BW34">
        <v>4</v>
      </c>
      <c r="BX34">
        <v>2</v>
      </c>
      <c r="BY34" s="1">
        <v>45068.487500000003</v>
      </c>
      <c r="BZ34">
        <v>3</v>
      </c>
      <c r="CA34">
        <v>2</v>
      </c>
      <c r="CB34">
        <v>3</v>
      </c>
      <c r="CC34">
        <v>3</v>
      </c>
      <c r="CD34">
        <v>4</v>
      </c>
      <c r="CE34">
        <v>4</v>
      </c>
      <c r="CF34">
        <v>3</v>
      </c>
      <c r="CG34">
        <v>4</v>
      </c>
      <c r="CH34">
        <v>4</v>
      </c>
      <c r="CI34">
        <v>3</v>
      </c>
      <c r="CJ34">
        <v>2</v>
      </c>
      <c r="CK34">
        <v>4</v>
      </c>
      <c r="CL34" s="5">
        <v>1</v>
      </c>
      <c r="CM34">
        <f t="shared" si="19"/>
        <v>4</v>
      </c>
      <c r="CN34">
        <v>3</v>
      </c>
      <c r="CO34">
        <v>4</v>
      </c>
      <c r="CP34">
        <v>2</v>
      </c>
      <c r="CQ34">
        <v>3</v>
      </c>
      <c r="CR34" s="5">
        <v>3</v>
      </c>
      <c r="CS34">
        <f t="shared" si="20"/>
        <v>2</v>
      </c>
      <c r="CT34">
        <v>3</v>
      </c>
      <c r="CU34">
        <v>4</v>
      </c>
      <c r="CV34" s="6">
        <f t="shared" si="21"/>
        <v>13</v>
      </c>
      <c r="CW34" s="6">
        <f t="shared" si="22"/>
        <v>12</v>
      </c>
      <c r="CX34" s="6">
        <f t="shared" si="23"/>
        <v>18</v>
      </c>
      <c r="CY34" s="6">
        <f t="shared" si="24"/>
        <v>43</v>
      </c>
      <c r="CZ34" s="6">
        <f t="shared" si="25"/>
        <v>21</v>
      </c>
      <c r="DA34">
        <v>2</v>
      </c>
      <c r="DB34" s="1">
        <v>45068.489583333336</v>
      </c>
      <c r="DC34">
        <v>1</v>
      </c>
      <c r="DD34">
        <v>0</v>
      </c>
      <c r="DE34">
        <v>0</v>
      </c>
      <c r="DF34">
        <v>0</v>
      </c>
      <c r="DG34">
        <v>0</v>
      </c>
      <c r="DH34">
        <v>0</v>
      </c>
      <c r="DI34">
        <v>0</v>
      </c>
      <c r="DJ34">
        <v>0</v>
      </c>
      <c r="DK34">
        <v>0</v>
      </c>
      <c r="DL34">
        <v>1</v>
      </c>
      <c r="DM34">
        <v>1</v>
      </c>
      <c r="DN34">
        <v>0</v>
      </c>
      <c r="DO34">
        <v>0</v>
      </c>
      <c r="DP34">
        <v>0</v>
      </c>
      <c r="DQ34">
        <v>0</v>
      </c>
      <c r="DR34">
        <v>0</v>
      </c>
      <c r="DS34">
        <v>0</v>
      </c>
      <c r="DT34">
        <v>1</v>
      </c>
      <c r="DU34">
        <v>0</v>
      </c>
      <c r="DV34">
        <v>0</v>
      </c>
      <c r="DW34">
        <v>0</v>
      </c>
      <c r="DX34">
        <v>0</v>
      </c>
      <c r="DY34">
        <v>0</v>
      </c>
      <c r="DZ34">
        <v>0</v>
      </c>
      <c r="EA34">
        <v>1</v>
      </c>
      <c r="EB34">
        <v>0</v>
      </c>
      <c r="EC34">
        <v>0</v>
      </c>
      <c r="ED34">
        <v>1</v>
      </c>
      <c r="EE34">
        <v>0</v>
      </c>
      <c r="EF34">
        <v>0</v>
      </c>
      <c r="EG34">
        <v>0</v>
      </c>
      <c r="EH34">
        <v>0</v>
      </c>
      <c r="EI34">
        <v>1</v>
      </c>
      <c r="EJ34">
        <v>0</v>
      </c>
      <c r="EK34">
        <v>0</v>
      </c>
      <c r="EL34">
        <v>1</v>
      </c>
      <c r="EM34">
        <v>0</v>
      </c>
      <c r="EN34">
        <v>0</v>
      </c>
      <c r="EO34">
        <v>0</v>
      </c>
      <c r="EP34">
        <v>0</v>
      </c>
      <c r="EQ34">
        <v>1</v>
      </c>
      <c r="ER34">
        <v>0</v>
      </c>
      <c r="ES34">
        <v>0</v>
      </c>
      <c r="ET34">
        <v>0</v>
      </c>
      <c r="EU34">
        <v>0</v>
      </c>
      <c r="EV34">
        <v>0</v>
      </c>
      <c r="EW34">
        <v>0</v>
      </c>
      <c r="EX34">
        <v>1</v>
      </c>
      <c r="EY34">
        <v>0</v>
      </c>
      <c r="EZ34">
        <v>0</v>
      </c>
      <c r="FA34">
        <v>1</v>
      </c>
      <c r="FB34">
        <v>0</v>
      </c>
      <c r="FC34">
        <v>0</v>
      </c>
      <c r="FD34">
        <v>0</v>
      </c>
      <c r="FE34">
        <v>0</v>
      </c>
      <c r="FF34">
        <v>0</v>
      </c>
      <c r="FG34">
        <v>0</v>
      </c>
      <c r="FH34">
        <v>1</v>
      </c>
      <c r="FI34">
        <v>0</v>
      </c>
      <c r="FJ34">
        <v>0</v>
      </c>
      <c r="FK34">
        <v>0</v>
      </c>
      <c r="FL34">
        <v>0</v>
      </c>
      <c r="FM34">
        <v>1</v>
      </c>
      <c r="FN34">
        <v>0</v>
      </c>
      <c r="FO34">
        <v>0</v>
      </c>
      <c r="FP34">
        <v>0</v>
      </c>
      <c r="FQ34">
        <v>0</v>
      </c>
      <c r="FR34">
        <v>1</v>
      </c>
      <c r="FS34">
        <v>0</v>
      </c>
      <c r="FT34">
        <v>0</v>
      </c>
      <c r="FU34">
        <v>0</v>
      </c>
      <c r="FV34">
        <v>0</v>
      </c>
      <c r="FW34">
        <v>1</v>
      </c>
      <c r="FX34">
        <v>0</v>
      </c>
      <c r="FY34">
        <v>0</v>
      </c>
      <c r="FZ34">
        <v>0</v>
      </c>
      <c r="GA34">
        <v>0</v>
      </c>
      <c r="GB34">
        <v>0</v>
      </c>
      <c r="GC34">
        <v>0</v>
      </c>
      <c r="GD34">
        <v>1</v>
      </c>
      <c r="GE34">
        <v>0</v>
      </c>
      <c r="GF34">
        <v>0</v>
      </c>
      <c r="GG34">
        <v>0</v>
      </c>
      <c r="GH34">
        <v>0</v>
      </c>
      <c r="GI34">
        <v>1</v>
      </c>
      <c r="GJ34" s="6">
        <f t="shared" si="26"/>
        <v>17</v>
      </c>
      <c r="GK34">
        <v>2</v>
      </c>
      <c r="GL34" s="1">
        <v>45068.489583333336</v>
      </c>
      <c r="GM34">
        <v>0</v>
      </c>
      <c r="GQ34" s="5"/>
      <c r="GV34" s="5"/>
      <c r="HA34" s="5"/>
      <c r="HF34" s="5"/>
      <c r="HI34" s="6"/>
      <c r="HJ34" s="6"/>
      <c r="HK34" s="6"/>
      <c r="HL34">
        <v>2</v>
      </c>
      <c r="HM34" s="1">
        <v>45068.490277777775</v>
      </c>
      <c r="HN34">
        <v>11</v>
      </c>
      <c r="HO34">
        <v>17</v>
      </c>
      <c r="HP34">
        <v>15</v>
      </c>
      <c r="HQ34">
        <v>2</v>
      </c>
      <c r="HR34" s="1">
        <v>45068.491666666669</v>
      </c>
      <c r="HS34">
        <v>0</v>
      </c>
      <c r="HT34">
        <v>0</v>
      </c>
      <c r="HU34">
        <v>0</v>
      </c>
      <c r="HV34">
        <v>0</v>
      </c>
      <c r="HW34">
        <v>0</v>
      </c>
      <c r="HX34">
        <v>0</v>
      </c>
      <c r="HY34">
        <v>0</v>
      </c>
      <c r="HZ34">
        <v>0</v>
      </c>
      <c r="IA34">
        <v>0</v>
      </c>
      <c r="IB34">
        <v>0</v>
      </c>
      <c r="IC34">
        <v>0</v>
      </c>
      <c r="ID34">
        <v>0</v>
      </c>
      <c r="IE34">
        <v>0</v>
      </c>
      <c r="IF34">
        <v>0</v>
      </c>
      <c r="IG34">
        <v>0</v>
      </c>
      <c r="IH34">
        <v>0</v>
      </c>
      <c r="II34">
        <v>0</v>
      </c>
      <c r="IJ34">
        <v>0</v>
      </c>
      <c r="IK34">
        <v>0</v>
      </c>
      <c r="IL34">
        <v>0</v>
      </c>
      <c r="IM34">
        <v>0</v>
      </c>
      <c r="IN34" s="6">
        <f t="shared" si="31"/>
        <v>0</v>
      </c>
      <c r="IO34">
        <v>2</v>
      </c>
      <c r="IP34" s="1">
        <v>45068.493055555555</v>
      </c>
      <c r="IQ34">
        <v>0</v>
      </c>
      <c r="IR34">
        <v>0</v>
      </c>
      <c r="IS34">
        <v>0</v>
      </c>
      <c r="IT34">
        <v>0</v>
      </c>
      <c r="IU34">
        <v>0</v>
      </c>
      <c r="IV34">
        <v>0</v>
      </c>
      <c r="IW34">
        <v>0</v>
      </c>
      <c r="IX34">
        <v>0</v>
      </c>
      <c r="IY34">
        <v>0</v>
      </c>
      <c r="IZ34">
        <v>0</v>
      </c>
      <c r="JA34">
        <v>0</v>
      </c>
      <c r="JB34">
        <v>0</v>
      </c>
      <c r="JC34">
        <v>0</v>
      </c>
      <c r="JD34">
        <v>0</v>
      </c>
      <c r="JE34">
        <v>0</v>
      </c>
      <c r="JF34">
        <v>0</v>
      </c>
      <c r="JG34">
        <v>0</v>
      </c>
      <c r="JH34">
        <v>0</v>
      </c>
      <c r="JI34">
        <v>1</v>
      </c>
      <c r="JJ34">
        <v>0</v>
      </c>
      <c r="JK34" t="s">
        <v>463</v>
      </c>
      <c r="JL34">
        <v>0</v>
      </c>
      <c r="JM34">
        <v>0</v>
      </c>
      <c r="JN34">
        <v>1</v>
      </c>
      <c r="JO34">
        <v>0</v>
      </c>
      <c r="JP34">
        <v>0</v>
      </c>
      <c r="JQ34">
        <v>0</v>
      </c>
      <c r="JR34" t="s">
        <v>227</v>
      </c>
      <c r="JS34" t="s">
        <v>227</v>
      </c>
      <c r="JT34" s="6">
        <f t="shared" si="32"/>
        <v>1</v>
      </c>
      <c r="JU34" s="6"/>
      <c r="JV34" s="6">
        <f t="shared" si="124"/>
        <v>1</v>
      </c>
      <c r="JW34" s="6">
        <f t="shared" si="125"/>
        <v>0</v>
      </c>
      <c r="JX34">
        <v>2</v>
      </c>
      <c r="JY34" s="1">
        <v>45068.493055555555</v>
      </c>
      <c r="JZ34">
        <v>0</v>
      </c>
      <c r="KA34">
        <v>0</v>
      </c>
      <c r="KB34">
        <v>0</v>
      </c>
      <c r="KC34" s="6">
        <f t="shared" si="35"/>
        <v>0</v>
      </c>
      <c r="KD34">
        <v>2</v>
      </c>
      <c r="KE34" s="1">
        <v>45068.493750000001</v>
      </c>
      <c r="KF34" s="6">
        <v>42.3</v>
      </c>
      <c r="KG34" s="6">
        <v>2.6</v>
      </c>
      <c r="KP34">
        <v>1</v>
      </c>
      <c r="UT34">
        <v>2</v>
      </c>
      <c r="UX34">
        <v>1</v>
      </c>
      <c r="WX34" s="6">
        <v>2</v>
      </c>
      <c r="YX34">
        <v>2</v>
      </c>
      <c r="YY34" s="6">
        <v>42.3</v>
      </c>
      <c r="YZ34" s="6">
        <v>2.6</v>
      </c>
      <c r="ZB34">
        <v>2</v>
      </c>
      <c r="ZC34" s="1">
        <v>45107.661111111112</v>
      </c>
      <c r="ZD34">
        <v>5</v>
      </c>
      <c r="ZE34">
        <v>1</v>
      </c>
      <c r="ZF34">
        <v>4</v>
      </c>
      <c r="ZG34">
        <v>1</v>
      </c>
      <c r="ZH34">
        <v>5</v>
      </c>
      <c r="ZI34">
        <v>1</v>
      </c>
      <c r="ZJ34">
        <v>1</v>
      </c>
      <c r="ZK34">
        <v>1</v>
      </c>
      <c r="ZL34">
        <v>4</v>
      </c>
      <c r="ZM34">
        <v>3</v>
      </c>
      <c r="ZN34">
        <v>1</v>
      </c>
      <c r="ZO34">
        <v>4</v>
      </c>
      <c r="ZP34">
        <v>1</v>
      </c>
      <c r="ZQ34">
        <v>5</v>
      </c>
      <c r="ZR34">
        <v>1</v>
      </c>
      <c r="ZS34">
        <v>5</v>
      </c>
      <c r="ZT34">
        <v>5</v>
      </c>
      <c r="ZU34">
        <v>1</v>
      </c>
      <c r="ZV34">
        <v>5</v>
      </c>
      <c r="ZW34">
        <v>1</v>
      </c>
      <c r="ZX34" s="6">
        <f t="shared" si="36"/>
        <v>45</v>
      </c>
      <c r="ZY34" s="6">
        <f t="shared" si="37"/>
        <v>10</v>
      </c>
      <c r="ZZ34">
        <v>2</v>
      </c>
      <c r="AAA34" s="1">
        <v>45068.495833333334</v>
      </c>
      <c r="AAB34">
        <v>0</v>
      </c>
      <c r="AAC34">
        <v>0</v>
      </c>
      <c r="AAD34">
        <v>0</v>
      </c>
      <c r="AAE34">
        <v>0</v>
      </c>
      <c r="AAF34">
        <v>0</v>
      </c>
      <c r="AAG34">
        <v>0</v>
      </c>
      <c r="AAH34">
        <v>0</v>
      </c>
      <c r="AAI34">
        <v>0</v>
      </c>
      <c r="AAJ34">
        <v>0</v>
      </c>
      <c r="AAK34">
        <v>0</v>
      </c>
      <c r="AAL34">
        <v>0</v>
      </c>
      <c r="AAM34">
        <v>0</v>
      </c>
      <c r="AAN34">
        <v>0</v>
      </c>
      <c r="AAO34">
        <v>0</v>
      </c>
      <c r="AAP34">
        <v>0</v>
      </c>
      <c r="AAQ34">
        <v>0</v>
      </c>
      <c r="AAR34">
        <v>0</v>
      </c>
      <c r="AAS34">
        <v>0</v>
      </c>
      <c r="AAT34" s="6">
        <f t="shared" si="38"/>
        <v>0</v>
      </c>
      <c r="AAU34" s="6">
        <f t="shared" si="39"/>
        <v>0</v>
      </c>
      <c r="AAV34" s="6">
        <f t="shared" si="40"/>
        <v>0</v>
      </c>
      <c r="AAW34" s="6">
        <f t="shared" si="41"/>
        <v>0</v>
      </c>
      <c r="AAX34">
        <v>2</v>
      </c>
      <c r="AAY34" s="1">
        <v>45068.495833333334</v>
      </c>
      <c r="AAZ34">
        <v>0</v>
      </c>
      <c r="ABO34" s="6"/>
      <c r="ABP34" s="6"/>
      <c r="ABQ34">
        <v>2</v>
      </c>
      <c r="ABS34">
        <v>0</v>
      </c>
      <c r="ABT34">
        <v>0</v>
      </c>
      <c r="ABU34">
        <v>0</v>
      </c>
      <c r="ABV34">
        <v>3</v>
      </c>
      <c r="ABW34">
        <v>0</v>
      </c>
      <c r="ABX34">
        <v>0</v>
      </c>
      <c r="ABY34">
        <v>0</v>
      </c>
      <c r="ABZ34">
        <v>3</v>
      </c>
      <c r="ACA34">
        <v>0</v>
      </c>
      <c r="ACB34">
        <v>3</v>
      </c>
      <c r="ACC34">
        <v>0</v>
      </c>
      <c r="ACD34">
        <v>0</v>
      </c>
      <c r="ACE34">
        <v>1</v>
      </c>
      <c r="ACF34">
        <v>0</v>
      </c>
      <c r="ACG34">
        <v>0</v>
      </c>
      <c r="ACH34">
        <v>0</v>
      </c>
      <c r="ACI34">
        <v>0</v>
      </c>
      <c r="ACJ34">
        <v>0</v>
      </c>
      <c r="ACK34">
        <v>0</v>
      </c>
      <c r="ACL34">
        <v>0</v>
      </c>
      <c r="ACM34">
        <v>0</v>
      </c>
      <c r="ACN34">
        <v>0</v>
      </c>
      <c r="ACO34">
        <v>0</v>
      </c>
      <c r="ACP34">
        <v>0</v>
      </c>
      <c r="ACQ34">
        <v>0</v>
      </c>
      <c r="ACR34">
        <v>3</v>
      </c>
      <c r="ACS34">
        <v>3</v>
      </c>
      <c r="ACT34">
        <v>0</v>
      </c>
      <c r="ACU34">
        <v>0</v>
      </c>
      <c r="ACV34">
        <v>3</v>
      </c>
      <c r="ACW34" s="6">
        <f t="shared" si="44"/>
        <v>0</v>
      </c>
      <c r="ACX34" s="6">
        <f t="shared" si="45"/>
        <v>0</v>
      </c>
      <c r="ACY34" s="6">
        <f t="shared" si="46"/>
        <v>0</v>
      </c>
      <c r="ACZ34" s="6">
        <f t="shared" si="47"/>
        <v>1</v>
      </c>
      <c r="ADA34" s="6">
        <f t="shared" si="48"/>
        <v>3</v>
      </c>
      <c r="ADB34" s="6">
        <f t="shared" si="49"/>
        <v>15</v>
      </c>
      <c r="ADC34" s="6">
        <f t="shared" si="50"/>
        <v>-11</v>
      </c>
      <c r="ADD34">
        <v>2</v>
      </c>
      <c r="ADE34" s="1">
        <v>45068.49722222222</v>
      </c>
      <c r="ADF34" s="5">
        <v>4</v>
      </c>
      <c r="ADG34">
        <f t="shared" si="51"/>
        <v>1</v>
      </c>
      <c r="ADH34" s="5">
        <v>4</v>
      </c>
      <c r="ADI34">
        <f t="shared" si="52"/>
        <v>1</v>
      </c>
      <c r="ADJ34">
        <v>1</v>
      </c>
      <c r="ADK34">
        <v>1</v>
      </c>
      <c r="ADL34" s="5">
        <v>4</v>
      </c>
      <c r="ADM34">
        <f t="shared" si="3"/>
        <v>1</v>
      </c>
      <c r="ADN34">
        <v>1</v>
      </c>
      <c r="ADO34">
        <v>1</v>
      </c>
      <c r="ADP34" s="5">
        <v>4</v>
      </c>
      <c r="ADQ34">
        <f t="shared" si="4"/>
        <v>1</v>
      </c>
      <c r="ADR34">
        <v>1</v>
      </c>
      <c r="ADS34" s="5">
        <v>4</v>
      </c>
      <c r="ADT34">
        <f t="shared" si="5"/>
        <v>1</v>
      </c>
      <c r="ADU34" s="5">
        <v>4</v>
      </c>
      <c r="ADV34">
        <f t="shared" ref="ADV34" si="129">INDEX($AD$48:$AE$51, MATCH(ADU34, $AD$48:$AD$51, 0), 2)</f>
        <v>1</v>
      </c>
      <c r="ADW34">
        <v>1</v>
      </c>
      <c r="ADX34">
        <v>1</v>
      </c>
      <c r="ADY34">
        <v>1</v>
      </c>
      <c r="ADZ34" s="5">
        <v>4</v>
      </c>
      <c r="AEA34">
        <f t="shared" si="6"/>
        <v>1</v>
      </c>
      <c r="AEB34" s="5">
        <v>4</v>
      </c>
      <c r="AEC34">
        <f t="shared" ref="AEC34" si="130">INDEX($AD$48:$AE$51, MATCH(AEB34, $AD$48:$AD$51, 0), 2)</f>
        <v>1</v>
      </c>
      <c r="AED34">
        <v>1</v>
      </c>
      <c r="AEE34">
        <v>1</v>
      </c>
      <c r="AEF34" s="5">
        <v>4</v>
      </c>
      <c r="AEG34">
        <f t="shared" si="7"/>
        <v>1</v>
      </c>
      <c r="AEH34" s="5">
        <v>4</v>
      </c>
      <c r="AEI34">
        <f t="shared" si="8"/>
        <v>1</v>
      </c>
      <c r="AEJ34" s="6">
        <f t="shared" si="55"/>
        <v>21</v>
      </c>
      <c r="AEK34">
        <v>2</v>
      </c>
      <c r="AEL34" s="1">
        <v>45068.49722222222</v>
      </c>
      <c r="AEM34">
        <v>0</v>
      </c>
      <c r="AER34">
        <v>0</v>
      </c>
      <c r="AES34">
        <v>0</v>
      </c>
      <c r="AET34">
        <v>0</v>
      </c>
      <c r="AEU34">
        <v>0</v>
      </c>
      <c r="AEV34">
        <v>0</v>
      </c>
      <c r="AEX34">
        <v>2</v>
      </c>
    </row>
    <row r="35" spans="1:830">
      <c r="A35">
        <v>117</v>
      </c>
      <c r="B35" t="s">
        <v>1170</v>
      </c>
      <c r="C35">
        <v>2</v>
      </c>
      <c r="D35">
        <v>2</v>
      </c>
      <c r="E35">
        <v>54</v>
      </c>
      <c r="F35">
        <v>71</v>
      </c>
      <c r="G35">
        <v>210</v>
      </c>
      <c r="H35">
        <v>0</v>
      </c>
      <c r="I35">
        <v>5</v>
      </c>
      <c r="K35" t="s">
        <v>207</v>
      </c>
      <c r="L35">
        <v>2</v>
      </c>
      <c r="M35" s="1">
        <v>45467.729861111111</v>
      </c>
      <c r="N35">
        <v>8</v>
      </c>
      <c r="O35">
        <v>0</v>
      </c>
      <c r="Q35">
        <v>0</v>
      </c>
      <c r="R35">
        <v>1</v>
      </c>
      <c r="S35">
        <v>0</v>
      </c>
      <c r="T35">
        <v>0</v>
      </c>
      <c r="U35">
        <v>0</v>
      </c>
      <c r="V35">
        <v>0</v>
      </c>
      <c r="W35">
        <v>0</v>
      </c>
      <c r="X35">
        <v>0</v>
      </c>
      <c r="Y35">
        <v>0</v>
      </c>
      <c r="Z35">
        <v>0</v>
      </c>
      <c r="AA35">
        <v>0</v>
      </c>
      <c r="AB35" t="s">
        <v>208</v>
      </c>
      <c r="AC35">
        <v>2</v>
      </c>
      <c r="AD35" s="1">
        <v>45467.731249999997</v>
      </c>
      <c r="AE35" s="5">
        <v>4</v>
      </c>
      <c r="AF35">
        <f t="shared" si="9"/>
        <v>1</v>
      </c>
      <c r="AG35">
        <v>1</v>
      </c>
      <c r="AH35" s="5">
        <v>4</v>
      </c>
      <c r="AI35">
        <f t="shared" si="10"/>
        <v>1</v>
      </c>
      <c r="AJ35">
        <v>1</v>
      </c>
      <c r="AK35">
        <v>1</v>
      </c>
      <c r="AL35" s="5">
        <v>3</v>
      </c>
      <c r="AM35">
        <f t="shared" si="11"/>
        <v>2</v>
      </c>
      <c r="AN35" s="5">
        <v>3</v>
      </c>
      <c r="AO35">
        <f t="shared" si="12"/>
        <v>2</v>
      </c>
      <c r="AP35">
        <v>2</v>
      </c>
      <c r="AQ35">
        <v>1</v>
      </c>
      <c r="AR35" s="5">
        <v>3</v>
      </c>
      <c r="AS35">
        <f t="shared" si="13"/>
        <v>2</v>
      </c>
      <c r="AT35">
        <v>1</v>
      </c>
      <c r="AU35">
        <v>1</v>
      </c>
      <c r="AV35" s="5">
        <v>4</v>
      </c>
      <c r="AW35">
        <f t="shared" si="14"/>
        <v>1</v>
      </c>
      <c r="AX35" s="5">
        <v>3</v>
      </c>
      <c r="AY35">
        <f t="shared" si="15"/>
        <v>2</v>
      </c>
      <c r="AZ35">
        <v>1</v>
      </c>
      <c r="BA35" s="5">
        <v>4</v>
      </c>
      <c r="BB35">
        <f t="shared" si="16"/>
        <v>1</v>
      </c>
      <c r="BC35">
        <v>1</v>
      </c>
      <c r="BD35">
        <v>1</v>
      </c>
      <c r="BE35" s="5">
        <v>4</v>
      </c>
      <c r="BF35">
        <f t="shared" si="17"/>
        <v>1</v>
      </c>
      <c r="BG35">
        <v>1</v>
      </c>
      <c r="BH35" s="6">
        <f t="shared" si="18"/>
        <v>25</v>
      </c>
      <c r="BI35">
        <v>2</v>
      </c>
      <c r="BJ35" s="1">
        <v>45467.734027777777</v>
      </c>
      <c r="BK35">
        <v>12</v>
      </c>
      <c r="BL35">
        <v>3</v>
      </c>
      <c r="BM35">
        <v>6</v>
      </c>
      <c r="BO35" t="s">
        <v>209</v>
      </c>
      <c r="BQ35" s="2">
        <v>41183</v>
      </c>
      <c r="BR35">
        <v>4</v>
      </c>
      <c r="BS35">
        <v>1</v>
      </c>
      <c r="BT35">
        <v>5</v>
      </c>
      <c r="BU35">
        <v>25</v>
      </c>
      <c r="BV35">
        <v>5</v>
      </c>
      <c r="BW35">
        <v>1</v>
      </c>
      <c r="BX35">
        <v>2</v>
      </c>
      <c r="BY35" s="1">
        <v>45467.734722222223</v>
      </c>
      <c r="BZ35">
        <v>4</v>
      </c>
      <c r="CA35">
        <v>2</v>
      </c>
      <c r="CB35">
        <v>3</v>
      </c>
      <c r="CC35">
        <v>2</v>
      </c>
      <c r="CD35">
        <v>4</v>
      </c>
      <c r="CE35">
        <v>3</v>
      </c>
      <c r="CF35">
        <v>2</v>
      </c>
      <c r="CG35">
        <v>4</v>
      </c>
      <c r="CH35">
        <v>3</v>
      </c>
      <c r="CI35">
        <v>2</v>
      </c>
      <c r="CJ35">
        <v>1</v>
      </c>
      <c r="CK35">
        <v>4</v>
      </c>
      <c r="CL35" s="5">
        <v>2</v>
      </c>
      <c r="CM35">
        <f t="shared" si="19"/>
        <v>3</v>
      </c>
      <c r="CN35">
        <v>2</v>
      </c>
      <c r="CO35">
        <v>3</v>
      </c>
      <c r="CP35">
        <v>1</v>
      </c>
      <c r="CQ35">
        <v>2</v>
      </c>
      <c r="CR35" s="5">
        <v>4</v>
      </c>
      <c r="CS35">
        <f t="shared" si="20"/>
        <v>1</v>
      </c>
      <c r="CT35">
        <v>4</v>
      </c>
      <c r="CU35">
        <v>3</v>
      </c>
      <c r="CV35" s="6">
        <f t="shared" si="21"/>
        <v>10</v>
      </c>
      <c r="CW35" s="6">
        <f t="shared" si="22"/>
        <v>9</v>
      </c>
      <c r="CX35" s="6">
        <f t="shared" si="23"/>
        <v>19</v>
      </c>
      <c r="CY35" s="6">
        <f t="shared" si="24"/>
        <v>38</v>
      </c>
      <c r="CZ35" s="6">
        <f t="shared" si="25"/>
        <v>15</v>
      </c>
      <c r="DA35">
        <v>2</v>
      </c>
      <c r="DB35" s="1">
        <v>45467.736111111109</v>
      </c>
      <c r="DC35">
        <v>1</v>
      </c>
      <c r="DD35">
        <v>0</v>
      </c>
      <c r="DE35">
        <v>0</v>
      </c>
      <c r="DF35">
        <v>0</v>
      </c>
      <c r="DG35">
        <v>0</v>
      </c>
      <c r="DH35">
        <v>0</v>
      </c>
      <c r="DI35">
        <v>1</v>
      </c>
      <c r="DJ35">
        <v>0</v>
      </c>
      <c r="DK35">
        <v>0</v>
      </c>
      <c r="DL35">
        <v>0</v>
      </c>
      <c r="DM35">
        <v>1</v>
      </c>
      <c r="DN35">
        <v>0</v>
      </c>
      <c r="DO35">
        <v>0</v>
      </c>
      <c r="DP35">
        <v>0</v>
      </c>
      <c r="DQ35">
        <v>0</v>
      </c>
      <c r="DR35">
        <v>0</v>
      </c>
      <c r="DS35">
        <v>0</v>
      </c>
      <c r="DT35">
        <v>0</v>
      </c>
      <c r="DU35">
        <v>0</v>
      </c>
      <c r="DV35">
        <v>1</v>
      </c>
      <c r="DW35">
        <v>0</v>
      </c>
      <c r="DX35">
        <v>0</v>
      </c>
      <c r="DY35">
        <v>0</v>
      </c>
      <c r="DZ35">
        <v>0</v>
      </c>
      <c r="EA35">
        <v>1</v>
      </c>
      <c r="EB35">
        <v>0</v>
      </c>
      <c r="EC35">
        <v>0</v>
      </c>
      <c r="ED35">
        <v>0</v>
      </c>
      <c r="EE35">
        <v>0</v>
      </c>
      <c r="EF35">
        <v>1</v>
      </c>
      <c r="EG35">
        <v>0</v>
      </c>
      <c r="EH35">
        <v>0</v>
      </c>
      <c r="EI35">
        <v>0</v>
      </c>
      <c r="EJ35">
        <v>0</v>
      </c>
      <c r="EK35">
        <v>1</v>
      </c>
      <c r="EL35">
        <v>0</v>
      </c>
      <c r="EM35">
        <v>0</v>
      </c>
      <c r="EN35">
        <v>0</v>
      </c>
      <c r="EO35">
        <v>0</v>
      </c>
      <c r="EP35">
        <v>1</v>
      </c>
      <c r="EQ35">
        <v>1</v>
      </c>
      <c r="ER35">
        <v>0</v>
      </c>
      <c r="ES35">
        <v>0</v>
      </c>
      <c r="ET35">
        <v>0</v>
      </c>
      <c r="EU35">
        <v>0</v>
      </c>
      <c r="EV35">
        <v>0</v>
      </c>
      <c r="EW35">
        <v>0</v>
      </c>
      <c r="EX35">
        <v>1</v>
      </c>
      <c r="EY35">
        <v>0</v>
      </c>
      <c r="EZ35">
        <v>0</v>
      </c>
      <c r="FA35">
        <v>0</v>
      </c>
      <c r="FB35">
        <v>0</v>
      </c>
      <c r="FC35">
        <v>0</v>
      </c>
      <c r="FD35">
        <v>0</v>
      </c>
      <c r="FE35">
        <v>1</v>
      </c>
      <c r="FF35">
        <v>0</v>
      </c>
      <c r="FG35">
        <v>1</v>
      </c>
      <c r="FH35">
        <v>0</v>
      </c>
      <c r="FI35">
        <v>0</v>
      </c>
      <c r="FJ35">
        <v>0</v>
      </c>
      <c r="FK35">
        <v>0</v>
      </c>
      <c r="FL35">
        <v>1</v>
      </c>
      <c r="FM35">
        <v>0</v>
      </c>
      <c r="FN35">
        <v>0</v>
      </c>
      <c r="FO35">
        <v>0</v>
      </c>
      <c r="FP35">
        <v>0</v>
      </c>
      <c r="FQ35">
        <v>0</v>
      </c>
      <c r="FR35">
        <v>1</v>
      </c>
      <c r="FS35">
        <v>0</v>
      </c>
      <c r="FT35">
        <v>0</v>
      </c>
      <c r="FU35">
        <v>0</v>
      </c>
      <c r="FV35">
        <v>1</v>
      </c>
      <c r="FW35">
        <v>0</v>
      </c>
      <c r="FX35">
        <v>0</v>
      </c>
      <c r="FY35">
        <v>0</v>
      </c>
      <c r="FZ35">
        <v>0</v>
      </c>
      <c r="GA35">
        <v>0</v>
      </c>
      <c r="GB35">
        <v>0</v>
      </c>
      <c r="GC35">
        <v>0</v>
      </c>
      <c r="GD35">
        <v>1</v>
      </c>
      <c r="GE35">
        <v>0</v>
      </c>
      <c r="GF35">
        <v>0</v>
      </c>
      <c r="GG35">
        <v>1</v>
      </c>
      <c r="GH35">
        <v>0</v>
      </c>
      <c r="GI35">
        <v>0</v>
      </c>
      <c r="GJ35" s="6">
        <f t="shared" si="26"/>
        <v>17</v>
      </c>
      <c r="GK35">
        <v>2</v>
      </c>
      <c r="GL35" s="1">
        <v>45467.736111111109</v>
      </c>
      <c r="GM35">
        <v>0</v>
      </c>
      <c r="GQ35" s="5"/>
      <c r="GV35" s="5"/>
      <c r="HA35" s="5"/>
      <c r="HF35" s="5"/>
      <c r="HI35" s="6"/>
      <c r="HJ35" s="6"/>
      <c r="HK35" s="6"/>
      <c r="HL35">
        <v>2</v>
      </c>
      <c r="HM35" s="1">
        <v>45467.736805555556</v>
      </c>
      <c r="HN35">
        <v>8</v>
      </c>
      <c r="HO35">
        <v>7</v>
      </c>
      <c r="HP35">
        <v>13</v>
      </c>
      <c r="HQ35">
        <v>2</v>
      </c>
      <c r="HR35" s="1">
        <v>45468.700694444444</v>
      </c>
      <c r="HS35">
        <v>0</v>
      </c>
      <c r="HT35">
        <v>0</v>
      </c>
      <c r="HU35">
        <v>0</v>
      </c>
      <c r="HV35">
        <v>0</v>
      </c>
      <c r="HW35">
        <v>0</v>
      </c>
      <c r="HX35">
        <v>0</v>
      </c>
      <c r="HY35">
        <v>0</v>
      </c>
      <c r="HZ35">
        <v>0</v>
      </c>
      <c r="IA35">
        <v>0</v>
      </c>
      <c r="IB35">
        <v>0</v>
      </c>
      <c r="IC35">
        <v>0</v>
      </c>
      <c r="ID35">
        <v>1</v>
      </c>
      <c r="IE35">
        <v>0</v>
      </c>
      <c r="IF35">
        <v>0</v>
      </c>
      <c r="IG35">
        <v>0</v>
      </c>
      <c r="IH35">
        <v>0</v>
      </c>
      <c r="II35">
        <v>0</v>
      </c>
      <c r="IJ35">
        <v>0</v>
      </c>
      <c r="IK35">
        <v>0</v>
      </c>
      <c r="IL35">
        <v>0</v>
      </c>
      <c r="IM35">
        <v>0</v>
      </c>
      <c r="IN35" s="6">
        <f t="shared" si="31"/>
        <v>1</v>
      </c>
      <c r="IO35">
        <v>2</v>
      </c>
      <c r="IP35" s="1">
        <v>45468.701388888891</v>
      </c>
      <c r="IQ35">
        <v>0</v>
      </c>
      <c r="IR35">
        <v>0</v>
      </c>
      <c r="IS35">
        <v>0</v>
      </c>
      <c r="IT35">
        <v>0</v>
      </c>
      <c r="IU35">
        <v>0</v>
      </c>
      <c r="IV35">
        <v>0</v>
      </c>
      <c r="IW35">
        <v>0</v>
      </c>
      <c r="IX35">
        <v>0</v>
      </c>
      <c r="IY35">
        <v>0</v>
      </c>
      <c r="IZ35">
        <v>0</v>
      </c>
      <c r="JA35">
        <v>0</v>
      </c>
      <c r="JB35">
        <v>0</v>
      </c>
      <c r="JC35">
        <v>0</v>
      </c>
      <c r="JD35">
        <v>0</v>
      </c>
      <c r="JE35">
        <v>0</v>
      </c>
      <c r="JF35">
        <v>0</v>
      </c>
      <c r="JG35">
        <v>0</v>
      </c>
      <c r="JH35">
        <v>0</v>
      </c>
      <c r="JI35">
        <v>0</v>
      </c>
      <c r="JJ35">
        <v>1</v>
      </c>
      <c r="JT35" s="6">
        <f t="shared" si="32"/>
        <v>0</v>
      </c>
      <c r="JU35" s="6"/>
      <c r="JV35" s="6"/>
      <c r="JW35" s="6"/>
      <c r="JX35">
        <v>2</v>
      </c>
      <c r="JY35" s="1">
        <v>45468.701388888891</v>
      </c>
      <c r="JZ35">
        <v>0</v>
      </c>
      <c r="KA35">
        <v>0</v>
      </c>
      <c r="KB35">
        <v>0</v>
      </c>
      <c r="KC35" s="6">
        <f t="shared" si="35"/>
        <v>0</v>
      </c>
      <c r="KD35">
        <v>2</v>
      </c>
      <c r="KE35" s="1">
        <v>45468.70208333333</v>
      </c>
      <c r="KF35">
        <v>47.3</v>
      </c>
      <c r="KG35">
        <v>2.2999999999999998</v>
      </c>
      <c r="KP35">
        <v>2</v>
      </c>
      <c r="KQ35">
        <v>47.9</v>
      </c>
      <c r="KR35">
        <v>4</v>
      </c>
      <c r="KS35">
        <v>1</v>
      </c>
      <c r="UH35">
        <v>2</v>
      </c>
      <c r="UI35">
        <v>47.3</v>
      </c>
      <c r="UJ35">
        <v>2.2999999999999998</v>
      </c>
      <c r="UK35">
        <v>4</v>
      </c>
      <c r="UX35">
        <v>2</v>
      </c>
      <c r="UY35">
        <v>46.6</v>
      </c>
      <c r="UZ35">
        <v>2.6</v>
      </c>
      <c r="VA35">
        <v>3</v>
      </c>
      <c r="XN35" s="6">
        <v>1</v>
      </c>
      <c r="XO35" s="6">
        <v>45.3</v>
      </c>
      <c r="XP35" s="6">
        <v>3.2</v>
      </c>
      <c r="XQ35" s="6">
        <v>2</v>
      </c>
      <c r="YX35" s="6">
        <v>1</v>
      </c>
      <c r="YY35" s="6">
        <v>45.3</v>
      </c>
      <c r="YZ35" s="6">
        <v>3.2</v>
      </c>
      <c r="ZA35" s="6">
        <v>2</v>
      </c>
      <c r="ZB35">
        <v>2</v>
      </c>
      <c r="ZC35" s="1">
        <v>45108.661111111112</v>
      </c>
      <c r="ZD35">
        <v>3</v>
      </c>
      <c r="ZE35">
        <v>1</v>
      </c>
      <c r="ZF35">
        <v>1</v>
      </c>
      <c r="ZG35">
        <v>3</v>
      </c>
      <c r="ZH35">
        <v>4</v>
      </c>
      <c r="ZI35">
        <v>1</v>
      </c>
      <c r="ZJ35">
        <v>1</v>
      </c>
      <c r="ZK35">
        <v>1</v>
      </c>
      <c r="ZL35">
        <v>3</v>
      </c>
      <c r="ZM35">
        <v>3</v>
      </c>
      <c r="ZN35">
        <v>1</v>
      </c>
      <c r="ZO35">
        <v>3</v>
      </c>
      <c r="ZP35">
        <v>1</v>
      </c>
      <c r="ZQ35">
        <v>3</v>
      </c>
      <c r="ZR35">
        <v>1</v>
      </c>
      <c r="ZS35">
        <v>3</v>
      </c>
      <c r="ZT35">
        <v>3</v>
      </c>
      <c r="ZU35">
        <v>1</v>
      </c>
      <c r="ZV35">
        <v>1</v>
      </c>
      <c r="ZW35">
        <v>1</v>
      </c>
      <c r="ZX35" s="6">
        <f t="shared" si="36"/>
        <v>27</v>
      </c>
      <c r="ZY35" s="6">
        <f t="shared" si="37"/>
        <v>12</v>
      </c>
      <c r="ZZ35">
        <v>2</v>
      </c>
      <c r="AAA35" s="1">
        <v>45468.703472222223</v>
      </c>
      <c r="AAB35">
        <v>0</v>
      </c>
      <c r="AAC35">
        <v>1</v>
      </c>
      <c r="AAD35">
        <v>0</v>
      </c>
      <c r="AAE35">
        <v>0</v>
      </c>
      <c r="AAF35">
        <v>1</v>
      </c>
      <c r="AAG35">
        <v>1</v>
      </c>
      <c r="AAH35">
        <v>0</v>
      </c>
      <c r="AAI35">
        <v>1</v>
      </c>
      <c r="AAJ35">
        <v>0</v>
      </c>
      <c r="AAK35">
        <v>0</v>
      </c>
      <c r="AAL35">
        <v>0</v>
      </c>
      <c r="AAM35">
        <v>0</v>
      </c>
      <c r="AAN35">
        <v>1</v>
      </c>
      <c r="AAO35">
        <v>0</v>
      </c>
      <c r="AAP35">
        <v>0</v>
      </c>
      <c r="AAQ35">
        <v>1</v>
      </c>
      <c r="AAR35">
        <v>0</v>
      </c>
      <c r="AAS35">
        <v>0</v>
      </c>
      <c r="AAT35" s="6">
        <f t="shared" si="38"/>
        <v>2</v>
      </c>
      <c r="AAU35" s="6">
        <f t="shared" si="39"/>
        <v>3</v>
      </c>
      <c r="AAV35" s="6">
        <f t="shared" si="40"/>
        <v>1</v>
      </c>
      <c r="AAW35" s="6">
        <f t="shared" si="41"/>
        <v>6</v>
      </c>
      <c r="AAX35">
        <v>2</v>
      </c>
      <c r="AAY35" s="1">
        <v>45468.703472222223</v>
      </c>
      <c r="AAZ35">
        <v>0</v>
      </c>
      <c r="ABO35" s="6"/>
      <c r="ABP35" s="6"/>
      <c r="ABQ35">
        <v>2</v>
      </c>
      <c r="ABR35" s="1">
        <v>45468.704861111109</v>
      </c>
      <c r="ABS35">
        <v>1</v>
      </c>
      <c r="ABT35">
        <v>0</v>
      </c>
      <c r="ABU35">
        <v>1</v>
      </c>
      <c r="ABV35">
        <v>2</v>
      </c>
      <c r="ABW35">
        <v>0</v>
      </c>
      <c r="ABX35">
        <v>0</v>
      </c>
      <c r="ABY35">
        <v>2</v>
      </c>
      <c r="ABZ35">
        <v>1</v>
      </c>
      <c r="ACA35">
        <v>0</v>
      </c>
      <c r="ACB35">
        <v>0</v>
      </c>
      <c r="ACC35">
        <v>0</v>
      </c>
      <c r="ACD35">
        <v>0</v>
      </c>
      <c r="ACE35">
        <v>1</v>
      </c>
      <c r="ACF35">
        <v>1</v>
      </c>
      <c r="ACG35">
        <v>0</v>
      </c>
      <c r="ACH35">
        <v>0</v>
      </c>
      <c r="ACI35">
        <v>1</v>
      </c>
      <c r="ACJ35">
        <v>0</v>
      </c>
      <c r="ACK35">
        <v>1</v>
      </c>
      <c r="ACL35">
        <v>1</v>
      </c>
      <c r="ACM35">
        <v>1</v>
      </c>
      <c r="ACN35">
        <v>1</v>
      </c>
      <c r="ACO35">
        <v>1</v>
      </c>
      <c r="ACP35">
        <v>0</v>
      </c>
      <c r="ACQ35">
        <v>0</v>
      </c>
      <c r="ACR35">
        <v>2</v>
      </c>
      <c r="ACS35">
        <v>1</v>
      </c>
      <c r="ACT35">
        <v>0</v>
      </c>
      <c r="ACU35">
        <v>0</v>
      </c>
      <c r="ACV35">
        <v>0</v>
      </c>
      <c r="ACW35" s="6">
        <f t="shared" si="44"/>
        <v>2</v>
      </c>
      <c r="ACX35" s="6">
        <f t="shared" si="45"/>
        <v>4</v>
      </c>
      <c r="ACY35" s="6">
        <f t="shared" si="46"/>
        <v>1</v>
      </c>
      <c r="ACZ35" s="6">
        <f t="shared" si="47"/>
        <v>5</v>
      </c>
      <c r="ADA35" s="6">
        <f t="shared" si="48"/>
        <v>2</v>
      </c>
      <c r="ADB35" s="6">
        <f t="shared" si="49"/>
        <v>4</v>
      </c>
      <c r="ADC35" s="6">
        <f t="shared" si="50"/>
        <v>10</v>
      </c>
      <c r="ADD35">
        <v>2</v>
      </c>
      <c r="ADE35" s="1">
        <v>45468.705555555556</v>
      </c>
      <c r="ADF35" s="5">
        <v>4</v>
      </c>
      <c r="ADG35">
        <f t="shared" si="51"/>
        <v>1</v>
      </c>
      <c r="ADH35" s="5">
        <v>4</v>
      </c>
      <c r="ADI35">
        <f t="shared" si="52"/>
        <v>1</v>
      </c>
      <c r="ADJ35">
        <v>1</v>
      </c>
      <c r="ADK35">
        <v>1</v>
      </c>
      <c r="ADL35" s="5">
        <v>4</v>
      </c>
      <c r="ADM35">
        <f t="shared" si="3"/>
        <v>1</v>
      </c>
      <c r="ADN35">
        <v>1</v>
      </c>
      <c r="ADO35">
        <v>1</v>
      </c>
      <c r="ADP35" s="5">
        <v>3</v>
      </c>
      <c r="ADQ35">
        <f t="shared" si="4"/>
        <v>2</v>
      </c>
      <c r="ADR35">
        <v>1</v>
      </c>
      <c r="ADS35" s="5">
        <v>4</v>
      </c>
      <c r="ADT35">
        <f t="shared" si="5"/>
        <v>1</v>
      </c>
      <c r="ADU35" s="5">
        <v>4</v>
      </c>
      <c r="ADV35">
        <f t="shared" ref="ADV35" si="131">INDEX($AD$48:$AE$51, MATCH(ADU35, $AD$48:$AD$51, 0), 2)</f>
        <v>1</v>
      </c>
      <c r="ADW35">
        <v>1</v>
      </c>
      <c r="ADX35">
        <v>1</v>
      </c>
      <c r="ADY35">
        <v>1</v>
      </c>
      <c r="ADZ35" s="5">
        <v>4</v>
      </c>
      <c r="AEA35">
        <f t="shared" si="6"/>
        <v>1</v>
      </c>
      <c r="AEB35" s="5">
        <v>3</v>
      </c>
      <c r="AEC35">
        <f t="shared" ref="AEC35" si="132">INDEX($AD$48:$AE$51, MATCH(AEB35, $AD$48:$AD$51, 0), 2)</f>
        <v>2</v>
      </c>
      <c r="AED35">
        <v>2</v>
      </c>
      <c r="AEE35">
        <v>1</v>
      </c>
      <c r="AEF35" s="5">
        <v>4</v>
      </c>
      <c r="AEG35">
        <f t="shared" si="7"/>
        <v>1</v>
      </c>
      <c r="AEH35" s="5">
        <v>3</v>
      </c>
      <c r="AEI35">
        <f t="shared" si="8"/>
        <v>2</v>
      </c>
      <c r="AEJ35" s="6">
        <f t="shared" si="55"/>
        <v>25</v>
      </c>
      <c r="AEK35">
        <v>2</v>
      </c>
      <c r="AEL35" s="1">
        <v>45468.705555555556</v>
      </c>
      <c r="AEM35">
        <v>0</v>
      </c>
      <c r="AER35">
        <v>0</v>
      </c>
      <c r="AES35">
        <v>0</v>
      </c>
      <c r="AET35">
        <v>0</v>
      </c>
      <c r="AEU35">
        <v>0</v>
      </c>
      <c r="AEV35">
        <v>0</v>
      </c>
      <c r="AEX35">
        <v>2</v>
      </c>
    </row>
    <row r="36" spans="1:830">
      <c r="A36">
        <v>118</v>
      </c>
      <c r="B36" t="s">
        <v>1171</v>
      </c>
      <c r="C36">
        <v>2</v>
      </c>
      <c r="D36">
        <v>1</v>
      </c>
      <c r="E36">
        <v>44</v>
      </c>
      <c r="F36">
        <v>70</v>
      </c>
      <c r="G36">
        <v>186</v>
      </c>
      <c r="H36">
        <v>0</v>
      </c>
      <c r="I36">
        <v>3</v>
      </c>
      <c r="K36" t="s">
        <v>218</v>
      </c>
      <c r="L36">
        <v>2</v>
      </c>
      <c r="M36" s="1">
        <v>45469.472222222219</v>
      </c>
      <c r="N36">
        <v>7</v>
      </c>
      <c r="O36">
        <v>0</v>
      </c>
      <c r="Q36">
        <v>1</v>
      </c>
      <c r="R36">
        <v>0</v>
      </c>
      <c r="S36">
        <v>0</v>
      </c>
      <c r="T36">
        <v>0</v>
      </c>
      <c r="U36">
        <v>0</v>
      </c>
      <c r="V36">
        <v>0</v>
      </c>
      <c r="W36">
        <v>0</v>
      </c>
      <c r="X36">
        <v>0</v>
      </c>
      <c r="Y36">
        <v>0</v>
      </c>
      <c r="Z36">
        <v>0</v>
      </c>
      <c r="AA36">
        <v>0</v>
      </c>
      <c r="AB36" t="s">
        <v>208</v>
      </c>
      <c r="AC36">
        <v>2</v>
      </c>
      <c r="AD36" s="1">
        <v>45469.474999999999</v>
      </c>
      <c r="AE36" s="5">
        <v>4</v>
      </c>
      <c r="AF36">
        <f t="shared" si="9"/>
        <v>1</v>
      </c>
      <c r="AG36">
        <v>2</v>
      </c>
      <c r="AH36" s="5">
        <v>4</v>
      </c>
      <c r="AI36">
        <f t="shared" si="10"/>
        <v>1</v>
      </c>
      <c r="AJ36">
        <v>1</v>
      </c>
      <c r="AK36">
        <v>1</v>
      </c>
      <c r="AL36" s="5">
        <v>3</v>
      </c>
      <c r="AM36">
        <f t="shared" si="11"/>
        <v>2</v>
      </c>
      <c r="AN36" s="5">
        <v>3</v>
      </c>
      <c r="AO36">
        <f t="shared" si="12"/>
        <v>2</v>
      </c>
      <c r="AP36">
        <v>1</v>
      </c>
      <c r="AQ36">
        <v>1</v>
      </c>
      <c r="AR36" s="5">
        <v>3</v>
      </c>
      <c r="AS36">
        <f t="shared" si="13"/>
        <v>2</v>
      </c>
      <c r="AT36">
        <v>1</v>
      </c>
      <c r="AU36">
        <v>2</v>
      </c>
      <c r="AV36" s="5">
        <v>3</v>
      </c>
      <c r="AW36">
        <f t="shared" si="14"/>
        <v>2</v>
      </c>
      <c r="AX36" s="5">
        <v>2</v>
      </c>
      <c r="AY36">
        <f t="shared" si="15"/>
        <v>3</v>
      </c>
      <c r="AZ36">
        <v>1</v>
      </c>
      <c r="BA36" s="5">
        <v>4</v>
      </c>
      <c r="BB36">
        <f t="shared" si="16"/>
        <v>1</v>
      </c>
      <c r="BC36">
        <v>1</v>
      </c>
      <c r="BD36">
        <v>1</v>
      </c>
      <c r="BE36" s="5">
        <v>4</v>
      </c>
      <c r="BF36">
        <f t="shared" si="17"/>
        <v>1</v>
      </c>
      <c r="BG36">
        <v>1</v>
      </c>
      <c r="BH36" s="6">
        <f t="shared" si="18"/>
        <v>28</v>
      </c>
      <c r="BI36">
        <v>2</v>
      </c>
      <c r="BJ36" s="1">
        <v>45469.476388888892</v>
      </c>
      <c r="BK36">
        <v>12</v>
      </c>
      <c r="BL36">
        <v>2</v>
      </c>
      <c r="BM36">
        <v>1</v>
      </c>
      <c r="BQ36" s="2">
        <v>45457</v>
      </c>
      <c r="BU36">
        <v>42</v>
      </c>
      <c r="BV36">
        <v>4</v>
      </c>
      <c r="BW36">
        <v>3</v>
      </c>
      <c r="BX36">
        <v>2</v>
      </c>
      <c r="BY36" s="1">
        <v>45469.477777777778</v>
      </c>
      <c r="BZ36">
        <v>4</v>
      </c>
      <c r="CA36">
        <v>3</v>
      </c>
      <c r="CB36">
        <v>2</v>
      </c>
      <c r="CC36">
        <v>2</v>
      </c>
      <c r="CD36">
        <v>3</v>
      </c>
      <c r="CE36">
        <v>3</v>
      </c>
      <c r="CF36">
        <v>3</v>
      </c>
      <c r="CG36">
        <v>4</v>
      </c>
      <c r="CH36">
        <v>2</v>
      </c>
      <c r="CI36">
        <v>3</v>
      </c>
      <c r="CJ36">
        <v>2</v>
      </c>
      <c r="CK36">
        <v>4</v>
      </c>
      <c r="CL36" s="5">
        <v>1</v>
      </c>
      <c r="CM36">
        <f t="shared" si="19"/>
        <v>4</v>
      </c>
      <c r="CN36">
        <v>2</v>
      </c>
      <c r="CO36">
        <v>3</v>
      </c>
      <c r="CP36">
        <v>1</v>
      </c>
      <c r="CQ36">
        <v>1</v>
      </c>
      <c r="CR36" s="5">
        <v>2</v>
      </c>
      <c r="CS36">
        <f t="shared" si="20"/>
        <v>3</v>
      </c>
      <c r="CT36">
        <v>3</v>
      </c>
      <c r="CU36">
        <v>4</v>
      </c>
      <c r="CV36" s="6">
        <f t="shared" si="21"/>
        <v>8</v>
      </c>
      <c r="CW36" s="6">
        <f t="shared" si="22"/>
        <v>8</v>
      </c>
      <c r="CX36" s="6">
        <f t="shared" si="23"/>
        <v>19</v>
      </c>
      <c r="CY36" s="6">
        <f t="shared" si="24"/>
        <v>35</v>
      </c>
      <c r="CZ36" s="6">
        <f t="shared" si="25"/>
        <v>21</v>
      </c>
      <c r="DA36">
        <v>2</v>
      </c>
      <c r="DB36" s="1">
        <v>45469.479166666664</v>
      </c>
      <c r="DC36">
        <v>1</v>
      </c>
      <c r="DD36">
        <v>0</v>
      </c>
      <c r="DE36">
        <v>0</v>
      </c>
      <c r="DF36">
        <v>0</v>
      </c>
      <c r="DG36">
        <v>0</v>
      </c>
      <c r="DH36">
        <v>0</v>
      </c>
      <c r="DI36">
        <v>0</v>
      </c>
      <c r="DJ36">
        <v>0</v>
      </c>
      <c r="DK36">
        <v>0</v>
      </c>
      <c r="DL36">
        <v>1</v>
      </c>
      <c r="DM36">
        <v>1</v>
      </c>
      <c r="DN36">
        <v>0</v>
      </c>
      <c r="DO36">
        <v>0</v>
      </c>
      <c r="DP36">
        <v>0</v>
      </c>
      <c r="DQ36">
        <v>0</v>
      </c>
      <c r="DR36">
        <v>1</v>
      </c>
      <c r="DS36">
        <v>0</v>
      </c>
      <c r="DT36">
        <v>0</v>
      </c>
      <c r="DU36">
        <v>0</v>
      </c>
      <c r="DV36">
        <v>0</v>
      </c>
      <c r="DW36">
        <v>0</v>
      </c>
      <c r="DX36">
        <v>0</v>
      </c>
      <c r="DY36">
        <v>0</v>
      </c>
      <c r="DZ36">
        <v>0</v>
      </c>
      <c r="EA36">
        <v>1</v>
      </c>
      <c r="EB36">
        <v>0</v>
      </c>
      <c r="EC36">
        <v>0</v>
      </c>
      <c r="ED36">
        <v>0</v>
      </c>
      <c r="EE36">
        <v>0</v>
      </c>
      <c r="EF36">
        <v>1</v>
      </c>
      <c r="EG36">
        <v>0</v>
      </c>
      <c r="EH36">
        <v>0</v>
      </c>
      <c r="EI36">
        <v>0</v>
      </c>
      <c r="EJ36">
        <v>0</v>
      </c>
      <c r="EK36">
        <v>1</v>
      </c>
      <c r="EL36">
        <v>0</v>
      </c>
      <c r="EM36">
        <v>0</v>
      </c>
      <c r="EN36">
        <v>0</v>
      </c>
      <c r="EO36">
        <v>0</v>
      </c>
      <c r="EP36">
        <v>1</v>
      </c>
      <c r="EQ36">
        <v>0</v>
      </c>
      <c r="ER36">
        <v>0</v>
      </c>
      <c r="ES36">
        <v>0</v>
      </c>
      <c r="ET36">
        <v>0</v>
      </c>
      <c r="EU36">
        <v>1</v>
      </c>
      <c r="EV36">
        <v>0</v>
      </c>
      <c r="EW36">
        <v>0</v>
      </c>
      <c r="EX36">
        <v>0</v>
      </c>
      <c r="EY36">
        <v>0</v>
      </c>
      <c r="EZ36">
        <v>1</v>
      </c>
      <c r="FA36">
        <v>0</v>
      </c>
      <c r="FB36">
        <v>0</v>
      </c>
      <c r="FC36">
        <v>0</v>
      </c>
      <c r="FD36">
        <v>0</v>
      </c>
      <c r="FE36">
        <v>1</v>
      </c>
      <c r="FF36">
        <v>0</v>
      </c>
      <c r="FG36">
        <v>0</v>
      </c>
      <c r="FH36">
        <v>0</v>
      </c>
      <c r="FI36">
        <v>0</v>
      </c>
      <c r="FJ36">
        <v>1</v>
      </c>
      <c r="FK36">
        <v>0</v>
      </c>
      <c r="FL36">
        <v>0</v>
      </c>
      <c r="FM36">
        <v>0</v>
      </c>
      <c r="FN36">
        <v>0</v>
      </c>
      <c r="FO36">
        <v>1</v>
      </c>
      <c r="FP36">
        <v>0</v>
      </c>
      <c r="FQ36">
        <v>0</v>
      </c>
      <c r="FR36">
        <v>1</v>
      </c>
      <c r="FS36">
        <v>0</v>
      </c>
      <c r="FT36">
        <v>0</v>
      </c>
      <c r="FU36">
        <v>0</v>
      </c>
      <c r="FV36">
        <v>0</v>
      </c>
      <c r="FW36">
        <v>0</v>
      </c>
      <c r="FX36">
        <v>0</v>
      </c>
      <c r="FY36">
        <v>1</v>
      </c>
      <c r="FZ36">
        <v>0</v>
      </c>
      <c r="GA36">
        <v>0</v>
      </c>
      <c r="GB36">
        <v>0</v>
      </c>
      <c r="GC36">
        <v>0</v>
      </c>
      <c r="GD36">
        <v>1</v>
      </c>
      <c r="GE36">
        <v>0</v>
      </c>
      <c r="GF36">
        <v>0</v>
      </c>
      <c r="GG36">
        <v>0</v>
      </c>
      <c r="GH36">
        <v>0</v>
      </c>
      <c r="GI36">
        <v>1</v>
      </c>
      <c r="GJ36" s="6">
        <f t="shared" si="26"/>
        <v>17</v>
      </c>
      <c r="GK36">
        <v>2</v>
      </c>
      <c r="GL36" s="1">
        <v>45469.479166666664</v>
      </c>
      <c r="GM36">
        <v>0</v>
      </c>
      <c r="GQ36" s="5"/>
      <c r="GV36" s="5"/>
      <c r="HA36" s="5"/>
      <c r="HF36" s="5"/>
      <c r="HI36" s="6"/>
      <c r="HJ36" s="6"/>
      <c r="HK36" s="6"/>
      <c r="HL36">
        <v>2</v>
      </c>
      <c r="HM36" s="1">
        <v>45469.479861111111</v>
      </c>
      <c r="HN36">
        <v>8</v>
      </c>
      <c r="HO36">
        <v>14</v>
      </c>
      <c r="HP36">
        <v>11</v>
      </c>
      <c r="HQ36">
        <v>2</v>
      </c>
      <c r="HR36" s="1">
        <v>45470.383333333331</v>
      </c>
      <c r="HS36">
        <v>0</v>
      </c>
      <c r="HT36">
        <v>0</v>
      </c>
      <c r="HU36">
        <v>0</v>
      </c>
      <c r="HV36">
        <v>0</v>
      </c>
      <c r="HW36">
        <v>0</v>
      </c>
      <c r="HX36">
        <v>0</v>
      </c>
      <c r="HY36">
        <v>0</v>
      </c>
      <c r="HZ36">
        <v>0</v>
      </c>
      <c r="IA36">
        <v>0</v>
      </c>
      <c r="IB36">
        <v>0</v>
      </c>
      <c r="IC36">
        <v>0</v>
      </c>
      <c r="ID36">
        <v>0</v>
      </c>
      <c r="IE36">
        <v>0</v>
      </c>
      <c r="IF36">
        <v>0</v>
      </c>
      <c r="IG36">
        <v>0</v>
      </c>
      <c r="IH36">
        <v>0</v>
      </c>
      <c r="II36">
        <v>0</v>
      </c>
      <c r="IJ36">
        <v>0</v>
      </c>
      <c r="IK36">
        <v>0</v>
      </c>
      <c r="IL36">
        <v>0</v>
      </c>
      <c r="IM36">
        <v>0</v>
      </c>
      <c r="IN36" s="6">
        <f t="shared" si="31"/>
        <v>0</v>
      </c>
      <c r="IO36">
        <v>2</v>
      </c>
      <c r="IP36" s="1">
        <v>45470.384027777778</v>
      </c>
      <c r="IQ36">
        <v>0</v>
      </c>
      <c r="IR36">
        <v>0</v>
      </c>
      <c r="IS36">
        <v>0</v>
      </c>
      <c r="IT36">
        <v>0</v>
      </c>
      <c r="IU36">
        <v>0</v>
      </c>
      <c r="IV36">
        <v>0</v>
      </c>
      <c r="IW36">
        <v>0</v>
      </c>
      <c r="IX36">
        <v>0</v>
      </c>
      <c r="IY36">
        <v>0</v>
      </c>
      <c r="IZ36">
        <v>0</v>
      </c>
      <c r="JA36">
        <v>0</v>
      </c>
      <c r="JB36">
        <v>0</v>
      </c>
      <c r="JC36">
        <v>0</v>
      </c>
      <c r="JD36">
        <v>0</v>
      </c>
      <c r="JE36">
        <v>0</v>
      </c>
      <c r="JF36">
        <v>0</v>
      </c>
      <c r="JG36">
        <v>0</v>
      </c>
      <c r="JH36">
        <v>0</v>
      </c>
      <c r="JI36">
        <v>0</v>
      </c>
      <c r="JJ36">
        <v>1</v>
      </c>
      <c r="JT36" s="6">
        <f t="shared" si="32"/>
        <v>0</v>
      </c>
      <c r="JU36" s="6"/>
      <c r="JV36" s="6"/>
      <c r="JW36" s="6"/>
      <c r="JX36">
        <v>2</v>
      </c>
      <c r="JY36" s="1">
        <v>45470.384027777778</v>
      </c>
      <c r="JZ36">
        <v>0</v>
      </c>
      <c r="KA36">
        <v>0</v>
      </c>
      <c r="KB36">
        <v>0</v>
      </c>
      <c r="KC36" s="6">
        <f t="shared" si="35"/>
        <v>0</v>
      </c>
      <c r="KD36">
        <v>2</v>
      </c>
      <c r="KE36" s="1">
        <v>45470.384722222225</v>
      </c>
      <c r="KF36">
        <v>41</v>
      </c>
      <c r="KG36">
        <v>2.6</v>
      </c>
      <c r="KP36">
        <v>1</v>
      </c>
      <c r="KQ36">
        <v>38.700000000000003</v>
      </c>
      <c r="KR36">
        <v>5.9</v>
      </c>
      <c r="KS36">
        <v>1</v>
      </c>
      <c r="UD36">
        <v>2</v>
      </c>
      <c r="UE36">
        <v>41</v>
      </c>
      <c r="UF36">
        <v>2.6</v>
      </c>
      <c r="UG36">
        <v>4</v>
      </c>
      <c r="UT36">
        <v>1</v>
      </c>
      <c r="UU36">
        <v>39.799999999999997</v>
      </c>
      <c r="UV36">
        <v>3.1</v>
      </c>
      <c r="UW36">
        <v>3</v>
      </c>
      <c r="WX36" s="6">
        <v>2</v>
      </c>
      <c r="WY36" s="6">
        <v>41.9</v>
      </c>
      <c r="WZ36" s="6">
        <v>3.6</v>
      </c>
      <c r="XA36" s="6">
        <v>2</v>
      </c>
      <c r="YX36" s="6">
        <v>2</v>
      </c>
      <c r="YY36" s="6">
        <v>41.9</v>
      </c>
      <c r="YZ36" s="6">
        <v>3.6</v>
      </c>
      <c r="ZA36" s="6">
        <v>2</v>
      </c>
      <c r="ZB36">
        <v>2</v>
      </c>
      <c r="ZC36" s="1">
        <v>45109.661111111112</v>
      </c>
      <c r="ZD36">
        <v>5</v>
      </c>
      <c r="ZE36">
        <v>2</v>
      </c>
      <c r="ZF36">
        <v>4</v>
      </c>
      <c r="ZG36">
        <v>2</v>
      </c>
      <c r="ZH36">
        <v>3</v>
      </c>
      <c r="ZI36">
        <v>1</v>
      </c>
      <c r="ZJ36">
        <v>1</v>
      </c>
      <c r="ZK36">
        <v>1</v>
      </c>
      <c r="ZL36">
        <v>4</v>
      </c>
      <c r="ZM36">
        <v>3</v>
      </c>
      <c r="ZN36">
        <v>1</v>
      </c>
      <c r="ZO36">
        <v>3</v>
      </c>
      <c r="ZP36">
        <v>1</v>
      </c>
      <c r="ZQ36">
        <v>4</v>
      </c>
      <c r="ZR36">
        <v>1</v>
      </c>
      <c r="ZS36">
        <v>4</v>
      </c>
      <c r="ZT36">
        <v>4</v>
      </c>
      <c r="ZU36">
        <v>1</v>
      </c>
      <c r="ZV36">
        <v>4</v>
      </c>
      <c r="ZW36">
        <v>1</v>
      </c>
      <c r="ZX36" s="6">
        <f t="shared" si="36"/>
        <v>38</v>
      </c>
      <c r="ZY36" s="6">
        <f t="shared" si="37"/>
        <v>12</v>
      </c>
      <c r="ZZ36">
        <v>2</v>
      </c>
      <c r="AAA36" s="1">
        <v>45470.386111111111</v>
      </c>
      <c r="AAB36">
        <v>0</v>
      </c>
      <c r="AAC36">
        <v>0</v>
      </c>
      <c r="AAD36">
        <v>0</v>
      </c>
      <c r="AAE36">
        <v>0</v>
      </c>
      <c r="AAF36">
        <v>0</v>
      </c>
      <c r="AAG36">
        <v>0</v>
      </c>
      <c r="AAH36">
        <v>0</v>
      </c>
      <c r="AAI36">
        <v>0</v>
      </c>
      <c r="AAJ36">
        <v>0</v>
      </c>
      <c r="AAK36">
        <v>0</v>
      </c>
      <c r="AAL36">
        <v>0</v>
      </c>
      <c r="AAM36">
        <v>0</v>
      </c>
      <c r="AAN36">
        <v>1</v>
      </c>
      <c r="AAO36">
        <v>0</v>
      </c>
      <c r="AAP36">
        <v>0</v>
      </c>
      <c r="AAQ36">
        <v>0</v>
      </c>
      <c r="AAR36">
        <v>0</v>
      </c>
      <c r="AAS36">
        <v>0</v>
      </c>
      <c r="AAT36" s="6">
        <f t="shared" si="38"/>
        <v>1</v>
      </c>
      <c r="AAU36" s="6">
        <f t="shared" si="39"/>
        <v>0</v>
      </c>
      <c r="AAV36" s="6">
        <f t="shared" si="40"/>
        <v>0</v>
      </c>
      <c r="AAW36" s="6">
        <f t="shared" si="41"/>
        <v>1</v>
      </c>
      <c r="AAX36">
        <v>2</v>
      </c>
      <c r="AAY36" s="1">
        <v>45470.386111111111</v>
      </c>
      <c r="AAZ36">
        <v>0</v>
      </c>
      <c r="ABO36" s="6"/>
      <c r="ABP36" s="6"/>
      <c r="ABQ36">
        <v>2</v>
      </c>
      <c r="ABR36" s="1">
        <v>45470.387499999997</v>
      </c>
      <c r="ABS36">
        <v>0</v>
      </c>
      <c r="ABT36">
        <v>0</v>
      </c>
      <c r="ABU36">
        <v>0</v>
      </c>
      <c r="ABV36">
        <v>2</v>
      </c>
      <c r="ABW36">
        <v>0</v>
      </c>
      <c r="ABX36">
        <v>0</v>
      </c>
      <c r="ABY36">
        <v>0</v>
      </c>
      <c r="ABZ36">
        <v>1</v>
      </c>
      <c r="ACA36">
        <v>0</v>
      </c>
      <c r="ACB36">
        <v>2</v>
      </c>
      <c r="ACC36">
        <v>0</v>
      </c>
      <c r="ACD36">
        <v>0</v>
      </c>
      <c r="ACE36">
        <v>0</v>
      </c>
      <c r="ACF36">
        <v>0</v>
      </c>
      <c r="ACG36">
        <v>0</v>
      </c>
      <c r="ACH36">
        <v>0</v>
      </c>
      <c r="ACI36">
        <v>0</v>
      </c>
      <c r="ACJ36">
        <v>0</v>
      </c>
      <c r="ACK36">
        <v>0</v>
      </c>
      <c r="ACL36">
        <v>0</v>
      </c>
      <c r="ACM36">
        <v>0</v>
      </c>
      <c r="ACN36">
        <v>1</v>
      </c>
      <c r="ACO36">
        <v>0</v>
      </c>
      <c r="ACP36">
        <v>0</v>
      </c>
      <c r="ACQ36">
        <v>0</v>
      </c>
      <c r="ACR36">
        <v>3</v>
      </c>
      <c r="ACS36">
        <v>2</v>
      </c>
      <c r="ACT36">
        <v>0</v>
      </c>
      <c r="ACU36">
        <v>0</v>
      </c>
      <c r="ACV36">
        <v>0</v>
      </c>
      <c r="ACW36" s="6">
        <f t="shared" si="44"/>
        <v>0</v>
      </c>
      <c r="ACX36" s="6">
        <f t="shared" si="45"/>
        <v>0</v>
      </c>
      <c r="ACY36" s="6">
        <f t="shared" si="46"/>
        <v>0</v>
      </c>
      <c r="ACZ36" s="6">
        <f t="shared" si="47"/>
        <v>1</v>
      </c>
      <c r="ADA36" s="6">
        <f t="shared" si="48"/>
        <v>3</v>
      </c>
      <c r="ADB36" s="6">
        <f t="shared" si="49"/>
        <v>7</v>
      </c>
      <c r="ADC36" s="6">
        <f t="shared" si="50"/>
        <v>-3</v>
      </c>
      <c r="ADD36">
        <v>2</v>
      </c>
      <c r="ADE36" s="1">
        <v>45470.387499999997</v>
      </c>
      <c r="ADF36" s="5">
        <v>4</v>
      </c>
      <c r="ADG36">
        <f t="shared" si="51"/>
        <v>1</v>
      </c>
      <c r="ADH36" s="5">
        <v>4</v>
      </c>
      <c r="ADI36">
        <f t="shared" si="52"/>
        <v>1</v>
      </c>
      <c r="ADJ36">
        <v>1</v>
      </c>
      <c r="ADK36">
        <v>1</v>
      </c>
      <c r="ADL36" s="5">
        <v>4</v>
      </c>
      <c r="ADM36">
        <f t="shared" si="3"/>
        <v>1</v>
      </c>
      <c r="ADN36">
        <v>1</v>
      </c>
      <c r="ADO36">
        <v>1</v>
      </c>
      <c r="ADP36" s="5">
        <v>4</v>
      </c>
      <c r="ADQ36">
        <f t="shared" si="4"/>
        <v>1</v>
      </c>
      <c r="ADR36">
        <v>1</v>
      </c>
      <c r="ADS36" s="5">
        <v>4</v>
      </c>
      <c r="ADT36">
        <f t="shared" si="5"/>
        <v>1</v>
      </c>
      <c r="ADU36" s="5">
        <v>4</v>
      </c>
      <c r="ADV36">
        <f t="shared" ref="ADV36" si="133">INDEX($AD$48:$AE$51, MATCH(ADU36, $AD$48:$AD$51, 0), 2)</f>
        <v>1</v>
      </c>
      <c r="ADW36">
        <v>1</v>
      </c>
      <c r="ADX36">
        <v>1</v>
      </c>
      <c r="ADY36">
        <v>1</v>
      </c>
      <c r="ADZ36" s="5">
        <v>4</v>
      </c>
      <c r="AEA36">
        <f t="shared" si="6"/>
        <v>1</v>
      </c>
      <c r="AEB36" s="5">
        <v>4</v>
      </c>
      <c r="AEC36">
        <f t="shared" ref="AEC36" si="134">INDEX($AD$48:$AE$51, MATCH(AEB36, $AD$48:$AD$51, 0), 2)</f>
        <v>1</v>
      </c>
      <c r="AED36">
        <v>1</v>
      </c>
      <c r="AEE36">
        <v>1</v>
      </c>
      <c r="AEF36" s="5">
        <v>4</v>
      </c>
      <c r="AEG36">
        <f t="shared" si="7"/>
        <v>1</v>
      </c>
      <c r="AEH36" s="5">
        <v>4</v>
      </c>
      <c r="AEI36">
        <f t="shared" si="8"/>
        <v>1</v>
      </c>
      <c r="AEJ36" s="6">
        <f t="shared" si="55"/>
        <v>21</v>
      </c>
      <c r="AEK36">
        <v>2</v>
      </c>
      <c r="AEL36" s="1">
        <v>45470.388194444444</v>
      </c>
      <c r="AEM36">
        <v>0</v>
      </c>
      <c r="AER36">
        <v>0</v>
      </c>
      <c r="AES36">
        <v>0</v>
      </c>
      <c r="AET36">
        <v>0</v>
      </c>
      <c r="AEU36">
        <v>0</v>
      </c>
      <c r="AEV36">
        <v>0</v>
      </c>
      <c r="AEX36">
        <v>2</v>
      </c>
    </row>
    <row r="37" spans="1:830">
      <c r="A37">
        <v>131</v>
      </c>
      <c r="B37" t="s">
        <v>1177</v>
      </c>
      <c r="C37">
        <v>2</v>
      </c>
      <c r="D37">
        <v>2</v>
      </c>
      <c r="E37">
        <v>23</v>
      </c>
      <c r="F37">
        <v>65</v>
      </c>
      <c r="G37">
        <v>140</v>
      </c>
      <c r="H37">
        <v>0</v>
      </c>
      <c r="I37">
        <v>3</v>
      </c>
      <c r="K37" t="s">
        <v>266</v>
      </c>
      <c r="L37">
        <v>2</v>
      </c>
      <c r="M37" s="1">
        <v>45484.578472222223</v>
      </c>
      <c r="N37">
        <v>7</v>
      </c>
      <c r="O37">
        <v>0</v>
      </c>
      <c r="Q37">
        <v>0</v>
      </c>
      <c r="R37">
        <v>1</v>
      </c>
      <c r="S37">
        <v>0</v>
      </c>
      <c r="T37">
        <v>0</v>
      </c>
      <c r="U37">
        <v>0</v>
      </c>
      <c r="V37">
        <v>0</v>
      </c>
      <c r="W37">
        <v>0</v>
      </c>
      <c r="X37">
        <v>0</v>
      </c>
      <c r="Y37">
        <v>0</v>
      </c>
      <c r="Z37">
        <v>0</v>
      </c>
      <c r="AA37">
        <v>0</v>
      </c>
      <c r="AB37" t="s">
        <v>208</v>
      </c>
      <c r="AC37">
        <v>2</v>
      </c>
      <c r="AD37" s="1">
        <v>45484.57916666667</v>
      </c>
      <c r="AE37" s="5">
        <v>3</v>
      </c>
      <c r="AF37">
        <f t="shared" si="9"/>
        <v>2</v>
      </c>
      <c r="AG37">
        <v>2</v>
      </c>
      <c r="AH37" s="5">
        <v>3</v>
      </c>
      <c r="AI37">
        <f t="shared" si="10"/>
        <v>2</v>
      </c>
      <c r="AJ37">
        <v>2</v>
      </c>
      <c r="AK37">
        <v>1</v>
      </c>
      <c r="AL37" s="5">
        <v>2</v>
      </c>
      <c r="AM37">
        <f t="shared" si="11"/>
        <v>3</v>
      </c>
      <c r="AN37" s="5">
        <v>3</v>
      </c>
      <c r="AO37">
        <f t="shared" si="12"/>
        <v>2</v>
      </c>
      <c r="AP37">
        <v>1</v>
      </c>
      <c r="AQ37">
        <v>2</v>
      </c>
      <c r="AR37" s="5">
        <v>3</v>
      </c>
      <c r="AS37">
        <f t="shared" si="13"/>
        <v>2</v>
      </c>
      <c r="AT37">
        <v>1</v>
      </c>
      <c r="AU37">
        <v>2</v>
      </c>
      <c r="AV37" s="5">
        <v>3</v>
      </c>
      <c r="AW37">
        <f t="shared" si="14"/>
        <v>2</v>
      </c>
      <c r="AX37" s="5">
        <v>2</v>
      </c>
      <c r="AY37">
        <f t="shared" si="15"/>
        <v>3</v>
      </c>
      <c r="AZ37">
        <v>1</v>
      </c>
      <c r="BA37" s="5">
        <v>3</v>
      </c>
      <c r="BB37">
        <f t="shared" si="16"/>
        <v>2</v>
      </c>
      <c r="BC37">
        <v>2</v>
      </c>
      <c r="BD37">
        <v>2</v>
      </c>
      <c r="BE37" s="5">
        <v>3</v>
      </c>
      <c r="BF37">
        <f t="shared" si="17"/>
        <v>2</v>
      </c>
      <c r="BG37">
        <v>1</v>
      </c>
      <c r="BH37" s="6">
        <f t="shared" si="18"/>
        <v>37</v>
      </c>
      <c r="BI37">
        <v>2</v>
      </c>
      <c r="BJ37" s="1">
        <v>45484.579861111109</v>
      </c>
      <c r="BK37">
        <v>13</v>
      </c>
      <c r="BL37">
        <v>3</v>
      </c>
      <c r="BM37">
        <v>1</v>
      </c>
      <c r="BQ37" s="2">
        <v>45468</v>
      </c>
      <c r="BU37">
        <v>32</v>
      </c>
      <c r="BV37">
        <v>7</v>
      </c>
      <c r="BW37">
        <v>1</v>
      </c>
      <c r="BX37">
        <v>2</v>
      </c>
      <c r="BY37" s="1">
        <v>45484.580555555556</v>
      </c>
      <c r="BZ37">
        <v>4</v>
      </c>
      <c r="CA37">
        <v>3</v>
      </c>
      <c r="CB37">
        <v>3</v>
      </c>
      <c r="CC37">
        <v>3</v>
      </c>
      <c r="CD37">
        <v>4</v>
      </c>
      <c r="CE37">
        <v>4</v>
      </c>
      <c r="CF37">
        <v>3</v>
      </c>
      <c r="CG37">
        <v>3</v>
      </c>
      <c r="CH37">
        <v>2</v>
      </c>
      <c r="CI37">
        <v>3</v>
      </c>
      <c r="CJ37">
        <v>2</v>
      </c>
      <c r="CK37">
        <v>3</v>
      </c>
      <c r="CL37" s="5">
        <v>2</v>
      </c>
      <c r="CM37">
        <f t="shared" si="19"/>
        <v>3</v>
      </c>
      <c r="CN37">
        <v>3</v>
      </c>
      <c r="CO37">
        <v>4</v>
      </c>
      <c r="CP37">
        <v>3</v>
      </c>
      <c r="CQ37">
        <v>3</v>
      </c>
      <c r="CR37" s="5">
        <v>3</v>
      </c>
      <c r="CS37">
        <f t="shared" si="20"/>
        <v>2</v>
      </c>
      <c r="CT37">
        <v>3</v>
      </c>
      <c r="CU37">
        <v>3</v>
      </c>
      <c r="CV37" s="6">
        <f t="shared" si="21"/>
        <v>13</v>
      </c>
      <c r="CW37" s="6">
        <f t="shared" si="22"/>
        <v>11</v>
      </c>
      <c r="CX37" s="6">
        <f t="shared" si="23"/>
        <v>16</v>
      </c>
      <c r="CY37" s="6">
        <f t="shared" si="24"/>
        <v>40</v>
      </c>
      <c r="CZ37" s="6">
        <f t="shared" si="25"/>
        <v>21</v>
      </c>
      <c r="DA37">
        <v>2</v>
      </c>
      <c r="DB37" s="1">
        <v>45484.581944444442</v>
      </c>
      <c r="DC37">
        <v>1</v>
      </c>
      <c r="DD37">
        <v>0</v>
      </c>
      <c r="DE37">
        <v>0</v>
      </c>
      <c r="DF37">
        <v>0</v>
      </c>
      <c r="DG37">
        <v>0</v>
      </c>
      <c r="DH37">
        <v>0</v>
      </c>
      <c r="DI37">
        <v>0</v>
      </c>
      <c r="DJ37">
        <v>0</v>
      </c>
      <c r="DK37">
        <v>0</v>
      </c>
      <c r="DL37">
        <v>1</v>
      </c>
      <c r="DM37">
        <v>1</v>
      </c>
      <c r="DN37">
        <v>0</v>
      </c>
      <c r="DO37">
        <v>0</v>
      </c>
      <c r="DP37">
        <v>0</v>
      </c>
      <c r="DQ37">
        <v>0</v>
      </c>
      <c r="DR37">
        <v>1</v>
      </c>
      <c r="DS37">
        <v>0</v>
      </c>
      <c r="DT37">
        <v>0</v>
      </c>
      <c r="DU37">
        <v>0</v>
      </c>
      <c r="DV37">
        <v>0</v>
      </c>
      <c r="DW37">
        <v>0</v>
      </c>
      <c r="DX37">
        <v>0</v>
      </c>
      <c r="DY37">
        <v>0</v>
      </c>
      <c r="DZ37">
        <v>0</v>
      </c>
      <c r="EA37">
        <v>1</v>
      </c>
      <c r="EB37">
        <v>0</v>
      </c>
      <c r="EC37">
        <v>0</v>
      </c>
      <c r="ED37">
        <v>0</v>
      </c>
      <c r="EE37">
        <v>0</v>
      </c>
      <c r="EF37">
        <v>1</v>
      </c>
      <c r="EG37">
        <v>0</v>
      </c>
      <c r="EH37">
        <v>0</v>
      </c>
      <c r="EI37">
        <v>0</v>
      </c>
      <c r="EJ37">
        <v>0</v>
      </c>
      <c r="EK37">
        <v>1</v>
      </c>
      <c r="EL37">
        <v>0</v>
      </c>
      <c r="EM37">
        <v>0</v>
      </c>
      <c r="EN37">
        <v>1</v>
      </c>
      <c r="EO37">
        <v>0</v>
      </c>
      <c r="EP37">
        <v>0</v>
      </c>
      <c r="EQ37">
        <v>0</v>
      </c>
      <c r="ER37">
        <v>0</v>
      </c>
      <c r="ES37">
        <v>1</v>
      </c>
      <c r="ET37">
        <v>0</v>
      </c>
      <c r="EU37">
        <v>0</v>
      </c>
      <c r="EV37">
        <v>0</v>
      </c>
      <c r="EW37">
        <v>0</v>
      </c>
      <c r="EX37">
        <v>1</v>
      </c>
      <c r="EY37">
        <v>0</v>
      </c>
      <c r="EZ37">
        <v>0</v>
      </c>
      <c r="FA37">
        <v>0</v>
      </c>
      <c r="FB37">
        <v>0</v>
      </c>
      <c r="FC37">
        <v>0</v>
      </c>
      <c r="FD37">
        <v>0</v>
      </c>
      <c r="FE37">
        <v>1</v>
      </c>
      <c r="FF37">
        <v>0</v>
      </c>
      <c r="FG37">
        <v>1</v>
      </c>
      <c r="FH37">
        <v>0</v>
      </c>
      <c r="FI37">
        <v>0</v>
      </c>
      <c r="FJ37">
        <v>0</v>
      </c>
      <c r="FK37">
        <v>0</v>
      </c>
      <c r="FL37">
        <v>0</v>
      </c>
      <c r="FM37">
        <v>0</v>
      </c>
      <c r="FN37">
        <v>0</v>
      </c>
      <c r="FO37">
        <v>1</v>
      </c>
      <c r="FP37">
        <v>0</v>
      </c>
      <c r="FQ37">
        <v>0</v>
      </c>
      <c r="FR37">
        <v>0</v>
      </c>
      <c r="FS37">
        <v>0</v>
      </c>
      <c r="FT37">
        <v>1</v>
      </c>
      <c r="FU37">
        <v>1</v>
      </c>
      <c r="FV37">
        <v>0</v>
      </c>
      <c r="FW37">
        <v>0</v>
      </c>
      <c r="FX37">
        <v>0</v>
      </c>
      <c r="FY37">
        <v>0</v>
      </c>
      <c r="FZ37">
        <v>0</v>
      </c>
      <c r="GA37">
        <v>0</v>
      </c>
      <c r="GB37">
        <v>0</v>
      </c>
      <c r="GC37">
        <v>0</v>
      </c>
      <c r="GD37">
        <v>1</v>
      </c>
      <c r="GE37">
        <v>1</v>
      </c>
      <c r="GF37">
        <v>0</v>
      </c>
      <c r="GG37">
        <v>0</v>
      </c>
      <c r="GH37">
        <v>0</v>
      </c>
      <c r="GI37">
        <v>0</v>
      </c>
      <c r="GJ37" s="6">
        <f t="shared" si="26"/>
        <v>17</v>
      </c>
      <c r="GK37">
        <v>2</v>
      </c>
      <c r="GL37" s="1">
        <v>45484.583333333336</v>
      </c>
      <c r="GM37">
        <v>1</v>
      </c>
      <c r="GN37">
        <v>2</v>
      </c>
      <c r="GO37">
        <v>2</v>
      </c>
      <c r="GP37">
        <v>2</v>
      </c>
      <c r="GQ37" s="5">
        <v>2</v>
      </c>
      <c r="GR37">
        <f t="shared" ref="GR37" si="135">INDEX($AD$48:$AE$51, MATCH(GQ37, $AD$48:$AD$51, 0), 2)</f>
        <v>3</v>
      </c>
      <c r="GS37">
        <v>2</v>
      </c>
      <c r="GT37">
        <v>2</v>
      </c>
      <c r="GU37">
        <v>2</v>
      </c>
      <c r="GV37" s="5">
        <v>3</v>
      </c>
      <c r="GW37">
        <f t="shared" ref="GW37" si="136">INDEX($AD$48:$AE$51, MATCH(GV37, $AD$48:$AD$51, 0), 2)</f>
        <v>2</v>
      </c>
      <c r="GX37">
        <v>2</v>
      </c>
      <c r="GY37">
        <v>3</v>
      </c>
      <c r="GZ37">
        <v>2</v>
      </c>
      <c r="HA37" s="5">
        <v>2</v>
      </c>
      <c r="HB37">
        <f t="shared" ref="HB37" si="137">INDEX($AD$48:$AE$51, MATCH(HA37, $AD$48:$AD$51, 0), 2)</f>
        <v>3</v>
      </c>
      <c r="HC37">
        <v>2</v>
      </c>
      <c r="HD37">
        <v>1</v>
      </c>
      <c r="HE37">
        <v>1</v>
      </c>
      <c r="HF37" s="5">
        <v>2</v>
      </c>
      <c r="HG37">
        <f t="shared" ref="HG37" si="138">INDEX($AD$48:$AE$51, MATCH(HF37, $AD$48:$AD$51, 0), 2)</f>
        <v>3</v>
      </c>
      <c r="HH37">
        <v>3</v>
      </c>
      <c r="HI37" s="6">
        <f t="shared" ref="HI37" si="139">SUM(GN37,GO37,GU37,GX37,GY37,GZ37,HB37)</f>
        <v>16</v>
      </c>
      <c r="HJ37" s="6">
        <f t="shared" ref="HJ37" si="140">SUM(GP37,GR37,GS37,GT37,GW37)</f>
        <v>11</v>
      </c>
      <c r="HK37" s="6">
        <f t="shared" ref="HK37" si="141">SUM(GN37:GP37,GR37:GU37,GW37:GZ37,HB37:HE37,HG37:HH37)</f>
        <v>37</v>
      </c>
      <c r="HL37">
        <v>2</v>
      </c>
      <c r="HM37" s="1">
        <v>45484.583333333336</v>
      </c>
      <c r="HN37">
        <v>4</v>
      </c>
      <c r="HO37">
        <v>6</v>
      </c>
      <c r="HP37">
        <v>1</v>
      </c>
      <c r="HQ37">
        <v>2</v>
      </c>
      <c r="HR37" s="1">
        <v>45495.724999999999</v>
      </c>
      <c r="HS37">
        <v>0</v>
      </c>
      <c r="HT37">
        <v>0</v>
      </c>
      <c r="HU37">
        <v>0</v>
      </c>
      <c r="HV37">
        <v>0</v>
      </c>
      <c r="HW37">
        <v>0</v>
      </c>
      <c r="HX37">
        <v>0</v>
      </c>
      <c r="HY37">
        <v>0</v>
      </c>
      <c r="HZ37">
        <v>1</v>
      </c>
      <c r="IA37">
        <v>0</v>
      </c>
      <c r="IB37">
        <v>0</v>
      </c>
      <c r="IC37">
        <v>0</v>
      </c>
      <c r="ID37">
        <v>0</v>
      </c>
      <c r="IE37">
        <v>0</v>
      </c>
      <c r="IF37">
        <v>0</v>
      </c>
      <c r="IG37">
        <v>1</v>
      </c>
      <c r="IH37">
        <v>1</v>
      </c>
      <c r="II37">
        <v>0</v>
      </c>
      <c r="IJ37">
        <v>0</v>
      </c>
      <c r="IK37">
        <v>0</v>
      </c>
      <c r="IL37">
        <v>1</v>
      </c>
      <c r="IM37">
        <v>0</v>
      </c>
      <c r="IN37" s="6">
        <f t="shared" si="31"/>
        <v>4</v>
      </c>
      <c r="IO37">
        <v>2</v>
      </c>
      <c r="IP37" s="1">
        <v>45495.724999999999</v>
      </c>
      <c r="IQ37">
        <v>0</v>
      </c>
      <c r="IR37">
        <v>0</v>
      </c>
      <c r="IS37">
        <v>0</v>
      </c>
      <c r="IT37">
        <v>0</v>
      </c>
      <c r="IU37">
        <v>0</v>
      </c>
      <c r="IV37">
        <v>0</v>
      </c>
      <c r="IW37">
        <v>0</v>
      </c>
      <c r="IX37">
        <v>0</v>
      </c>
      <c r="IY37">
        <v>0</v>
      </c>
      <c r="IZ37">
        <v>0</v>
      </c>
      <c r="JA37">
        <v>0</v>
      </c>
      <c r="JB37">
        <v>0</v>
      </c>
      <c r="JC37">
        <v>0</v>
      </c>
      <c r="JD37">
        <v>0</v>
      </c>
      <c r="JE37">
        <v>0</v>
      </c>
      <c r="JF37">
        <v>0</v>
      </c>
      <c r="JG37">
        <v>0</v>
      </c>
      <c r="JH37">
        <v>0</v>
      </c>
      <c r="JI37">
        <v>0</v>
      </c>
      <c r="JJ37">
        <v>1</v>
      </c>
      <c r="JT37" s="6">
        <f t="shared" si="32"/>
        <v>0</v>
      </c>
      <c r="JU37" s="6"/>
      <c r="JV37" s="6"/>
      <c r="JW37" s="6"/>
      <c r="JX37">
        <v>2</v>
      </c>
      <c r="JY37" s="1">
        <v>45495.724999999999</v>
      </c>
      <c r="JZ37">
        <v>0</v>
      </c>
      <c r="KA37">
        <v>0</v>
      </c>
      <c r="KB37">
        <v>0</v>
      </c>
      <c r="KC37" s="6">
        <f t="shared" si="35"/>
        <v>0</v>
      </c>
      <c r="KD37">
        <v>2</v>
      </c>
      <c r="KE37" s="1">
        <v>45495.724999999999</v>
      </c>
      <c r="KF37">
        <v>50.7</v>
      </c>
      <c r="KG37">
        <v>2.2999999999999998</v>
      </c>
      <c r="KP37">
        <v>3</v>
      </c>
      <c r="KQ37">
        <v>54.8</v>
      </c>
      <c r="KR37">
        <v>4.2</v>
      </c>
      <c r="KS37">
        <v>1</v>
      </c>
      <c r="UH37">
        <v>2</v>
      </c>
      <c r="UI37">
        <v>52</v>
      </c>
      <c r="UJ37">
        <v>2.6</v>
      </c>
      <c r="UK37">
        <v>3</v>
      </c>
      <c r="WX37">
        <v>2</v>
      </c>
      <c r="WY37">
        <v>50.7</v>
      </c>
      <c r="WZ37">
        <v>2.2999999999999998</v>
      </c>
      <c r="XA37">
        <v>4</v>
      </c>
      <c r="XN37" s="6">
        <v>2</v>
      </c>
      <c r="XO37" s="6">
        <v>53.1</v>
      </c>
      <c r="XP37" s="6">
        <v>3.1</v>
      </c>
      <c r="XQ37" s="6">
        <v>2</v>
      </c>
      <c r="YX37" s="6">
        <v>2</v>
      </c>
      <c r="YY37" s="6">
        <v>53.1</v>
      </c>
      <c r="YZ37" s="6">
        <v>3.1</v>
      </c>
      <c r="ZA37" s="6">
        <v>2</v>
      </c>
      <c r="ZB37">
        <v>2</v>
      </c>
      <c r="ZC37" s="1">
        <v>45110.661111111112</v>
      </c>
      <c r="ZD37">
        <v>4</v>
      </c>
      <c r="ZE37">
        <v>1</v>
      </c>
      <c r="ZF37">
        <v>3</v>
      </c>
      <c r="ZG37">
        <v>1</v>
      </c>
      <c r="ZH37">
        <v>3</v>
      </c>
      <c r="ZI37">
        <v>1</v>
      </c>
      <c r="ZJ37">
        <v>1</v>
      </c>
      <c r="ZK37">
        <v>1</v>
      </c>
      <c r="ZL37">
        <v>4</v>
      </c>
      <c r="ZM37">
        <v>3</v>
      </c>
      <c r="ZN37">
        <v>1</v>
      </c>
      <c r="ZO37">
        <v>3</v>
      </c>
      <c r="ZP37">
        <v>1</v>
      </c>
      <c r="ZQ37">
        <v>2</v>
      </c>
      <c r="ZR37">
        <v>2</v>
      </c>
      <c r="ZS37">
        <v>3</v>
      </c>
      <c r="ZT37">
        <v>3</v>
      </c>
      <c r="ZU37">
        <v>1</v>
      </c>
      <c r="ZV37">
        <v>4</v>
      </c>
      <c r="ZW37">
        <v>1</v>
      </c>
      <c r="ZX37" s="6">
        <f t="shared" si="36"/>
        <v>32</v>
      </c>
      <c r="ZY37" s="6">
        <f t="shared" si="37"/>
        <v>11</v>
      </c>
      <c r="ZZ37">
        <v>2</v>
      </c>
      <c r="AAA37" s="1">
        <v>45495.726388888892</v>
      </c>
      <c r="AAB37">
        <v>1</v>
      </c>
      <c r="AAC37">
        <v>0</v>
      </c>
      <c r="AAD37">
        <v>0</v>
      </c>
      <c r="AAE37">
        <v>0</v>
      </c>
      <c r="AAF37">
        <v>0</v>
      </c>
      <c r="AAG37">
        <v>0</v>
      </c>
      <c r="AAH37">
        <v>1</v>
      </c>
      <c r="AAI37">
        <v>0</v>
      </c>
      <c r="AAJ37">
        <v>0</v>
      </c>
      <c r="AAK37">
        <v>0</v>
      </c>
      <c r="AAL37">
        <v>0</v>
      </c>
      <c r="AAM37">
        <v>0</v>
      </c>
      <c r="AAN37">
        <v>0</v>
      </c>
      <c r="AAO37">
        <v>0</v>
      </c>
      <c r="AAP37">
        <v>0</v>
      </c>
      <c r="AAQ37">
        <v>0</v>
      </c>
      <c r="AAR37">
        <v>0</v>
      </c>
      <c r="AAS37">
        <v>0</v>
      </c>
      <c r="AAT37" s="6">
        <f t="shared" si="38"/>
        <v>2</v>
      </c>
      <c r="AAU37" s="6">
        <f t="shared" si="39"/>
        <v>0</v>
      </c>
      <c r="AAV37" s="6">
        <f t="shared" si="40"/>
        <v>0</v>
      </c>
      <c r="AAW37" s="6">
        <f t="shared" si="41"/>
        <v>2</v>
      </c>
      <c r="AAX37">
        <v>2</v>
      </c>
      <c r="AAY37" s="1">
        <v>45495.726388888892</v>
      </c>
      <c r="AAZ37">
        <v>0</v>
      </c>
      <c r="ABO37" s="6"/>
      <c r="ABP37" s="6"/>
      <c r="ABQ37">
        <v>2</v>
      </c>
      <c r="ABR37" s="1">
        <v>45495.727083333331</v>
      </c>
      <c r="ABS37">
        <v>1</v>
      </c>
      <c r="ABT37">
        <v>0</v>
      </c>
      <c r="ABU37">
        <v>1</v>
      </c>
      <c r="ABV37">
        <v>2</v>
      </c>
      <c r="ABW37">
        <v>0</v>
      </c>
      <c r="ABX37">
        <v>0</v>
      </c>
      <c r="ABY37">
        <v>0</v>
      </c>
      <c r="ABZ37">
        <v>2</v>
      </c>
      <c r="ACA37">
        <v>0</v>
      </c>
      <c r="ACB37">
        <v>1</v>
      </c>
      <c r="ACC37">
        <v>0</v>
      </c>
      <c r="ACD37">
        <v>0</v>
      </c>
      <c r="ACE37">
        <v>1</v>
      </c>
      <c r="ACF37">
        <v>0</v>
      </c>
      <c r="ACG37">
        <v>0</v>
      </c>
      <c r="ACH37">
        <v>0</v>
      </c>
      <c r="ACI37">
        <v>0</v>
      </c>
      <c r="ACJ37">
        <v>0</v>
      </c>
      <c r="ACK37">
        <v>0</v>
      </c>
      <c r="ACL37">
        <v>1</v>
      </c>
      <c r="ACM37">
        <v>0</v>
      </c>
      <c r="ACN37">
        <v>0</v>
      </c>
      <c r="ACO37">
        <v>0</v>
      </c>
      <c r="ACP37">
        <v>0</v>
      </c>
      <c r="ACQ37">
        <v>0</v>
      </c>
      <c r="ACR37">
        <v>1</v>
      </c>
      <c r="ACS37">
        <v>1</v>
      </c>
      <c r="ACT37">
        <v>0</v>
      </c>
      <c r="ACU37">
        <v>0</v>
      </c>
      <c r="ACV37">
        <v>0</v>
      </c>
      <c r="ACW37" s="6">
        <f t="shared" si="44"/>
        <v>2</v>
      </c>
      <c r="ACX37" s="6">
        <f t="shared" si="45"/>
        <v>0</v>
      </c>
      <c r="ACY37" s="6">
        <f t="shared" si="46"/>
        <v>0</v>
      </c>
      <c r="ACZ37" s="6">
        <f t="shared" si="47"/>
        <v>2</v>
      </c>
      <c r="ADA37" s="6">
        <f t="shared" si="48"/>
        <v>1</v>
      </c>
      <c r="ADB37" s="6">
        <f t="shared" si="49"/>
        <v>6</v>
      </c>
      <c r="ADC37" s="6">
        <f t="shared" si="50"/>
        <v>-1</v>
      </c>
      <c r="ADD37">
        <v>2</v>
      </c>
      <c r="ADE37" s="1">
        <v>45495.727777777778</v>
      </c>
      <c r="ADF37" s="5">
        <v>2</v>
      </c>
      <c r="ADG37">
        <f t="shared" si="51"/>
        <v>3</v>
      </c>
      <c r="ADH37" s="5">
        <v>2</v>
      </c>
      <c r="ADI37">
        <f t="shared" si="52"/>
        <v>3</v>
      </c>
      <c r="ADJ37">
        <v>1</v>
      </c>
      <c r="ADK37">
        <v>1</v>
      </c>
      <c r="ADL37" s="5">
        <v>2</v>
      </c>
      <c r="ADM37">
        <f t="shared" si="3"/>
        <v>3</v>
      </c>
      <c r="ADN37">
        <v>1</v>
      </c>
      <c r="ADO37">
        <v>1</v>
      </c>
      <c r="ADP37" s="5">
        <v>3</v>
      </c>
      <c r="ADQ37">
        <f t="shared" si="4"/>
        <v>2</v>
      </c>
      <c r="ADR37">
        <v>1</v>
      </c>
      <c r="ADS37" s="5">
        <v>2</v>
      </c>
      <c r="ADT37">
        <f t="shared" si="5"/>
        <v>3</v>
      </c>
      <c r="ADU37" s="5">
        <v>3</v>
      </c>
      <c r="ADV37">
        <f t="shared" ref="ADV37" si="142">INDEX($AD$48:$AE$51, MATCH(ADU37, $AD$48:$AD$51, 0), 2)</f>
        <v>2</v>
      </c>
      <c r="ADW37">
        <v>1</v>
      </c>
      <c r="ADX37">
        <v>1</v>
      </c>
      <c r="ADY37">
        <v>1</v>
      </c>
      <c r="ADZ37" s="5">
        <v>3</v>
      </c>
      <c r="AEA37">
        <f t="shared" si="6"/>
        <v>2</v>
      </c>
      <c r="AEB37" s="5">
        <v>3</v>
      </c>
      <c r="AEC37">
        <f t="shared" ref="AEC37" si="143">INDEX($AD$48:$AE$51, MATCH(AEB37, $AD$48:$AD$51, 0), 2)</f>
        <v>2</v>
      </c>
      <c r="AED37">
        <v>1</v>
      </c>
      <c r="AEE37">
        <v>1</v>
      </c>
      <c r="AEF37" s="5">
        <v>1</v>
      </c>
      <c r="AEG37">
        <f t="shared" si="7"/>
        <v>4</v>
      </c>
      <c r="AEH37" s="5">
        <v>2</v>
      </c>
      <c r="AEI37">
        <f t="shared" si="8"/>
        <v>3</v>
      </c>
      <c r="AEJ37" s="6">
        <f t="shared" si="55"/>
        <v>39</v>
      </c>
      <c r="AEK37">
        <v>2</v>
      </c>
      <c r="AEL37" s="1">
        <v>45495.727777777778</v>
      </c>
      <c r="AEM37">
        <v>0</v>
      </c>
      <c r="AER37">
        <v>0</v>
      </c>
      <c r="AES37">
        <v>0</v>
      </c>
      <c r="AET37">
        <v>0</v>
      </c>
      <c r="AEU37">
        <v>0</v>
      </c>
      <c r="AEV37">
        <v>0</v>
      </c>
      <c r="AEX37">
        <v>2</v>
      </c>
    </row>
    <row r="38" spans="1:830">
      <c r="A38">
        <v>156</v>
      </c>
      <c r="B38" t="s">
        <v>1192</v>
      </c>
      <c r="C38">
        <v>2</v>
      </c>
      <c r="D38">
        <v>1</v>
      </c>
      <c r="E38">
        <v>25</v>
      </c>
      <c r="F38">
        <v>60</v>
      </c>
      <c r="G38">
        <v>122</v>
      </c>
      <c r="H38">
        <v>0</v>
      </c>
      <c r="I38">
        <v>2</v>
      </c>
      <c r="K38" t="s">
        <v>383</v>
      </c>
      <c r="L38">
        <v>2</v>
      </c>
      <c r="M38" s="1">
        <v>45531.736805555556</v>
      </c>
      <c r="N38">
        <v>7</v>
      </c>
      <c r="O38">
        <v>0</v>
      </c>
      <c r="Q38">
        <v>1</v>
      </c>
      <c r="R38">
        <v>0</v>
      </c>
      <c r="S38">
        <v>0</v>
      </c>
      <c r="T38">
        <v>1</v>
      </c>
      <c r="U38">
        <v>0</v>
      </c>
      <c r="V38">
        <v>0</v>
      </c>
      <c r="W38">
        <v>0</v>
      </c>
      <c r="X38">
        <v>0</v>
      </c>
      <c r="Y38">
        <v>0</v>
      </c>
      <c r="Z38">
        <v>0</v>
      </c>
      <c r="AA38">
        <v>0</v>
      </c>
      <c r="AB38" t="s">
        <v>208</v>
      </c>
      <c r="AC38">
        <v>2</v>
      </c>
      <c r="AD38" s="1">
        <v>45531.737500000003</v>
      </c>
      <c r="AE38" s="5">
        <v>2</v>
      </c>
      <c r="AF38">
        <f t="shared" si="9"/>
        <v>3</v>
      </c>
      <c r="AG38">
        <v>3</v>
      </c>
      <c r="AH38" s="5">
        <v>3</v>
      </c>
      <c r="AI38">
        <f t="shared" si="10"/>
        <v>2</v>
      </c>
      <c r="AJ38">
        <v>2</v>
      </c>
      <c r="AK38">
        <v>1</v>
      </c>
      <c r="AL38" s="5">
        <v>2</v>
      </c>
      <c r="AM38">
        <f t="shared" si="11"/>
        <v>3</v>
      </c>
      <c r="AN38" s="5">
        <v>1</v>
      </c>
      <c r="AO38">
        <f t="shared" si="12"/>
        <v>4</v>
      </c>
      <c r="AP38">
        <v>3</v>
      </c>
      <c r="AQ38">
        <v>4</v>
      </c>
      <c r="AR38" s="5">
        <v>3</v>
      </c>
      <c r="AS38">
        <f t="shared" si="13"/>
        <v>2</v>
      </c>
      <c r="AT38">
        <v>3</v>
      </c>
      <c r="AU38">
        <v>3</v>
      </c>
      <c r="AV38" s="5">
        <v>2</v>
      </c>
      <c r="AW38">
        <f t="shared" si="14"/>
        <v>3</v>
      </c>
      <c r="AX38" s="5">
        <v>1</v>
      </c>
      <c r="AY38">
        <f t="shared" si="15"/>
        <v>4</v>
      </c>
      <c r="AZ38">
        <v>1</v>
      </c>
      <c r="BA38" s="5">
        <v>3</v>
      </c>
      <c r="BB38">
        <f t="shared" si="16"/>
        <v>2</v>
      </c>
      <c r="BC38">
        <v>3</v>
      </c>
      <c r="BD38">
        <v>3</v>
      </c>
      <c r="BE38" s="5">
        <v>1</v>
      </c>
      <c r="BF38">
        <f t="shared" si="17"/>
        <v>4</v>
      </c>
      <c r="BG38">
        <v>3</v>
      </c>
      <c r="BH38" s="6">
        <f t="shared" si="18"/>
        <v>56</v>
      </c>
      <c r="BI38">
        <v>2</v>
      </c>
      <c r="BJ38" s="1">
        <v>45531.738888888889</v>
      </c>
      <c r="BK38">
        <v>10</v>
      </c>
      <c r="BL38">
        <v>2</v>
      </c>
      <c r="BM38">
        <v>1</v>
      </c>
      <c r="BQ38" s="2">
        <v>45509</v>
      </c>
      <c r="BU38">
        <v>26</v>
      </c>
      <c r="BV38">
        <v>5</v>
      </c>
      <c r="BW38">
        <v>1</v>
      </c>
      <c r="BX38">
        <v>2</v>
      </c>
      <c r="BY38" s="1">
        <v>45531.740972222222</v>
      </c>
      <c r="BZ38">
        <v>3</v>
      </c>
      <c r="CA38">
        <v>3</v>
      </c>
      <c r="CB38">
        <v>3</v>
      </c>
      <c r="CC38">
        <v>3</v>
      </c>
      <c r="CD38">
        <v>4</v>
      </c>
      <c r="CE38">
        <v>4</v>
      </c>
      <c r="CF38">
        <v>2</v>
      </c>
      <c r="CG38">
        <v>4</v>
      </c>
      <c r="CH38">
        <v>3</v>
      </c>
      <c r="CI38">
        <v>4</v>
      </c>
      <c r="CJ38">
        <v>4</v>
      </c>
      <c r="CK38">
        <v>3</v>
      </c>
      <c r="CL38" s="5">
        <v>3</v>
      </c>
      <c r="CM38">
        <f t="shared" si="19"/>
        <v>2</v>
      </c>
      <c r="CN38">
        <v>2</v>
      </c>
      <c r="CO38">
        <v>2</v>
      </c>
      <c r="CP38">
        <v>4</v>
      </c>
      <c r="CQ38">
        <v>3</v>
      </c>
      <c r="CR38" s="5">
        <v>2</v>
      </c>
      <c r="CS38">
        <f t="shared" si="20"/>
        <v>3</v>
      </c>
      <c r="CT38">
        <v>4</v>
      </c>
      <c r="CU38">
        <v>2</v>
      </c>
      <c r="CV38" s="6">
        <f t="shared" si="21"/>
        <v>12</v>
      </c>
      <c r="CW38" s="6">
        <f t="shared" si="22"/>
        <v>15</v>
      </c>
      <c r="CX38" s="6">
        <f t="shared" si="23"/>
        <v>16</v>
      </c>
      <c r="CY38" s="6">
        <f t="shared" si="24"/>
        <v>43</v>
      </c>
      <c r="CZ38" s="6">
        <f t="shared" si="25"/>
        <v>19</v>
      </c>
      <c r="DA38">
        <v>2</v>
      </c>
      <c r="DB38" s="1">
        <v>45531.741666666669</v>
      </c>
      <c r="DC38">
        <v>1</v>
      </c>
      <c r="DD38">
        <v>0</v>
      </c>
      <c r="DE38">
        <v>0</v>
      </c>
      <c r="DF38">
        <v>0</v>
      </c>
      <c r="DG38">
        <v>0</v>
      </c>
      <c r="DH38">
        <v>1</v>
      </c>
      <c r="DI38">
        <v>0</v>
      </c>
      <c r="DJ38">
        <v>0</v>
      </c>
      <c r="DK38">
        <v>0</v>
      </c>
      <c r="DL38">
        <v>0</v>
      </c>
      <c r="DM38">
        <v>0</v>
      </c>
      <c r="DN38">
        <v>1</v>
      </c>
      <c r="DO38">
        <v>0</v>
      </c>
      <c r="DP38">
        <v>0</v>
      </c>
      <c r="DQ38">
        <v>0</v>
      </c>
      <c r="DR38">
        <v>1</v>
      </c>
      <c r="DS38">
        <v>0</v>
      </c>
      <c r="DT38">
        <v>0</v>
      </c>
      <c r="DU38">
        <v>0</v>
      </c>
      <c r="DV38">
        <v>0</v>
      </c>
      <c r="DW38">
        <v>0</v>
      </c>
      <c r="DX38">
        <v>0</v>
      </c>
      <c r="DY38">
        <v>0</v>
      </c>
      <c r="DZ38">
        <v>0</v>
      </c>
      <c r="EA38">
        <v>1</v>
      </c>
      <c r="EB38">
        <v>0</v>
      </c>
      <c r="EC38">
        <v>0</v>
      </c>
      <c r="ED38">
        <v>0</v>
      </c>
      <c r="EE38">
        <v>0</v>
      </c>
      <c r="EF38">
        <v>1</v>
      </c>
      <c r="EG38">
        <v>0</v>
      </c>
      <c r="EH38">
        <v>0</v>
      </c>
      <c r="EI38">
        <v>0</v>
      </c>
      <c r="EJ38">
        <v>0</v>
      </c>
      <c r="EK38">
        <v>1</v>
      </c>
      <c r="EL38">
        <v>0</v>
      </c>
      <c r="EM38">
        <v>0</v>
      </c>
      <c r="EN38">
        <v>0</v>
      </c>
      <c r="EO38">
        <v>0</v>
      </c>
      <c r="EP38">
        <v>1</v>
      </c>
      <c r="EQ38">
        <v>1</v>
      </c>
      <c r="ER38">
        <v>0</v>
      </c>
      <c r="ES38">
        <v>0</v>
      </c>
      <c r="ET38">
        <v>0</v>
      </c>
      <c r="EU38">
        <v>0</v>
      </c>
      <c r="EV38">
        <v>0</v>
      </c>
      <c r="EW38">
        <v>0</v>
      </c>
      <c r="EX38">
        <v>0</v>
      </c>
      <c r="EY38">
        <v>0</v>
      </c>
      <c r="EZ38">
        <v>1</v>
      </c>
      <c r="FA38">
        <v>0</v>
      </c>
      <c r="FB38">
        <v>0</v>
      </c>
      <c r="FC38">
        <v>0</v>
      </c>
      <c r="FD38">
        <v>0</v>
      </c>
      <c r="FE38">
        <v>1</v>
      </c>
      <c r="FF38">
        <v>0</v>
      </c>
      <c r="FG38">
        <v>0</v>
      </c>
      <c r="FH38">
        <v>0</v>
      </c>
      <c r="FI38">
        <v>0</v>
      </c>
      <c r="FJ38">
        <v>1</v>
      </c>
      <c r="FK38">
        <v>0</v>
      </c>
      <c r="FL38">
        <v>0</v>
      </c>
      <c r="FM38">
        <v>0</v>
      </c>
      <c r="FN38">
        <v>0</v>
      </c>
      <c r="FO38">
        <v>1</v>
      </c>
      <c r="FP38">
        <v>0</v>
      </c>
      <c r="FQ38">
        <v>0</v>
      </c>
      <c r="FR38">
        <v>0</v>
      </c>
      <c r="FS38">
        <v>0</v>
      </c>
      <c r="FT38">
        <v>1</v>
      </c>
      <c r="FU38">
        <v>0</v>
      </c>
      <c r="FV38">
        <v>0</v>
      </c>
      <c r="FW38">
        <v>0</v>
      </c>
      <c r="FX38">
        <v>0</v>
      </c>
      <c r="FY38">
        <v>1</v>
      </c>
      <c r="FZ38">
        <v>0</v>
      </c>
      <c r="GA38">
        <v>0</v>
      </c>
      <c r="GB38">
        <v>0</v>
      </c>
      <c r="GC38">
        <v>0</v>
      </c>
      <c r="GD38">
        <v>1</v>
      </c>
      <c r="GE38">
        <v>0</v>
      </c>
      <c r="GF38">
        <v>0</v>
      </c>
      <c r="GG38">
        <v>0</v>
      </c>
      <c r="GH38">
        <v>0</v>
      </c>
      <c r="GI38">
        <v>1</v>
      </c>
      <c r="GJ38" s="6">
        <f t="shared" si="26"/>
        <v>17</v>
      </c>
      <c r="GK38">
        <v>2</v>
      </c>
      <c r="GL38" s="1">
        <v>45531.742361111108</v>
      </c>
      <c r="GM38">
        <v>0</v>
      </c>
      <c r="GQ38" s="5"/>
      <c r="GV38" s="5"/>
      <c r="HA38" s="5"/>
      <c r="HF38" s="5"/>
      <c r="HI38" s="6"/>
      <c r="HJ38" s="6"/>
      <c r="HK38" s="6"/>
      <c r="HL38">
        <v>2</v>
      </c>
      <c r="HM38" s="1">
        <v>45531.742361111108</v>
      </c>
      <c r="HN38">
        <v>4</v>
      </c>
      <c r="HO38">
        <v>5</v>
      </c>
      <c r="HP38">
        <v>9</v>
      </c>
      <c r="HQ38">
        <v>2</v>
      </c>
      <c r="HR38" s="1">
        <v>45531.745138888888</v>
      </c>
      <c r="HS38">
        <v>1</v>
      </c>
      <c r="HT38">
        <v>1</v>
      </c>
      <c r="HU38">
        <v>0</v>
      </c>
      <c r="HV38">
        <v>3</v>
      </c>
      <c r="HW38">
        <v>3</v>
      </c>
      <c r="HX38">
        <v>3</v>
      </c>
      <c r="HY38">
        <v>1</v>
      </c>
      <c r="HZ38">
        <v>0</v>
      </c>
      <c r="IA38">
        <v>0</v>
      </c>
      <c r="IB38">
        <v>0</v>
      </c>
      <c r="IC38">
        <v>0</v>
      </c>
      <c r="ID38">
        <v>2</v>
      </c>
      <c r="IE38">
        <v>2</v>
      </c>
      <c r="IF38">
        <v>1</v>
      </c>
      <c r="IG38">
        <v>2</v>
      </c>
      <c r="IH38">
        <v>2</v>
      </c>
      <c r="II38">
        <v>1</v>
      </c>
      <c r="IJ38">
        <v>0</v>
      </c>
      <c r="IK38">
        <v>2</v>
      </c>
      <c r="IL38">
        <v>2</v>
      </c>
      <c r="IM38">
        <v>3</v>
      </c>
      <c r="IN38" s="6">
        <f t="shared" si="31"/>
        <v>29</v>
      </c>
      <c r="IO38">
        <v>2</v>
      </c>
      <c r="IP38" s="1">
        <v>45531.745833333334</v>
      </c>
      <c r="IQ38">
        <v>0</v>
      </c>
      <c r="IR38">
        <v>0</v>
      </c>
      <c r="IS38">
        <v>0</v>
      </c>
      <c r="IT38">
        <v>0</v>
      </c>
      <c r="IU38">
        <v>0</v>
      </c>
      <c r="IV38">
        <v>0</v>
      </c>
      <c r="IW38">
        <v>0</v>
      </c>
      <c r="IX38">
        <v>0</v>
      </c>
      <c r="IY38">
        <v>0</v>
      </c>
      <c r="IZ38">
        <v>0</v>
      </c>
      <c r="JA38">
        <v>0</v>
      </c>
      <c r="JB38">
        <v>0</v>
      </c>
      <c r="JC38">
        <v>0</v>
      </c>
      <c r="JD38">
        <v>0</v>
      </c>
      <c r="JE38">
        <v>0</v>
      </c>
      <c r="JF38">
        <v>0</v>
      </c>
      <c r="JG38">
        <v>0</v>
      </c>
      <c r="JH38">
        <v>0</v>
      </c>
      <c r="JI38">
        <v>0</v>
      </c>
      <c r="JJ38">
        <v>1</v>
      </c>
      <c r="JT38" s="6">
        <f t="shared" si="32"/>
        <v>0</v>
      </c>
      <c r="JU38" s="6"/>
      <c r="JV38" s="6"/>
      <c r="JW38" s="6"/>
      <c r="JX38">
        <v>2</v>
      </c>
      <c r="JY38" s="1">
        <v>45531.745833333334</v>
      </c>
      <c r="JZ38">
        <v>0</v>
      </c>
      <c r="KA38">
        <v>0</v>
      </c>
      <c r="KB38">
        <v>0</v>
      </c>
      <c r="KC38" s="6">
        <f t="shared" si="35"/>
        <v>0</v>
      </c>
      <c r="KD38">
        <v>2</v>
      </c>
      <c r="KE38" s="1">
        <v>45531.746527777781</v>
      </c>
      <c r="KF38">
        <v>50.1</v>
      </c>
      <c r="KG38">
        <v>2.4</v>
      </c>
      <c r="KP38">
        <v>2</v>
      </c>
      <c r="KQ38">
        <v>47.9</v>
      </c>
      <c r="KR38">
        <v>4</v>
      </c>
      <c r="KS38">
        <v>1</v>
      </c>
      <c r="UH38">
        <v>2</v>
      </c>
      <c r="UI38">
        <v>51.5</v>
      </c>
      <c r="UJ38">
        <v>2.7</v>
      </c>
      <c r="UK38">
        <v>3</v>
      </c>
      <c r="WX38">
        <v>2</v>
      </c>
      <c r="WY38">
        <v>50.1</v>
      </c>
      <c r="WZ38">
        <v>2.4</v>
      </c>
      <c r="XA38">
        <v>4</v>
      </c>
      <c r="XN38" s="6">
        <v>3</v>
      </c>
      <c r="XO38" s="6">
        <v>52.4</v>
      </c>
      <c r="XP38" s="6">
        <v>3.3</v>
      </c>
      <c r="XQ38" s="6">
        <v>2</v>
      </c>
      <c r="YX38" s="6">
        <v>3</v>
      </c>
      <c r="YY38" s="6">
        <v>52.4</v>
      </c>
      <c r="YZ38" s="6">
        <v>3.3</v>
      </c>
      <c r="ZA38" s="6">
        <v>2</v>
      </c>
      <c r="ZB38">
        <v>2</v>
      </c>
      <c r="ZC38" s="1">
        <v>45111.661111111112</v>
      </c>
      <c r="ZD38">
        <v>2</v>
      </c>
      <c r="ZE38">
        <v>1</v>
      </c>
      <c r="ZF38">
        <v>2</v>
      </c>
      <c r="ZG38">
        <v>3</v>
      </c>
      <c r="ZH38">
        <v>1</v>
      </c>
      <c r="ZI38">
        <v>2</v>
      </c>
      <c r="ZJ38">
        <v>4</v>
      </c>
      <c r="ZK38">
        <v>1</v>
      </c>
      <c r="ZL38">
        <v>1</v>
      </c>
      <c r="ZM38">
        <v>1</v>
      </c>
      <c r="ZN38">
        <v>2</v>
      </c>
      <c r="ZO38">
        <v>2</v>
      </c>
      <c r="ZP38">
        <v>3</v>
      </c>
      <c r="ZQ38">
        <v>2</v>
      </c>
      <c r="ZR38">
        <v>4</v>
      </c>
      <c r="ZS38">
        <v>4</v>
      </c>
      <c r="ZT38">
        <v>4</v>
      </c>
      <c r="ZU38">
        <v>2</v>
      </c>
      <c r="ZV38">
        <v>3</v>
      </c>
      <c r="ZW38">
        <v>4</v>
      </c>
      <c r="ZX38" s="6">
        <f t="shared" si="36"/>
        <v>22</v>
      </c>
      <c r="ZY38" s="6">
        <f t="shared" si="37"/>
        <v>26</v>
      </c>
      <c r="ZZ38">
        <v>2</v>
      </c>
      <c r="AAA38" s="1">
        <v>45531.747916666667</v>
      </c>
      <c r="AAB38">
        <v>0</v>
      </c>
      <c r="AAC38">
        <v>1</v>
      </c>
      <c r="AAD38">
        <v>3</v>
      </c>
      <c r="AAE38">
        <v>0</v>
      </c>
      <c r="AAF38">
        <v>1</v>
      </c>
      <c r="AAG38">
        <v>3</v>
      </c>
      <c r="AAH38">
        <v>2</v>
      </c>
      <c r="AAI38">
        <v>2</v>
      </c>
      <c r="AAJ38">
        <v>0</v>
      </c>
      <c r="AAK38">
        <v>0</v>
      </c>
      <c r="AAL38">
        <v>0</v>
      </c>
      <c r="AAM38">
        <v>0</v>
      </c>
      <c r="AAN38">
        <v>0</v>
      </c>
      <c r="AAO38">
        <v>3</v>
      </c>
      <c r="AAP38">
        <v>3</v>
      </c>
      <c r="AAQ38">
        <v>1</v>
      </c>
      <c r="AAR38">
        <v>0</v>
      </c>
      <c r="AAS38">
        <v>0</v>
      </c>
      <c r="AAT38" s="6">
        <f t="shared" si="38"/>
        <v>3</v>
      </c>
      <c r="AAU38" s="6">
        <f t="shared" si="39"/>
        <v>7</v>
      </c>
      <c r="AAV38" s="6">
        <f t="shared" si="40"/>
        <v>9</v>
      </c>
      <c r="AAW38" s="6">
        <f t="shared" si="41"/>
        <v>19</v>
      </c>
      <c r="AAX38">
        <v>2</v>
      </c>
      <c r="AAY38" s="1">
        <v>45531.747916666667</v>
      </c>
      <c r="AAZ38">
        <v>0</v>
      </c>
      <c r="ABO38" s="6"/>
      <c r="ABP38" s="6"/>
      <c r="ABQ38">
        <v>2</v>
      </c>
      <c r="ABR38" s="1">
        <v>45531.749305555553</v>
      </c>
      <c r="ABS38">
        <v>2</v>
      </c>
      <c r="ABT38">
        <v>0</v>
      </c>
      <c r="ABU38">
        <v>3</v>
      </c>
      <c r="ABV38">
        <v>0</v>
      </c>
      <c r="ABW38">
        <v>0</v>
      </c>
      <c r="ABX38">
        <v>0</v>
      </c>
      <c r="ABY38">
        <v>0</v>
      </c>
      <c r="ABZ38">
        <v>0</v>
      </c>
      <c r="ACA38">
        <v>0</v>
      </c>
      <c r="ACB38">
        <v>0</v>
      </c>
      <c r="ACC38">
        <v>0</v>
      </c>
      <c r="ACD38">
        <v>1</v>
      </c>
      <c r="ACE38">
        <v>1</v>
      </c>
      <c r="ACF38">
        <v>1</v>
      </c>
      <c r="ACG38">
        <v>1</v>
      </c>
      <c r="ACH38">
        <v>1</v>
      </c>
      <c r="ACI38">
        <v>1</v>
      </c>
      <c r="ACJ38">
        <v>0</v>
      </c>
      <c r="ACK38">
        <v>3</v>
      </c>
      <c r="ACL38">
        <v>3</v>
      </c>
      <c r="ACM38">
        <v>0</v>
      </c>
      <c r="ACN38">
        <v>1</v>
      </c>
      <c r="ACO38">
        <v>1</v>
      </c>
      <c r="ACP38">
        <v>0</v>
      </c>
      <c r="ACQ38">
        <v>0</v>
      </c>
      <c r="ACR38">
        <v>2</v>
      </c>
      <c r="ACS38">
        <v>1</v>
      </c>
      <c r="ACT38">
        <v>3</v>
      </c>
      <c r="ACU38">
        <v>3</v>
      </c>
      <c r="ACV38">
        <v>2</v>
      </c>
      <c r="ACW38" s="6">
        <f t="shared" si="44"/>
        <v>7</v>
      </c>
      <c r="ACX38" s="6">
        <f t="shared" si="45"/>
        <v>2</v>
      </c>
      <c r="ACY38" s="6">
        <f t="shared" si="46"/>
        <v>4</v>
      </c>
      <c r="ACZ38" s="6">
        <f t="shared" si="47"/>
        <v>9</v>
      </c>
      <c r="ADA38" s="6">
        <f t="shared" si="48"/>
        <v>5</v>
      </c>
      <c r="ADB38" s="6">
        <f t="shared" si="49"/>
        <v>3</v>
      </c>
      <c r="ADC38" s="6">
        <f t="shared" si="50"/>
        <v>24</v>
      </c>
      <c r="ADD38">
        <v>2</v>
      </c>
      <c r="ADE38" s="1">
        <v>45531.75</v>
      </c>
      <c r="ADF38" s="5">
        <v>2</v>
      </c>
      <c r="ADG38">
        <f t="shared" si="51"/>
        <v>3</v>
      </c>
      <c r="ADH38" s="5">
        <v>2</v>
      </c>
      <c r="ADI38">
        <f t="shared" si="52"/>
        <v>3</v>
      </c>
      <c r="ADJ38">
        <v>2</v>
      </c>
      <c r="ADK38">
        <v>3</v>
      </c>
      <c r="ADL38" s="5">
        <v>2</v>
      </c>
      <c r="ADM38">
        <f t="shared" si="3"/>
        <v>3</v>
      </c>
      <c r="ADN38">
        <v>2</v>
      </c>
      <c r="ADO38">
        <v>4</v>
      </c>
      <c r="ADP38" s="5">
        <v>2</v>
      </c>
      <c r="ADQ38">
        <f t="shared" si="4"/>
        <v>3</v>
      </c>
      <c r="ADR38">
        <v>3</v>
      </c>
      <c r="ADS38" s="5">
        <v>2</v>
      </c>
      <c r="ADT38">
        <f t="shared" si="5"/>
        <v>3</v>
      </c>
      <c r="ADU38" s="5">
        <v>2</v>
      </c>
      <c r="ADV38">
        <f t="shared" ref="ADV38" si="144">INDEX($AD$48:$AE$51, MATCH(ADU38, $AD$48:$AD$51, 0), 2)</f>
        <v>3</v>
      </c>
      <c r="ADW38">
        <v>2</v>
      </c>
      <c r="ADX38">
        <v>2</v>
      </c>
      <c r="ADY38">
        <v>4</v>
      </c>
      <c r="ADZ38" s="5">
        <v>1</v>
      </c>
      <c r="AEA38">
        <f t="shared" si="6"/>
        <v>4</v>
      </c>
      <c r="AEB38" s="5">
        <v>2</v>
      </c>
      <c r="AEC38">
        <f t="shared" ref="AEC38" si="145">INDEX($AD$48:$AE$51, MATCH(AEB38, $AD$48:$AD$51, 0), 2)</f>
        <v>3</v>
      </c>
      <c r="AED38">
        <v>4</v>
      </c>
      <c r="AEE38">
        <v>2</v>
      </c>
      <c r="AEF38" s="5">
        <v>2</v>
      </c>
      <c r="AEG38">
        <f t="shared" si="7"/>
        <v>3</v>
      </c>
      <c r="AEH38" s="5">
        <v>2</v>
      </c>
      <c r="AEI38">
        <f t="shared" si="8"/>
        <v>3</v>
      </c>
      <c r="AEJ38" s="6">
        <f t="shared" si="55"/>
        <v>63</v>
      </c>
      <c r="AEK38">
        <v>2</v>
      </c>
      <c r="AEL38" s="1">
        <v>45531.75</v>
      </c>
      <c r="AEM38">
        <v>1</v>
      </c>
      <c r="AEN38" t="s">
        <v>384</v>
      </c>
      <c r="AEP38">
        <v>1</v>
      </c>
      <c r="AEQ38">
        <v>1</v>
      </c>
      <c r="AER38">
        <v>0</v>
      </c>
      <c r="AES38">
        <v>1</v>
      </c>
      <c r="AET38">
        <v>0</v>
      </c>
      <c r="AEU38">
        <v>0</v>
      </c>
      <c r="AEV38">
        <v>0</v>
      </c>
      <c r="AEX38">
        <v>2</v>
      </c>
    </row>
    <row r="39" spans="1:830">
      <c r="A39">
        <v>121</v>
      </c>
      <c r="B39" t="s">
        <v>1172</v>
      </c>
      <c r="C39">
        <v>2</v>
      </c>
      <c r="D39">
        <v>2</v>
      </c>
      <c r="E39">
        <v>54</v>
      </c>
      <c r="F39">
        <v>67</v>
      </c>
      <c r="G39">
        <v>160</v>
      </c>
      <c r="H39">
        <v>0</v>
      </c>
      <c r="I39">
        <v>3</v>
      </c>
      <c r="K39" t="s">
        <v>223</v>
      </c>
      <c r="L39">
        <v>2</v>
      </c>
      <c r="M39" s="1">
        <v>45480.620833333334</v>
      </c>
      <c r="N39">
        <v>7</v>
      </c>
      <c r="O39">
        <v>0</v>
      </c>
      <c r="Q39">
        <v>0</v>
      </c>
      <c r="R39">
        <v>1</v>
      </c>
      <c r="S39">
        <v>0</v>
      </c>
      <c r="T39">
        <v>0</v>
      </c>
      <c r="U39">
        <v>0</v>
      </c>
      <c r="V39">
        <v>0</v>
      </c>
      <c r="W39">
        <v>0</v>
      </c>
      <c r="X39">
        <v>0</v>
      </c>
      <c r="Y39">
        <v>0</v>
      </c>
      <c r="Z39">
        <v>0</v>
      </c>
      <c r="AA39">
        <v>0</v>
      </c>
      <c r="AB39" t="s">
        <v>208</v>
      </c>
      <c r="AC39">
        <v>2</v>
      </c>
      <c r="AD39" s="1">
        <v>45480.62222222222</v>
      </c>
      <c r="AE39" s="5">
        <v>3</v>
      </c>
      <c r="AF39">
        <f t="shared" si="9"/>
        <v>2</v>
      </c>
      <c r="AG39">
        <v>2</v>
      </c>
      <c r="AH39" s="5">
        <v>2</v>
      </c>
      <c r="AI39">
        <f t="shared" si="10"/>
        <v>3</v>
      </c>
      <c r="AJ39">
        <v>2</v>
      </c>
      <c r="AK39">
        <v>2</v>
      </c>
      <c r="AL39" s="5">
        <v>2</v>
      </c>
      <c r="AM39">
        <f t="shared" si="11"/>
        <v>3</v>
      </c>
      <c r="AN39" s="5">
        <v>2</v>
      </c>
      <c r="AO39">
        <f t="shared" si="12"/>
        <v>3</v>
      </c>
      <c r="AP39">
        <v>2</v>
      </c>
      <c r="AQ39">
        <v>1</v>
      </c>
      <c r="AR39" s="5">
        <v>3</v>
      </c>
      <c r="AS39">
        <f t="shared" si="13"/>
        <v>2</v>
      </c>
      <c r="AT39">
        <v>1</v>
      </c>
      <c r="AU39">
        <v>2</v>
      </c>
      <c r="AV39" s="5">
        <v>3</v>
      </c>
      <c r="AW39">
        <f t="shared" si="14"/>
        <v>2</v>
      </c>
      <c r="AX39" s="5">
        <v>3</v>
      </c>
      <c r="AY39">
        <f t="shared" si="15"/>
        <v>2</v>
      </c>
      <c r="AZ39">
        <v>2</v>
      </c>
      <c r="BA39" s="5">
        <v>3</v>
      </c>
      <c r="BB39">
        <f t="shared" si="16"/>
        <v>2</v>
      </c>
      <c r="BC39">
        <v>2</v>
      </c>
      <c r="BD39">
        <v>2</v>
      </c>
      <c r="BE39" s="5">
        <v>3</v>
      </c>
      <c r="BF39">
        <f t="shared" si="17"/>
        <v>2</v>
      </c>
      <c r="BG39">
        <v>2</v>
      </c>
      <c r="BH39" s="6">
        <f t="shared" si="18"/>
        <v>41</v>
      </c>
      <c r="BI39">
        <v>2</v>
      </c>
      <c r="BJ39" s="1">
        <v>45480.622916666667</v>
      </c>
      <c r="BK39">
        <v>16</v>
      </c>
      <c r="BL39">
        <v>4</v>
      </c>
      <c r="BM39">
        <v>4</v>
      </c>
      <c r="BQ39" s="2">
        <v>44819</v>
      </c>
      <c r="BR39">
        <v>6</v>
      </c>
      <c r="BS39">
        <v>1</v>
      </c>
      <c r="BT39">
        <v>4</v>
      </c>
      <c r="BU39">
        <v>28</v>
      </c>
      <c r="BV39">
        <v>3</v>
      </c>
      <c r="BW39">
        <v>1</v>
      </c>
      <c r="BX39">
        <v>2</v>
      </c>
      <c r="BY39" s="1">
        <v>45480.624305555553</v>
      </c>
      <c r="BZ39">
        <v>4</v>
      </c>
      <c r="CA39">
        <v>3</v>
      </c>
      <c r="CB39">
        <v>3</v>
      </c>
      <c r="CC39">
        <v>4</v>
      </c>
      <c r="CD39">
        <v>3</v>
      </c>
      <c r="CE39">
        <v>3</v>
      </c>
      <c r="CF39">
        <v>3</v>
      </c>
      <c r="CG39">
        <v>3</v>
      </c>
      <c r="CH39">
        <v>3</v>
      </c>
      <c r="CI39">
        <v>3</v>
      </c>
      <c r="CJ39">
        <v>1</v>
      </c>
      <c r="CK39">
        <v>3</v>
      </c>
      <c r="CL39" s="5">
        <v>1</v>
      </c>
      <c r="CM39">
        <f t="shared" si="19"/>
        <v>4</v>
      </c>
      <c r="CN39">
        <v>3</v>
      </c>
      <c r="CO39">
        <v>3</v>
      </c>
      <c r="CP39">
        <v>2</v>
      </c>
      <c r="CQ39">
        <v>1</v>
      </c>
      <c r="CR39" s="5">
        <v>2</v>
      </c>
      <c r="CS39">
        <f t="shared" si="20"/>
        <v>3</v>
      </c>
      <c r="CT39">
        <v>4</v>
      </c>
      <c r="CU39">
        <v>3</v>
      </c>
      <c r="CV39" s="6">
        <f t="shared" si="21"/>
        <v>10</v>
      </c>
      <c r="CW39" s="6">
        <f t="shared" si="22"/>
        <v>9</v>
      </c>
      <c r="CX39" s="6">
        <f t="shared" si="23"/>
        <v>17</v>
      </c>
      <c r="CY39" s="6">
        <f t="shared" si="24"/>
        <v>36</v>
      </c>
      <c r="CZ39" s="6">
        <f t="shared" si="25"/>
        <v>23</v>
      </c>
      <c r="DA39">
        <v>2</v>
      </c>
      <c r="DB39" s="1">
        <v>45480.625694444447</v>
      </c>
      <c r="DC39">
        <v>0</v>
      </c>
      <c r="DD39">
        <v>0</v>
      </c>
      <c r="DE39">
        <v>0</v>
      </c>
      <c r="DF39">
        <v>0</v>
      </c>
      <c r="DG39">
        <v>1</v>
      </c>
      <c r="DH39">
        <v>0</v>
      </c>
      <c r="DI39">
        <v>0</v>
      </c>
      <c r="DJ39">
        <v>0</v>
      </c>
      <c r="DK39">
        <v>0</v>
      </c>
      <c r="DL39">
        <v>1</v>
      </c>
      <c r="DM39">
        <v>0</v>
      </c>
      <c r="DN39">
        <v>0</v>
      </c>
      <c r="DO39">
        <v>1</v>
      </c>
      <c r="DP39">
        <v>0</v>
      </c>
      <c r="DQ39">
        <v>0</v>
      </c>
      <c r="DR39">
        <v>0</v>
      </c>
      <c r="DS39">
        <v>0</v>
      </c>
      <c r="DT39">
        <v>1</v>
      </c>
      <c r="DU39">
        <v>0</v>
      </c>
      <c r="DV39">
        <v>0</v>
      </c>
      <c r="DW39">
        <v>0</v>
      </c>
      <c r="DX39">
        <v>0</v>
      </c>
      <c r="DY39">
        <v>0</v>
      </c>
      <c r="DZ39">
        <v>0</v>
      </c>
      <c r="EA39">
        <v>1</v>
      </c>
      <c r="EB39">
        <v>0</v>
      </c>
      <c r="EC39">
        <v>0</v>
      </c>
      <c r="ED39">
        <v>0</v>
      </c>
      <c r="EE39">
        <v>0</v>
      </c>
      <c r="EF39">
        <v>1</v>
      </c>
      <c r="EG39">
        <v>0</v>
      </c>
      <c r="EH39">
        <v>0</v>
      </c>
      <c r="EI39">
        <v>0</v>
      </c>
      <c r="EJ39">
        <v>0</v>
      </c>
      <c r="EK39">
        <v>1</v>
      </c>
      <c r="EL39">
        <v>0</v>
      </c>
      <c r="EM39">
        <v>0</v>
      </c>
      <c r="EN39">
        <v>0</v>
      </c>
      <c r="EO39">
        <v>0</v>
      </c>
      <c r="EP39">
        <v>1</v>
      </c>
      <c r="EQ39">
        <v>0</v>
      </c>
      <c r="ER39">
        <v>0</v>
      </c>
      <c r="ES39">
        <v>0</v>
      </c>
      <c r="ET39">
        <v>0</v>
      </c>
      <c r="EU39">
        <v>1</v>
      </c>
      <c r="EV39">
        <v>0</v>
      </c>
      <c r="EW39">
        <v>0</v>
      </c>
      <c r="EX39">
        <v>0</v>
      </c>
      <c r="EY39">
        <v>0</v>
      </c>
      <c r="EZ39">
        <v>1</v>
      </c>
      <c r="FA39">
        <v>0</v>
      </c>
      <c r="FB39">
        <v>0</v>
      </c>
      <c r="FC39">
        <v>0</v>
      </c>
      <c r="FD39">
        <v>0</v>
      </c>
      <c r="FE39">
        <v>1</v>
      </c>
      <c r="FF39">
        <v>0</v>
      </c>
      <c r="FG39">
        <v>0</v>
      </c>
      <c r="FH39">
        <v>1</v>
      </c>
      <c r="FI39">
        <v>0</v>
      </c>
      <c r="FJ39">
        <v>0</v>
      </c>
      <c r="FK39">
        <v>0</v>
      </c>
      <c r="FL39">
        <v>0</v>
      </c>
      <c r="FM39">
        <v>0</v>
      </c>
      <c r="FN39">
        <v>0</v>
      </c>
      <c r="FO39">
        <v>1</v>
      </c>
      <c r="FP39">
        <v>0</v>
      </c>
      <c r="FQ39">
        <v>0</v>
      </c>
      <c r="FR39">
        <v>1</v>
      </c>
      <c r="FS39">
        <v>0</v>
      </c>
      <c r="FT39">
        <v>0</v>
      </c>
      <c r="FU39">
        <v>1</v>
      </c>
      <c r="FV39">
        <v>0</v>
      </c>
      <c r="FW39">
        <v>1</v>
      </c>
      <c r="FX39">
        <v>0</v>
      </c>
      <c r="FY39">
        <v>0</v>
      </c>
      <c r="FZ39">
        <v>0</v>
      </c>
      <c r="GA39">
        <v>0</v>
      </c>
      <c r="GB39">
        <v>0</v>
      </c>
      <c r="GC39">
        <v>0</v>
      </c>
      <c r="GD39">
        <v>1</v>
      </c>
      <c r="GE39">
        <v>1</v>
      </c>
      <c r="GF39">
        <v>0</v>
      </c>
      <c r="GG39">
        <v>1</v>
      </c>
      <c r="GH39">
        <v>0</v>
      </c>
      <c r="GI39">
        <v>0</v>
      </c>
      <c r="GJ39" s="6">
        <f t="shared" si="26"/>
        <v>19</v>
      </c>
      <c r="GK39">
        <v>2</v>
      </c>
      <c r="GL39" s="1">
        <v>45480.625694444447</v>
      </c>
      <c r="GM39">
        <v>0</v>
      </c>
      <c r="GQ39" s="5"/>
      <c r="GV39" s="5"/>
      <c r="HA39" s="5"/>
      <c r="HF39" s="5"/>
      <c r="HI39" s="6"/>
      <c r="HJ39" s="6"/>
      <c r="HK39" s="6"/>
      <c r="HL39">
        <v>2</v>
      </c>
      <c r="HM39" s="1">
        <v>45480.625694444447</v>
      </c>
      <c r="HN39">
        <v>10</v>
      </c>
      <c r="HO39">
        <v>16</v>
      </c>
      <c r="HP39">
        <v>13</v>
      </c>
      <c r="HQ39">
        <v>2</v>
      </c>
      <c r="HR39" s="1">
        <v>45486.388888888891</v>
      </c>
      <c r="HS39">
        <v>0</v>
      </c>
      <c r="HT39">
        <v>0</v>
      </c>
      <c r="HU39">
        <v>1</v>
      </c>
      <c r="HV39">
        <v>0</v>
      </c>
      <c r="HW39">
        <v>0</v>
      </c>
      <c r="HX39">
        <v>0</v>
      </c>
      <c r="HY39">
        <v>1</v>
      </c>
      <c r="HZ39">
        <v>1</v>
      </c>
      <c r="IA39">
        <v>0</v>
      </c>
      <c r="IB39">
        <v>1</v>
      </c>
      <c r="IC39">
        <v>1</v>
      </c>
      <c r="ID39">
        <v>0</v>
      </c>
      <c r="IE39">
        <v>0</v>
      </c>
      <c r="IF39">
        <v>0</v>
      </c>
      <c r="IG39">
        <v>1</v>
      </c>
      <c r="IH39">
        <v>0</v>
      </c>
      <c r="II39">
        <v>0</v>
      </c>
      <c r="IJ39">
        <v>0</v>
      </c>
      <c r="IK39">
        <v>1</v>
      </c>
      <c r="IL39">
        <v>0</v>
      </c>
      <c r="IM39">
        <v>0</v>
      </c>
      <c r="IN39" s="6">
        <f t="shared" si="31"/>
        <v>7</v>
      </c>
      <c r="IO39">
        <v>2</v>
      </c>
      <c r="IP39" s="1">
        <v>45486.390972222223</v>
      </c>
      <c r="IQ39">
        <v>0</v>
      </c>
      <c r="IR39">
        <v>1</v>
      </c>
      <c r="IS39">
        <v>0</v>
      </c>
      <c r="IT39">
        <v>0</v>
      </c>
      <c r="IU39">
        <v>0</v>
      </c>
      <c r="IV39">
        <v>0</v>
      </c>
      <c r="IW39">
        <v>0</v>
      </c>
      <c r="IX39">
        <v>0</v>
      </c>
      <c r="IY39">
        <v>0</v>
      </c>
      <c r="IZ39">
        <v>0</v>
      </c>
      <c r="JA39">
        <v>0</v>
      </c>
      <c r="JB39">
        <v>0</v>
      </c>
      <c r="JC39">
        <v>0</v>
      </c>
      <c r="JD39">
        <v>0</v>
      </c>
      <c r="JE39">
        <v>0</v>
      </c>
      <c r="JF39">
        <v>0</v>
      </c>
      <c r="JG39">
        <v>0</v>
      </c>
      <c r="JH39">
        <v>0</v>
      </c>
      <c r="JI39">
        <v>0</v>
      </c>
      <c r="JJ39">
        <v>0</v>
      </c>
      <c r="JK39" t="s">
        <v>225</v>
      </c>
      <c r="JL39">
        <v>1</v>
      </c>
      <c r="JM39">
        <v>1</v>
      </c>
      <c r="JN39">
        <v>1</v>
      </c>
      <c r="JO39">
        <v>0</v>
      </c>
      <c r="JP39">
        <v>0</v>
      </c>
      <c r="JQ39">
        <v>1</v>
      </c>
      <c r="JR39" t="s">
        <v>226</v>
      </c>
      <c r="JS39" t="s">
        <v>227</v>
      </c>
      <c r="JT39" s="6">
        <f t="shared" si="32"/>
        <v>1</v>
      </c>
      <c r="JU39" s="6">
        <v>15</v>
      </c>
      <c r="JV39" s="6">
        <f t="shared" ref="JV39:JV40" si="146">SUM(JL39:JN39)</f>
        <v>3</v>
      </c>
      <c r="JW39" s="6">
        <f t="shared" ref="JW39:JW40" si="147">SUM(JO39:JQ39)</f>
        <v>1</v>
      </c>
      <c r="JX39">
        <v>2</v>
      </c>
      <c r="JY39" s="1">
        <v>45486.390972222223</v>
      </c>
      <c r="JZ39">
        <v>0</v>
      </c>
      <c r="KA39">
        <v>0</v>
      </c>
      <c r="KB39">
        <v>1</v>
      </c>
      <c r="KC39" s="6">
        <f t="shared" si="35"/>
        <v>1</v>
      </c>
      <c r="KD39">
        <v>2</v>
      </c>
      <c r="KE39" s="1">
        <v>45486.39166666667</v>
      </c>
      <c r="KF39">
        <v>47.3</v>
      </c>
      <c r="KG39">
        <v>2.2999999999999998</v>
      </c>
      <c r="KP39">
        <v>2</v>
      </c>
      <c r="KQ39">
        <v>47.9</v>
      </c>
      <c r="KR39">
        <v>4</v>
      </c>
      <c r="KS39">
        <v>1</v>
      </c>
      <c r="UH39">
        <v>2</v>
      </c>
      <c r="UI39">
        <v>47.3</v>
      </c>
      <c r="UJ39">
        <v>2.2999999999999998</v>
      </c>
      <c r="UK39">
        <v>4</v>
      </c>
      <c r="UX39">
        <v>2</v>
      </c>
      <c r="UY39">
        <v>46.6</v>
      </c>
      <c r="UZ39">
        <v>2.6</v>
      </c>
      <c r="VA39">
        <v>3</v>
      </c>
      <c r="XN39" s="6">
        <v>1</v>
      </c>
      <c r="XO39" s="6">
        <v>45.3</v>
      </c>
      <c r="XP39" s="6">
        <v>3.2</v>
      </c>
      <c r="XQ39" s="6">
        <v>2</v>
      </c>
      <c r="YX39" s="6">
        <v>1</v>
      </c>
      <c r="YY39" s="6">
        <v>45.3</v>
      </c>
      <c r="YZ39" s="6">
        <v>3.2</v>
      </c>
      <c r="ZA39" s="6">
        <v>2</v>
      </c>
      <c r="ZB39">
        <v>2</v>
      </c>
      <c r="ZC39" s="1">
        <v>45112.661111111112</v>
      </c>
      <c r="ZD39">
        <v>4</v>
      </c>
      <c r="ZE39">
        <v>1</v>
      </c>
      <c r="ZF39">
        <v>2</v>
      </c>
      <c r="ZG39">
        <v>2</v>
      </c>
      <c r="ZH39">
        <v>3</v>
      </c>
      <c r="ZI39">
        <v>1</v>
      </c>
      <c r="ZJ39">
        <v>2</v>
      </c>
      <c r="ZK39">
        <v>1</v>
      </c>
      <c r="ZL39">
        <v>4</v>
      </c>
      <c r="ZM39">
        <v>2</v>
      </c>
      <c r="ZN39">
        <v>2</v>
      </c>
      <c r="ZO39">
        <v>4</v>
      </c>
      <c r="ZP39">
        <v>1</v>
      </c>
      <c r="ZQ39">
        <v>3</v>
      </c>
      <c r="ZR39">
        <v>2</v>
      </c>
      <c r="ZS39">
        <v>3</v>
      </c>
      <c r="ZT39">
        <v>3</v>
      </c>
      <c r="ZU39">
        <v>1</v>
      </c>
      <c r="ZV39">
        <v>3</v>
      </c>
      <c r="ZW39">
        <v>1</v>
      </c>
      <c r="ZX39" s="6">
        <f t="shared" si="36"/>
        <v>31</v>
      </c>
      <c r="ZY39" s="6">
        <f t="shared" si="37"/>
        <v>14</v>
      </c>
      <c r="ZZ39">
        <v>2</v>
      </c>
      <c r="AAA39" s="1">
        <v>45486.393055555556</v>
      </c>
      <c r="AAB39">
        <v>0</v>
      </c>
      <c r="AAC39">
        <v>0</v>
      </c>
      <c r="AAD39">
        <v>0</v>
      </c>
      <c r="AAE39">
        <v>0</v>
      </c>
      <c r="AAF39">
        <v>0</v>
      </c>
      <c r="AAG39">
        <v>1</v>
      </c>
      <c r="AAH39">
        <v>0</v>
      </c>
      <c r="AAI39">
        <v>1</v>
      </c>
      <c r="AAJ39">
        <v>0</v>
      </c>
      <c r="AAK39">
        <v>1</v>
      </c>
      <c r="AAL39">
        <v>1</v>
      </c>
      <c r="AAM39">
        <v>0</v>
      </c>
      <c r="AAN39">
        <v>0</v>
      </c>
      <c r="AAO39">
        <v>0</v>
      </c>
      <c r="AAP39">
        <v>0</v>
      </c>
      <c r="AAQ39">
        <v>0</v>
      </c>
      <c r="AAR39">
        <v>0</v>
      </c>
      <c r="AAS39">
        <v>0</v>
      </c>
      <c r="AAT39" s="6">
        <f t="shared" si="38"/>
        <v>1</v>
      </c>
      <c r="AAU39" s="6">
        <f t="shared" si="39"/>
        <v>2</v>
      </c>
      <c r="AAV39" s="6">
        <f t="shared" si="40"/>
        <v>1</v>
      </c>
      <c r="AAW39" s="6">
        <f t="shared" si="41"/>
        <v>4</v>
      </c>
      <c r="AAX39">
        <v>2</v>
      </c>
      <c r="AAY39" s="1">
        <v>45486.393055555556</v>
      </c>
      <c r="AAZ39">
        <v>0</v>
      </c>
      <c r="ABO39" s="6"/>
      <c r="ABP39" s="6"/>
      <c r="ABQ39">
        <v>2</v>
      </c>
      <c r="ABR39" s="1">
        <v>45486.394444444442</v>
      </c>
      <c r="ABS39">
        <v>0</v>
      </c>
      <c r="ABT39">
        <v>0</v>
      </c>
      <c r="ABU39">
        <v>0</v>
      </c>
      <c r="ABV39">
        <v>1</v>
      </c>
      <c r="ABW39">
        <v>0</v>
      </c>
      <c r="ABX39">
        <v>0</v>
      </c>
      <c r="ABY39">
        <v>0</v>
      </c>
      <c r="ABZ39">
        <v>1</v>
      </c>
      <c r="ACA39">
        <v>0</v>
      </c>
      <c r="ACB39">
        <v>1</v>
      </c>
      <c r="ACC39">
        <v>0</v>
      </c>
      <c r="ACD39">
        <v>0</v>
      </c>
      <c r="ACE39">
        <v>1</v>
      </c>
      <c r="ACF39">
        <v>0</v>
      </c>
      <c r="ACG39">
        <v>0</v>
      </c>
      <c r="ACH39">
        <v>0</v>
      </c>
      <c r="ACI39">
        <v>0</v>
      </c>
      <c r="ACJ39">
        <v>0</v>
      </c>
      <c r="ACK39">
        <v>1</v>
      </c>
      <c r="ACL39">
        <v>1</v>
      </c>
      <c r="ACM39">
        <v>0</v>
      </c>
      <c r="ACN39">
        <v>1</v>
      </c>
      <c r="ACO39">
        <v>0</v>
      </c>
      <c r="ACP39">
        <v>0</v>
      </c>
      <c r="ACQ39">
        <v>0</v>
      </c>
      <c r="ACR39">
        <v>1</v>
      </c>
      <c r="ACS39">
        <v>1</v>
      </c>
      <c r="ACT39">
        <v>0</v>
      </c>
      <c r="ACU39">
        <v>0</v>
      </c>
      <c r="ACV39">
        <v>0</v>
      </c>
      <c r="ACW39" s="6">
        <f t="shared" si="44"/>
        <v>1</v>
      </c>
      <c r="ACX39" s="6">
        <f t="shared" si="45"/>
        <v>0</v>
      </c>
      <c r="ACY39" s="6">
        <f t="shared" si="46"/>
        <v>0</v>
      </c>
      <c r="ACZ39" s="6">
        <f t="shared" si="47"/>
        <v>3</v>
      </c>
      <c r="ADA39" s="6">
        <f t="shared" si="48"/>
        <v>1</v>
      </c>
      <c r="ADB39" s="6">
        <f t="shared" si="49"/>
        <v>4</v>
      </c>
      <c r="ADC39" s="6">
        <f t="shared" si="50"/>
        <v>1</v>
      </c>
      <c r="ADD39">
        <v>2</v>
      </c>
      <c r="ADE39" s="1">
        <v>45486.395138888889</v>
      </c>
      <c r="ADF39" s="5">
        <v>4</v>
      </c>
      <c r="ADG39">
        <f t="shared" si="51"/>
        <v>1</v>
      </c>
      <c r="ADH39" s="5">
        <v>3</v>
      </c>
      <c r="ADI39">
        <f t="shared" si="52"/>
        <v>2</v>
      </c>
      <c r="ADJ39">
        <v>1</v>
      </c>
      <c r="ADK39">
        <v>1</v>
      </c>
      <c r="ADL39" s="5">
        <v>3</v>
      </c>
      <c r="ADM39">
        <f t="shared" si="3"/>
        <v>2</v>
      </c>
      <c r="ADN39">
        <v>1</v>
      </c>
      <c r="ADO39">
        <v>2</v>
      </c>
      <c r="ADP39" s="5">
        <v>3</v>
      </c>
      <c r="ADQ39">
        <f t="shared" si="4"/>
        <v>2</v>
      </c>
      <c r="ADR39">
        <v>1</v>
      </c>
      <c r="ADS39" s="5">
        <v>3</v>
      </c>
      <c r="ADT39">
        <f t="shared" si="5"/>
        <v>2</v>
      </c>
      <c r="ADU39" s="5">
        <v>2</v>
      </c>
      <c r="ADV39">
        <f t="shared" ref="ADV39" si="148">INDEX($AD$48:$AE$51, MATCH(ADU39, $AD$48:$AD$51, 0), 2)</f>
        <v>3</v>
      </c>
      <c r="ADW39">
        <v>1</v>
      </c>
      <c r="ADX39">
        <v>1</v>
      </c>
      <c r="ADY39">
        <v>1</v>
      </c>
      <c r="ADZ39" s="5">
        <v>2</v>
      </c>
      <c r="AEA39">
        <f t="shared" si="6"/>
        <v>3</v>
      </c>
      <c r="AEB39" s="5">
        <v>2</v>
      </c>
      <c r="AEC39">
        <f t="shared" ref="AEC39" si="149">INDEX($AD$48:$AE$51, MATCH(AEB39, $AD$48:$AD$51, 0), 2)</f>
        <v>3</v>
      </c>
      <c r="AED39">
        <v>2</v>
      </c>
      <c r="AEE39">
        <v>1</v>
      </c>
      <c r="AEF39" s="5">
        <v>2</v>
      </c>
      <c r="AEG39">
        <f t="shared" si="7"/>
        <v>3</v>
      </c>
      <c r="AEH39" s="5">
        <v>3</v>
      </c>
      <c r="AEI39">
        <f t="shared" si="8"/>
        <v>2</v>
      </c>
      <c r="AEJ39" s="6">
        <f t="shared" si="55"/>
        <v>38</v>
      </c>
      <c r="AEK39">
        <v>2</v>
      </c>
      <c r="AEL39" s="1">
        <v>45486.395138888889</v>
      </c>
      <c r="AEM39">
        <v>0</v>
      </c>
      <c r="AER39">
        <v>0</v>
      </c>
      <c r="AES39">
        <v>0</v>
      </c>
      <c r="AET39">
        <v>0</v>
      </c>
      <c r="AEU39">
        <v>0</v>
      </c>
      <c r="AEV39">
        <v>0</v>
      </c>
      <c r="AEX39">
        <v>2</v>
      </c>
    </row>
    <row r="40" spans="1:830">
      <c r="A40">
        <v>124</v>
      </c>
      <c r="B40" t="s">
        <v>1174</v>
      </c>
      <c r="C40">
        <v>2</v>
      </c>
      <c r="D40">
        <v>2</v>
      </c>
      <c r="E40">
        <v>39</v>
      </c>
      <c r="F40">
        <v>67</v>
      </c>
      <c r="G40">
        <v>182</v>
      </c>
      <c r="H40">
        <v>0</v>
      </c>
      <c r="I40">
        <v>3</v>
      </c>
      <c r="K40" t="s">
        <v>245</v>
      </c>
      <c r="L40">
        <v>2</v>
      </c>
      <c r="M40" s="1">
        <v>45513.40625</v>
      </c>
      <c r="N40">
        <v>8</v>
      </c>
      <c r="O40">
        <v>0</v>
      </c>
      <c r="Q40">
        <v>1</v>
      </c>
      <c r="R40">
        <v>0</v>
      </c>
      <c r="S40">
        <v>0</v>
      </c>
      <c r="T40">
        <v>0</v>
      </c>
      <c r="U40">
        <v>0</v>
      </c>
      <c r="V40">
        <v>0</v>
      </c>
      <c r="W40">
        <v>0</v>
      </c>
      <c r="X40">
        <v>0</v>
      </c>
      <c r="Y40">
        <v>0</v>
      </c>
      <c r="Z40">
        <v>0</v>
      </c>
      <c r="AA40">
        <v>0</v>
      </c>
      <c r="AB40" t="s">
        <v>208</v>
      </c>
      <c r="AC40">
        <v>2</v>
      </c>
      <c r="AD40" s="1">
        <v>45513.406944444447</v>
      </c>
      <c r="AE40" s="5">
        <v>3</v>
      </c>
      <c r="AF40">
        <f t="shared" si="9"/>
        <v>2</v>
      </c>
      <c r="AG40">
        <v>2</v>
      </c>
      <c r="AH40" s="5">
        <v>2</v>
      </c>
      <c r="AI40">
        <f t="shared" si="10"/>
        <v>3</v>
      </c>
      <c r="AJ40">
        <v>1</v>
      </c>
      <c r="AK40">
        <v>1</v>
      </c>
      <c r="AL40" s="5">
        <v>2</v>
      </c>
      <c r="AM40">
        <f t="shared" si="11"/>
        <v>3</v>
      </c>
      <c r="AN40" s="5">
        <v>3</v>
      </c>
      <c r="AO40">
        <f t="shared" si="12"/>
        <v>2</v>
      </c>
      <c r="AP40">
        <v>1</v>
      </c>
      <c r="AQ40">
        <v>2</v>
      </c>
      <c r="AR40" s="5">
        <v>3</v>
      </c>
      <c r="AS40">
        <f t="shared" si="13"/>
        <v>2</v>
      </c>
      <c r="AT40">
        <v>1</v>
      </c>
      <c r="AU40">
        <v>2</v>
      </c>
      <c r="AV40" s="5">
        <v>3</v>
      </c>
      <c r="AW40">
        <f t="shared" si="14"/>
        <v>2</v>
      </c>
      <c r="AX40" s="5">
        <v>3</v>
      </c>
      <c r="AY40">
        <f t="shared" si="15"/>
        <v>2</v>
      </c>
      <c r="AZ40">
        <v>1</v>
      </c>
      <c r="BA40" s="5">
        <v>3</v>
      </c>
      <c r="BB40">
        <f t="shared" si="16"/>
        <v>2</v>
      </c>
      <c r="BC40">
        <v>2</v>
      </c>
      <c r="BD40">
        <v>1</v>
      </c>
      <c r="BE40" s="5">
        <v>3</v>
      </c>
      <c r="BF40">
        <f t="shared" si="17"/>
        <v>2</v>
      </c>
      <c r="BG40">
        <v>1</v>
      </c>
      <c r="BH40" s="6">
        <f t="shared" si="18"/>
        <v>35</v>
      </c>
      <c r="BI40">
        <v>2</v>
      </c>
      <c r="BJ40" s="1">
        <v>45513.407638888886</v>
      </c>
      <c r="BK40">
        <v>15</v>
      </c>
      <c r="BL40">
        <v>6</v>
      </c>
      <c r="BM40">
        <v>3</v>
      </c>
      <c r="BQ40" s="2">
        <v>45362</v>
      </c>
      <c r="BU40">
        <v>25</v>
      </c>
      <c r="BV40">
        <v>4</v>
      </c>
      <c r="BW40">
        <v>2</v>
      </c>
      <c r="BX40">
        <v>2</v>
      </c>
      <c r="BY40" s="1">
        <v>45513.40902777778</v>
      </c>
      <c r="BZ40">
        <v>4</v>
      </c>
      <c r="CA40">
        <v>3</v>
      </c>
      <c r="CB40">
        <v>3</v>
      </c>
      <c r="CC40">
        <v>3</v>
      </c>
      <c r="CD40">
        <v>4</v>
      </c>
      <c r="CE40">
        <v>3</v>
      </c>
      <c r="CF40">
        <v>3</v>
      </c>
      <c r="CG40">
        <v>3</v>
      </c>
      <c r="CH40">
        <v>4</v>
      </c>
      <c r="CI40">
        <v>3</v>
      </c>
      <c r="CJ40">
        <v>4</v>
      </c>
      <c r="CK40">
        <v>3</v>
      </c>
      <c r="CL40" s="5">
        <v>2</v>
      </c>
      <c r="CM40">
        <f t="shared" si="19"/>
        <v>3</v>
      </c>
      <c r="CN40">
        <v>3</v>
      </c>
      <c r="CO40">
        <v>3</v>
      </c>
      <c r="CP40">
        <v>3</v>
      </c>
      <c r="CQ40">
        <v>2</v>
      </c>
      <c r="CR40" s="5">
        <v>3</v>
      </c>
      <c r="CS40">
        <f t="shared" si="20"/>
        <v>2</v>
      </c>
      <c r="CT40">
        <v>3</v>
      </c>
      <c r="CU40">
        <v>4</v>
      </c>
      <c r="CV40" s="6">
        <f t="shared" si="21"/>
        <v>11</v>
      </c>
      <c r="CW40" s="6">
        <f t="shared" si="22"/>
        <v>15</v>
      </c>
      <c r="CX40" s="6">
        <f t="shared" si="23"/>
        <v>17</v>
      </c>
      <c r="CY40" s="6">
        <f t="shared" si="24"/>
        <v>43</v>
      </c>
      <c r="CZ40" s="6">
        <f t="shared" si="25"/>
        <v>20</v>
      </c>
      <c r="DA40">
        <v>2</v>
      </c>
      <c r="DB40" s="1">
        <v>45513.409722222219</v>
      </c>
      <c r="DC40">
        <v>0</v>
      </c>
      <c r="DD40">
        <v>0</v>
      </c>
      <c r="DE40">
        <v>1</v>
      </c>
      <c r="DF40">
        <v>0</v>
      </c>
      <c r="DG40">
        <v>0</v>
      </c>
      <c r="DH40">
        <v>0</v>
      </c>
      <c r="DI40">
        <v>0</v>
      </c>
      <c r="DJ40">
        <v>0</v>
      </c>
      <c r="DK40">
        <v>0</v>
      </c>
      <c r="DL40">
        <v>1</v>
      </c>
      <c r="DM40">
        <v>0</v>
      </c>
      <c r="DN40">
        <v>0</v>
      </c>
      <c r="DO40">
        <v>0</v>
      </c>
      <c r="DP40">
        <v>0</v>
      </c>
      <c r="DQ40">
        <v>1</v>
      </c>
      <c r="DR40">
        <v>0</v>
      </c>
      <c r="DS40">
        <v>0</v>
      </c>
      <c r="DT40">
        <v>0</v>
      </c>
      <c r="DU40">
        <v>0</v>
      </c>
      <c r="DV40">
        <v>1</v>
      </c>
      <c r="DW40">
        <v>0</v>
      </c>
      <c r="DX40">
        <v>0</v>
      </c>
      <c r="DY40">
        <v>0</v>
      </c>
      <c r="DZ40">
        <v>0</v>
      </c>
      <c r="EA40">
        <v>1</v>
      </c>
      <c r="EB40">
        <v>0</v>
      </c>
      <c r="EC40">
        <v>0</v>
      </c>
      <c r="ED40">
        <v>0</v>
      </c>
      <c r="EE40">
        <v>0</v>
      </c>
      <c r="EF40">
        <v>1</v>
      </c>
      <c r="EG40">
        <v>0</v>
      </c>
      <c r="EH40">
        <v>0</v>
      </c>
      <c r="EI40">
        <v>0</v>
      </c>
      <c r="EJ40">
        <v>0</v>
      </c>
      <c r="EK40">
        <v>1</v>
      </c>
      <c r="EL40">
        <v>0</v>
      </c>
      <c r="EM40">
        <v>0</v>
      </c>
      <c r="EN40">
        <v>1</v>
      </c>
      <c r="EO40">
        <v>0</v>
      </c>
      <c r="EP40">
        <v>0</v>
      </c>
      <c r="EQ40">
        <v>0</v>
      </c>
      <c r="ER40">
        <v>0</v>
      </c>
      <c r="ES40">
        <v>1</v>
      </c>
      <c r="ET40">
        <v>0</v>
      </c>
      <c r="EU40">
        <v>0</v>
      </c>
      <c r="EV40">
        <v>0</v>
      </c>
      <c r="EW40">
        <v>0</v>
      </c>
      <c r="EX40">
        <v>0</v>
      </c>
      <c r="EY40">
        <v>0</v>
      </c>
      <c r="EZ40">
        <v>1</v>
      </c>
      <c r="FA40">
        <v>0</v>
      </c>
      <c r="FB40">
        <v>0</v>
      </c>
      <c r="FC40">
        <v>0</v>
      </c>
      <c r="FD40">
        <v>0</v>
      </c>
      <c r="FE40">
        <v>1</v>
      </c>
      <c r="FF40">
        <v>0</v>
      </c>
      <c r="FG40">
        <v>0</v>
      </c>
      <c r="FH40">
        <v>1</v>
      </c>
      <c r="FI40">
        <v>0</v>
      </c>
      <c r="FJ40">
        <v>0</v>
      </c>
      <c r="FK40">
        <v>0</v>
      </c>
      <c r="FL40">
        <v>0</v>
      </c>
      <c r="FM40">
        <v>0</v>
      </c>
      <c r="FN40">
        <v>0</v>
      </c>
      <c r="FO40">
        <v>1</v>
      </c>
      <c r="FP40">
        <v>0</v>
      </c>
      <c r="FQ40">
        <v>0</v>
      </c>
      <c r="FR40">
        <v>0</v>
      </c>
      <c r="FS40">
        <v>0</v>
      </c>
      <c r="FT40">
        <v>1</v>
      </c>
      <c r="FU40">
        <v>1</v>
      </c>
      <c r="FV40">
        <v>0</v>
      </c>
      <c r="FW40">
        <v>0</v>
      </c>
      <c r="FX40">
        <v>0</v>
      </c>
      <c r="FY40">
        <v>0</v>
      </c>
      <c r="FZ40">
        <v>0</v>
      </c>
      <c r="GA40">
        <v>0</v>
      </c>
      <c r="GB40">
        <v>0</v>
      </c>
      <c r="GC40">
        <v>0</v>
      </c>
      <c r="GD40">
        <v>1</v>
      </c>
      <c r="GE40">
        <v>0</v>
      </c>
      <c r="GF40">
        <v>0</v>
      </c>
      <c r="GG40">
        <v>1</v>
      </c>
      <c r="GH40">
        <v>0</v>
      </c>
      <c r="GI40">
        <v>0</v>
      </c>
      <c r="GJ40" s="6">
        <f t="shared" si="26"/>
        <v>17</v>
      </c>
      <c r="GK40">
        <v>2</v>
      </c>
      <c r="GL40" s="1">
        <v>45513.410416666666</v>
      </c>
      <c r="GM40">
        <v>0</v>
      </c>
      <c r="GQ40" s="5"/>
      <c r="GV40" s="5"/>
      <c r="HA40" s="5"/>
      <c r="HF40" s="5"/>
      <c r="HI40" s="6"/>
      <c r="HJ40" s="6"/>
      <c r="HK40" s="6"/>
      <c r="HL40">
        <v>2</v>
      </c>
      <c r="HM40" s="1">
        <v>45513.410416666666</v>
      </c>
      <c r="HN40">
        <v>9</v>
      </c>
      <c r="HO40">
        <v>14</v>
      </c>
      <c r="HP40">
        <v>13</v>
      </c>
      <c r="HQ40">
        <v>2</v>
      </c>
      <c r="HR40" s="1">
        <v>45524.392361111109</v>
      </c>
      <c r="HS40">
        <v>0</v>
      </c>
      <c r="HT40">
        <v>0</v>
      </c>
      <c r="HU40">
        <v>0</v>
      </c>
      <c r="HV40">
        <v>0</v>
      </c>
      <c r="HW40">
        <v>0</v>
      </c>
      <c r="HX40">
        <v>0</v>
      </c>
      <c r="HY40">
        <v>0</v>
      </c>
      <c r="HZ40">
        <v>0</v>
      </c>
      <c r="IA40">
        <v>0</v>
      </c>
      <c r="IB40">
        <v>0</v>
      </c>
      <c r="IC40">
        <v>0</v>
      </c>
      <c r="ID40">
        <v>0</v>
      </c>
      <c r="IE40">
        <v>0</v>
      </c>
      <c r="IF40">
        <v>0</v>
      </c>
      <c r="IG40">
        <v>0</v>
      </c>
      <c r="IH40">
        <v>0</v>
      </c>
      <c r="II40">
        <v>0</v>
      </c>
      <c r="IJ40">
        <v>0</v>
      </c>
      <c r="IK40">
        <v>0</v>
      </c>
      <c r="IL40">
        <v>0</v>
      </c>
      <c r="IM40">
        <v>0</v>
      </c>
      <c r="IN40" s="6">
        <f t="shared" si="31"/>
        <v>0</v>
      </c>
      <c r="IO40">
        <v>2</v>
      </c>
      <c r="IP40" s="1">
        <v>45524.393750000003</v>
      </c>
      <c r="IQ40">
        <v>0</v>
      </c>
      <c r="IR40">
        <v>0</v>
      </c>
      <c r="IS40">
        <v>0</v>
      </c>
      <c r="IT40">
        <v>0</v>
      </c>
      <c r="IU40">
        <v>0</v>
      </c>
      <c r="IV40">
        <v>0</v>
      </c>
      <c r="IW40">
        <v>0</v>
      </c>
      <c r="IX40">
        <v>0</v>
      </c>
      <c r="IY40">
        <v>0</v>
      </c>
      <c r="IZ40">
        <v>0</v>
      </c>
      <c r="JA40">
        <v>0</v>
      </c>
      <c r="JB40">
        <v>0</v>
      </c>
      <c r="JC40">
        <v>0</v>
      </c>
      <c r="JD40">
        <v>0</v>
      </c>
      <c r="JE40">
        <v>0</v>
      </c>
      <c r="JF40">
        <v>0</v>
      </c>
      <c r="JG40">
        <v>0</v>
      </c>
      <c r="JH40">
        <v>1</v>
      </c>
      <c r="JI40">
        <v>0</v>
      </c>
      <c r="JJ40">
        <v>0</v>
      </c>
      <c r="JK40">
        <v>0.1</v>
      </c>
      <c r="JL40">
        <v>0</v>
      </c>
      <c r="JM40">
        <v>0</v>
      </c>
      <c r="JN40">
        <v>0</v>
      </c>
      <c r="JO40">
        <v>0</v>
      </c>
      <c r="JP40">
        <v>0</v>
      </c>
      <c r="JQ40">
        <v>0</v>
      </c>
      <c r="JR40" t="s">
        <v>246</v>
      </c>
      <c r="JS40" t="s">
        <v>247</v>
      </c>
      <c r="JT40" s="6">
        <f t="shared" si="32"/>
        <v>1</v>
      </c>
      <c r="JU40" s="6">
        <v>0.1</v>
      </c>
      <c r="JV40" s="6">
        <f t="shared" si="146"/>
        <v>0</v>
      </c>
      <c r="JW40" s="6">
        <f t="shared" si="147"/>
        <v>0</v>
      </c>
      <c r="JX40">
        <v>2</v>
      </c>
      <c r="JY40" s="1">
        <v>45524.393750000003</v>
      </c>
      <c r="JZ40">
        <v>0</v>
      </c>
      <c r="KA40">
        <v>0</v>
      </c>
      <c r="KB40">
        <v>0</v>
      </c>
      <c r="KC40" s="6">
        <f t="shared" si="35"/>
        <v>0</v>
      </c>
      <c r="KD40">
        <v>2</v>
      </c>
      <c r="KE40" s="1">
        <v>45524.393750000003</v>
      </c>
      <c r="KF40">
        <v>45.2</v>
      </c>
      <c r="KG40">
        <v>2.4</v>
      </c>
      <c r="KP40">
        <v>2</v>
      </c>
      <c r="KQ40">
        <v>47.9</v>
      </c>
      <c r="KR40">
        <v>4</v>
      </c>
      <c r="KS40">
        <v>1</v>
      </c>
      <c r="UH40">
        <v>1</v>
      </c>
      <c r="UI40">
        <v>46.8</v>
      </c>
      <c r="UJ40">
        <v>2.6</v>
      </c>
      <c r="UK40">
        <v>3</v>
      </c>
      <c r="UX40">
        <v>1</v>
      </c>
      <c r="UY40">
        <v>45.2</v>
      </c>
      <c r="UZ40">
        <v>2.4</v>
      </c>
      <c r="VA40">
        <v>4</v>
      </c>
      <c r="XN40" s="6">
        <v>2</v>
      </c>
      <c r="XO40" s="6">
        <v>49.2</v>
      </c>
      <c r="XP40" s="6">
        <v>3</v>
      </c>
      <c r="XQ40" s="6">
        <v>2</v>
      </c>
      <c r="YX40" s="6">
        <v>2</v>
      </c>
      <c r="YY40" s="6">
        <v>49.2</v>
      </c>
      <c r="YZ40" s="6">
        <v>3</v>
      </c>
      <c r="ZA40" s="6">
        <v>2</v>
      </c>
      <c r="ZB40">
        <v>2</v>
      </c>
      <c r="ZC40" s="1">
        <v>45113.661111111112</v>
      </c>
      <c r="ZD40">
        <v>4</v>
      </c>
      <c r="ZE40">
        <v>1</v>
      </c>
      <c r="ZF40">
        <v>4</v>
      </c>
      <c r="ZG40">
        <v>1</v>
      </c>
      <c r="ZH40">
        <v>3</v>
      </c>
      <c r="ZI40">
        <v>1</v>
      </c>
      <c r="ZJ40">
        <v>1</v>
      </c>
      <c r="ZK40">
        <v>1</v>
      </c>
      <c r="ZL40">
        <v>4</v>
      </c>
      <c r="ZM40">
        <v>3</v>
      </c>
      <c r="ZN40">
        <v>1</v>
      </c>
      <c r="ZO40">
        <v>4</v>
      </c>
      <c r="ZP40">
        <v>1</v>
      </c>
      <c r="ZQ40">
        <v>4</v>
      </c>
      <c r="ZR40">
        <v>1</v>
      </c>
      <c r="ZS40">
        <v>4</v>
      </c>
      <c r="ZT40">
        <v>4</v>
      </c>
      <c r="ZU40">
        <v>3</v>
      </c>
      <c r="ZV40">
        <v>4</v>
      </c>
      <c r="ZW40">
        <v>1</v>
      </c>
      <c r="ZX40" s="6">
        <f t="shared" si="36"/>
        <v>38</v>
      </c>
      <c r="ZY40" s="6">
        <f t="shared" si="37"/>
        <v>12</v>
      </c>
      <c r="ZZ40">
        <v>2</v>
      </c>
      <c r="AAA40" s="1">
        <v>45524.395138888889</v>
      </c>
      <c r="AAB40">
        <v>0</v>
      </c>
      <c r="AAC40">
        <v>0</v>
      </c>
      <c r="AAD40">
        <v>0</v>
      </c>
      <c r="AAE40">
        <v>0</v>
      </c>
      <c r="AAF40">
        <v>0</v>
      </c>
      <c r="AAG40">
        <v>0</v>
      </c>
      <c r="AAH40">
        <v>0</v>
      </c>
      <c r="AAI40">
        <v>0</v>
      </c>
      <c r="AAJ40">
        <v>0</v>
      </c>
      <c r="AAK40">
        <v>0</v>
      </c>
      <c r="AAL40">
        <v>0</v>
      </c>
      <c r="AAM40">
        <v>0</v>
      </c>
      <c r="AAN40">
        <v>0</v>
      </c>
      <c r="AAO40">
        <v>0</v>
      </c>
      <c r="AAP40">
        <v>0</v>
      </c>
      <c r="AAQ40">
        <v>0</v>
      </c>
      <c r="AAR40">
        <v>0</v>
      </c>
      <c r="AAS40">
        <v>0</v>
      </c>
      <c r="AAT40" s="6">
        <f t="shared" si="38"/>
        <v>0</v>
      </c>
      <c r="AAU40" s="6">
        <f t="shared" si="39"/>
        <v>0</v>
      </c>
      <c r="AAV40" s="6">
        <f t="shared" si="40"/>
        <v>0</v>
      </c>
      <c r="AAW40" s="6">
        <f t="shared" si="41"/>
        <v>0</v>
      </c>
      <c r="AAX40">
        <v>2</v>
      </c>
      <c r="AAY40" s="1">
        <v>45524.395833333336</v>
      </c>
      <c r="AAZ40">
        <v>1</v>
      </c>
      <c r="ABA40">
        <v>3</v>
      </c>
      <c r="ABB40">
        <v>3</v>
      </c>
      <c r="ABC40">
        <v>2</v>
      </c>
      <c r="ABD40">
        <v>3</v>
      </c>
      <c r="ABE40">
        <v>12</v>
      </c>
      <c r="ABF40">
        <v>1</v>
      </c>
      <c r="ABG40">
        <v>0</v>
      </c>
      <c r="ABH40">
        <v>0</v>
      </c>
      <c r="ABI40">
        <v>0</v>
      </c>
      <c r="ABJ40">
        <v>0</v>
      </c>
      <c r="ABK40">
        <v>0</v>
      </c>
      <c r="ABL40">
        <v>0</v>
      </c>
      <c r="ABM40">
        <v>0</v>
      </c>
      <c r="ABN40">
        <v>0</v>
      </c>
      <c r="ABO40" s="6">
        <f t="shared" ref="ABO40" si="150">AVERAGE(ABA40:ABD40)</f>
        <v>2.75</v>
      </c>
      <c r="ABP40" s="6">
        <f t="shared" ref="ABP40" si="151">AVERAGE(ABF40:ABL40)</f>
        <v>0.14285714285714285</v>
      </c>
      <c r="ABQ40">
        <v>2</v>
      </c>
      <c r="ABR40" s="1">
        <v>45524.396527777775</v>
      </c>
      <c r="ABS40">
        <v>0</v>
      </c>
      <c r="ABT40">
        <v>0</v>
      </c>
      <c r="ABU40">
        <v>0</v>
      </c>
      <c r="ABV40">
        <v>3</v>
      </c>
      <c r="ABW40">
        <v>0</v>
      </c>
      <c r="ABX40">
        <v>0</v>
      </c>
      <c r="ABY40">
        <v>0</v>
      </c>
      <c r="ABZ40">
        <v>3</v>
      </c>
      <c r="ACA40">
        <v>0</v>
      </c>
      <c r="ACB40">
        <v>3</v>
      </c>
      <c r="ACC40">
        <v>0</v>
      </c>
      <c r="ACD40">
        <v>0</v>
      </c>
      <c r="ACE40">
        <v>0</v>
      </c>
      <c r="ACF40">
        <v>0</v>
      </c>
      <c r="ACG40">
        <v>0</v>
      </c>
      <c r="ACH40">
        <v>0</v>
      </c>
      <c r="ACI40">
        <v>0</v>
      </c>
      <c r="ACJ40">
        <v>0</v>
      </c>
      <c r="ACK40">
        <v>0</v>
      </c>
      <c r="ACL40">
        <v>0</v>
      </c>
      <c r="ACM40">
        <v>0</v>
      </c>
      <c r="ACN40">
        <v>0</v>
      </c>
      <c r="ACO40">
        <v>0</v>
      </c>
      <c r="ACP40">
        <v>0</v>
      </c>
      <c r="ACQ40">
        <v>0</v>
      </c>
      <c r="ACR40">
        <v>2</v>
      </c>
      <c r="ACS40">
        <v>2</v>
      </c>
      <c r="ACT40">
        <v>0</v>
      </c>
      <c r="ACU40">
        <v>0</v>
      </c>
      <c r="ACV40">
        <v>2</v>
      </c>
      <c r="ACW40" s="6">
        <f t="shared" si="44"/>
        <v>0</v>
      </c>
      <c r="ACX40" s="6">
        <f t="shared" si="45"/>
        <v>0</v>
      </c>
      <c r="ACY40" s="6">
        <f t="shared" si="46"/>
        <v>0</v>
      </c>
      <c r="ACZ40" s="6">
        <f t="shared" si="47"/>
        <v>0</v>
      </c>
      <c r="ADA40" s="6">
        <f t="shared" si="48"/>
        <v>2</v>
      </c>
      <c r="ADB40" s="6">
        <f t="shared" si="49"/>
        <v>13</v>
      </c>
      <c r="ADC40" s="6">
        <f t="shared" si="50"/>
        <v>-11</v>
      </c>
      <c r="ADD40">
        <v>2</v>
      </c>
      <c r="ADE40" s="1">
        <v>45524.397222222222</v>
      </c>
      <c r="ADF40" s="5">
        <v>3</v>
      </c>
      <c r="ADG40">
        <f t="shared" si="51"/>
        <v>2</v>
      </c>
      <c r="ADH40" s="5">
        <v>4</v>
      </c>
      <c r="ADI40">
        <f t="shared" si="52"/>
        <v>1</v>
      </c>
      <c r="ADJ40">
        <v>1</v>
      </c>
      <c r="ADK40">
        <v>1</v>
      </c>
      <c r="ADL40" s="5">
        <v>3</v>
      </c>
      <c r="ADM40">
        <f t="shared" si="3"/>
        <v>2</v>
      </c>
      <c r="ADN40">
        <v>1</v>
      </c>
      <c r="ADO40">
        <v>1</v>
      </c>
      <c r="ADP40" s="5">
        <v>4</v>
      </c>
      <c r="ADQ40">
        <f t="shared" si="4"/>
        <v>1</v>
      </c>
      <c r="ADR40">
        <v>1</v>
      </c>
      <c r="ADS40" s="5">
        <v>4</v>
      </c>
      <c r="ADT40">
        <f t="shared" si="5"/>
        <v>1</v>
      </c>
      <c r="ADU40" s="5">
        <v>4</v>
      </c>
      <c r="ADV40">
        <f t="shared" ref="ADV40" si="152">INDEX($AD$48:$AE$51, MATCH(ADU40, $AD$48:$AD$51, 0), 2)</f>
        <v>1</v>
      </c>
      <c r="ADW40">
        <v>1</v>
      </c>
      <c r="ADX40">
        <v>1</v>
      </c>
      <c r="ADY40">
        <v>1</v>
      </c>
      <c r="ADZ40" s="5">
        <v>3</v>
      </c>
      <c r="AEA40">
        <f t="shared" si="6"/>
        <v>2</v>
      </c>
      <c r="AEB40" s="5">
        <v>4</v>
      </c>
      <c r="AEC40">
        <f t="shared" ref="AEC40" si="153">INDEX($AD$48:$AE$51, MATCH(AEB40, $AD$48:$AD$51, 0), 2)</f>
        <v>1</v>
      </c>
      <c r="AED40">
        <v>1</v>
      </c>
      <c r="AEE40">
        <v>1</v>
      </c>
      <c r="AEF40" s="5">
        <v>3</v>
      </c>
      <c r="AEG40">
        <f t="shared" si="7"/>
        <v>2</v>
      </c>
      <c r="AEH40" s="5">
        <v>3</v>
      </c>
      <c r="AEI40">
        <f t="shared" si="8"/>
        <v>2</v>
      </c>
      <c r="AEJ40" s="6">
        <f t="shared" si="55"/>
        <v>27</v>
      </c>
      <c r="AEK40">
        <v>2</v>
      </c>
      <c r="AEL40" s="1">
        <v>45524.397222222222</v>
      </c>
      <c r="AEM40">
        <v>0</v>
      </c>
      <c r="AER40">
        <v>0</v>
      </c>
      <c r="AES40">
        <v>0</v>
      </c>
      <c r="AET40">
        <v>0</v>
      </c>
      <c r="AEU40">
        <v>0</v>
      </c>
      <c r="AEV40">
        <v>0</v>
      </c>
      <c r="AEX40">
        <v>2</v>
      </c>
    </row>
    <row r="41" spans="1:830">
      <c r="A41">
        <v>133</v>
      </c>
      <c r="B41" t="s">
        <v>1178</v>
      </c>
      <c r="C41">
        <v>2</v>
      </c>
      <c r="D41">
        <v>2</v>
      </c>
      <c r="E41">
        <v>50</v>
      </c>
      <c r="F41">
        <v>67</v>
      </c>
      <c r="G41">
        <v>152</v>
      </c>
      <c r="H41">
        <v>0</v>
      </c>
      <c r="I41">
        <v>3</v>
      </c>
      <c r="K41" t="s">
        <v>269</v>
      </c>
      <c r="L41">
        <v>2</v>
      </c>
      <c r="M41" s="1">
        <v>45490.609027777777</v>
      </c>
      <c r="N41">
        <v>7</v>
      </c>
      <c r="O41">
        <v>0</v>
      </c>
      <c r="Q41">
        <v>0</v>
      </c>
      <c r="R41">
        <v>1</v>
      </c>
      <c r="S41">
        <v>0</v>
      </c>
      <c r="T41">
        <v>0</v>
      </c>
      <c r="U41">
        <v>0</v>
      </c>
      <c r="V41">
        <v>0</v>
      </c>
      <c r="W41">
        <v>0</v>
      </c>
      <c r="X41">
        <v>0</v>
      </c>
      <c r="Y41">
        <v>0</v>
      </c>
      <c r="Z41">
        <v>0</v>
      </c>
      <c r="AA41">
        <v>0</v>
      </c>
      <c r="AB41" t="s">
        <v>208</v>
      </c>
      <c r="AC41">
        <v>2</v>
      </c>
      <c r="AD41" s="1">
        <v>45490.609722222223</v>
      </c>
      <c r="AE41" s="5">
        <v>4</v>
      </c>
      <c r="AF41">
        <f t="shared" si="9"/>
        <v>1</v>
      </c>
      <c r="AG41">
        <v>1</v>
      </c>
      <c r="AH41" s="5">
        <v>4</v>
      </c>
      <c r="AI41">
        <f t="shared" si="10"/>
        <v>1</v>
      </c>
      <c r="AJ41">
        <v>1</v>
      </c>
      <c r="AK41">
        <v>1</v>
      </c>
      <c r="AL41" s="5">
        <v>4</v>
      </c>
      <c r="AM41">
        <f t="shared" si="11"/>
        <v>1</v>
      </c>
      <c r="AN41" s="5">
        <v>4</v>
      </c>
      <c r="AO41">
        <f t="shared" si="12"/>
        <v>1</v>
      </c>
      <c r="AP41">
        <v>1</v>
      </c>
      <c r="AQ41">
        <v>1</v>
      </c>
      <c r="AR41" s="5">
        <v>4</v>
      </c>
      <c r="AS41">
        <f t="shared" si="13"/>
        <v>1</v>
      </c>
      <c r="AT41">
        <v>1</v>
      </c>
      <c r="AU41">
        <v>1</v>
      </c>
      <c r="AV41" s="5">
        <v>4</v>
      </c>
      <c r="AW41">
        <f t="shared" si="14"/>
        <v>1</v>
      </c>
      <c r="AX41" s="5">
        <v>4</v>
      </c>
      <c r="AY41">
        <f t="shared" si="15"/>
        <v>1</v>
      </c>
      <c r="AZ41">
        <v>1</v>
      </c>
      <c r="BA41" s="5">
        <v>4</v>
      </c>
      <c r="BB41">
        <f t="shared" si="16"/>
        <v>1</v>
      </c>
      <c r="BC41">
        <v>1</v>
      </c>
      <c r="BD41">
        <v>1</v>
      </c>
      <c r="BE41" s="5">
        <v>4</v>
      </c>
      <c r="BF41">
        <f t="shared" si="17"/>
        <v>1</v>
      </c>
      <c r="BG41">
        <v>1</v>
      </c>
      <c r="BH41" s="6">
        <f t="shared" si="18"/>
        <v>20</v>
      </c>
      <c r="BI41">
        <v>2</v>
      </c>
      <c r="BJ41" s="1">
        <v>45490.61041666667</v>
      </c>
      <c r="BK41">
        <v>14</v>
      </c>
      <c r="BL41">
        <v>3</v>
      </c>
      <c r="BM41">
        <v>4</v>
      </c>
      <c r="BQ41" s="2">
        <v>45424</v>
      </c>
      <c r="BR41">
        <v>6</v>
      </c>
      <c r="BS41">
        <v>2</v>
      </c>
      <c r="BU41">
        <v>24</v>
      </c>
      <c r="BV41">
        <v>6</v>
      </c>
      <c r="BW41">
        <v>1</v>
      </c>
      <c r="BX41">
        <v>2</v>
      </c>
      <c r="BY41" s="1">
        <v>45490.61041666667</v>
      </c>
      <c r="BZ41">
        <v>4</v>
      </c>
      <c r="CA41">
        <v>1</v>
      </c>
      <c r="CB41">
        <v>4</v>
      </c>
      <c r="CC41">
        <v>2</v>
      </c>
      <c r="CD41">
        <v>4</v>
      </c>
      <c r="CE41">
        <v>4</v>
      </c>
      <c r="CF41">
        <v>1</v>
      </c>
      <c r="CG41">
        <v>4</v>
      </c>
      <c r="CH41">
        <v>4</v>
      </c>
      <c r="CI41">
        <v>2</v>
      </c>
      <c r="CJ41">
        <v>3</v>
      </c>
      <c r="CK41">
        <v>4</v>
      </c>
      <c r="CL41" s="5">
        <v>4</v>
      </c>
      <c r="CM41">
        <f t="shared" si="19"/>
        <v>1</v>
      </c>
      <c r="CN41">
        <v>3</v>
      </c>
      <c r="CO41">
        <v>2</v>
      </c>
      <c r="CP41">
        <v>4</v>
      </c>
      <c r="CQ41">
        <v>3</v>
      </c>
      <c r="CR41" s="5">
        <v>4</v>
      </c>
      <c r="CS41">
        <f t="shared" si="20"/>
        <v>1</v>
      </c>
      <c r="CT41">
        <v>4</v>
      </c>
      <c r="CU41">
        <v>3</v>
      </c>
      <c r="CV41" s="6">
        <f t="shared" si="21"/>
        <v>14</v>
      </c>
      <c r="CW41" s="6">
        <f t="shared" si="22"/>
        <v>15</v>
      </c>
      <c r="CX41" s="6">
        <f t="shared" si="23"/>
        <v>19</v>
      </c>
      <c r="CY41" s="6">
        <f t="shared" si="24"/>
        <v>48</v>
      </c>
      <c r="CZ41" s="6">
        <f t="shared" si="25"/>
        <v>10</v>
      </c>
      <c r="DA41">
        <v>2</v>
      </c>
      <c r="DB41" s="1">
        <v>45490.611111111109</v>
      </c>
      <c r="DC41">
        <v>0</v>
      </c>
      <c r="DD41">
        <v>0</v>
      </c>
      <c r="DE41">
        <v>0</v>
      </c>
      <c r="DF41">
        <v>0</v>
      </c>
      <c r="DG41">
        <v>1</v>
      </c>
      <c r="DH41">
        <v>0</v>
      </c>
      <c r="DI41">
        <v>0</v>
      </c>
      <c r="DJ41">
        <v>0</v>
      </c>
      <c r="DK41">
        <v>0</v>
      </c>
      <c r="DL41">
        <v>1</v>
      </c>
      <c r="DM41">
        <v>1</v>
      </c>
      <c r="DN41">
        <v>1</v>
      </c>
      <c r="DO41">
        <v>0</v>
      </c>
      <c r="DP41">
        <v>0</v>
      </c>
      <c r="DQ41">
        <v>0</v>
      </c>
      <c r="DR41">
        <v>0</v>
      </c>
      <c r="DS41">
        <v>0</v>
      </c>
      <c r="DT41">
        <v>0</v>
      </c>
      <c r="DU41">
        <v>0</v>
      </c>
      <c r="DV41">
        <v>1</v>
      </c>
      <c r="DW41">
        <v>0</v>
      </c>
      <c r="DX41">
        <v>0</v>
      </c>
      <c r="DY41">
        <v>0</v>
      </c>
      <c r="DZ41">
        <v>0</v>
      </c>
      <c r="EA41">
        <v>1</v>
      </c>
      <c r="EB41">
        <v>0</v>
      </c>
      <c r="EC41">
        <v>0</v>
      </c>
      <c r="ED41">
        <v>0</v>
      </c>
      <c r="EE41">
        <v>0</v>
      </c>
      <c r="EF41">
        <v>1</v>
      </c>
      <c r="EG41">
        <v>0</v>
      </c>
      <c r="EH41">
        <v>0</v>
      </c>
      <c r="EI41">
        <v>0</v>
      </c>
      <c r="EJ41">
        <v>0</v>
      </c>
      <c r="EK41">
        <v>1</v>
      </c>
      <c r="EL41">
        <v>0</v>
      </c>
      <c r="EM41">
        <v>0</v>
      </c>
      <c r="EN41">
        <v>0</v>
      </c>
      <c r="EO41">
        <v>0</v>
      </c>
      <c r="EP41">
        <v>1</v>
      </c>
      <c r="EQ41">
        <v>0</v>
      </c>
      <c r="ER41">
        <v>0</v>
      </c>
      <c r="ES41">
        <v>0</v>
      </c>
      <c r="ET41">
        <v>0</v>
      </c>
      <c r="EU41">
        <v>1</v>
      </c>
      <c r="EV41">
        <v>0</v>
      </c>
      <c r="EW41">
        <v>0</v>
      </c>
      <c r="EX41">
        <v>0</v>
      </c>
      <c r="EY41">
        <v>0</v>
      </c>
      <c r="EZ41">
        <v>1</v>
      </c>
      <c r="FA41">
        <v>0</v>
      </c>
      <c r="FB41">
        <v>0</v>
      </c>
      <c r="FC41">
        <v>0</v>
      </c>
      <c r="FD41">
        <v>0</v>
      </c>
      <c r="FE41">
        <v>1</v>
      </c>
      <c r="FF41">
        <v>0</v>
      </c>
      <c r="FG41">
        <v>0</v>
      </c>
      <c r="FH41">
        <v>0</v>
      </c>
      <c r="FI41">
        <v>0</v>
      </c>
      <c r="FJ41">
        <v>1</v>
      </c>
      <c r="FK41">
        <v>0</v>
      </c>
      <c r="FL41">
        <v>0</v>
      </c>
      <c r="FM41">
        <v>0</v>
      </c>
      <c r="FN41">
        <v>0</v>
      </c>
      <c r="FO41">
        <v>1</v>
      </c>
      <c r="FP41">
        <v>0</v>
      </c>
      <c r="FQ41">
        <v>0</v>
      </c>
      <c r="FR41">
        <v>0</v>
      </c>
      <c r="FS41">
        <v>0</v>
      </c>
      <c r="FT41">
        <v>1</v>
      </c>
      <c r="FU41">
        <v>0</v>
      </c>
      <c r="FV41">
        <v>0</v>
      </c>
      <c r="FW41">
        <v>0</v>
      </c>
      <c r="FX41">
        <v>0</v>
      </c>
      <c r="FY41">
        <v>1</v>
      </c>
      <c r="FZ41">
        <v>0</v>
      </c>
      <c r="GA41">
        <v>0</v>
      </c>
      <c r="GB41">
        <v>0</v>
      </c>
      <c r="GC41">
        <v>0</v>
      </c>
      <c r="GD41">
        <v>1</v>
      </c>
      <c r="GE41">
        <v>0</v>
      </c>
      <c r="GF41">
        <v>0</v>
      </c>
      <c r="GG41">
        <v>0</v>
      </c>
      <c r="GH41">
        <v>0</v>
      </c>
      <c r="GI41">
        <v>1</v>
      </c>
      <c r="GJ41" s="6">
        <f t="shared" si="26"/>
        <v>18</v>
      </c>
      <c r="GK41">
        <v>2</v>
      </c>
      <c r="GL41" s="1">
        <v>45490.611111111109</v>
      </c>
      <c r="GM41">
        <v>0</v>
      </c>
      <c r="GQ41" s="5"/>
      <c r="GV41" s="5"/>
      <c r="HA41" s="5"/>
      <c r="HF41" s="5"/>
      <c r="HI41" s="6"/>
      <c r="HJ41" s="6"/>
      <c r="HK41" s="6"/>
      <c r="HL41">
        <v>2</v>
      </c>
      <c r="HM41" s="1">
        <v>45490.611111111109</v>
      </c>
      <c r="HN41">
        <v>9</v>
      </c>
      <c r="HO41">
        <v>14</v>
      </c>
      <c r="HP41">
        <v>13</v>
      </c>
      <c r="HQ41">
        <v>2</v>
      </c>
      <c r="HR41" s="1">
        <v>45504.341666666667</v>
      </c>
      <c r="HS41">
        <v>0</v>
      </c>
      <c r="HT41">
        <v>0</v>
      </c>
      <c r="HU41">
        <v>0</v>
      </c>
      <c r="HV41">
        <v>0</v>
      </c>
      <c r="HW41">
        <v>0</v>
      </c>
      <c r="HX41">
        <v>0</v>
      </c>
      <c r="HY41">
        <v>0</v>
      </c>
      <c r="HZ41">
        <v>0</v>
      </c>
      <c r="IA41">
        <v>0</v>
      </c>
      <c r="IB41">
        <v>0</v>
      </c>
      <c r="IC41">
        <v>0</v>
      </c>
      <c r="ID41">
        <v>0</v>
      </c>
      <c r="IE41">
        <v>0</v>
      </c>
      <c r="IF41">
        <v>0</v>
      </c>
      <c r="IG41">
        <v>0</v>
      </c>
      <c r="IH41">
        <v>0</v>
      </c>
      <c r="II41">
        <v>0</v>
      </c>
      <c r="IJ41">
        <v>0</v>
      </c>
      <c r="IK41">
        <v>0</v>
      </c>
      <c r="IL41">
        <v>0</v>
      </c>
      <c r="IM41">
        <v>0</v>
      </c>
      <c r="IN41" s="6">
        <f t="shared" si="31"/>
        <v>0</v>
      </c>
      <c r="IO41">
        <v>2</v>
      </c>
      <c r="IP41" s="1">
        <v>45504.341666666667</v>
      </c>
      <c r="IQ41">
        <v>0</v>
      </c>
      <c r="IR41">
        <v>0</v>
      </c>
      <c r="IS41">
        <v>0</v>
      </c>
      <c r="IT41">
        <v>0</v>
      </c>
      <c r="IU41">
        <v>0</v>
      </c>
      <c r="IV41">
        <v>0</v>
      </c>
      <c r="IW41">
        <v>0</v>
      </c>
      <c r="IX41">
        <v>0</v>
      </c>
      <c r="IY41">
        <v>0</v>
      </c>
      <c r="IZ41">
        <v>0</v>
      </c>
      <c r="JA41">
        <v>0</v>
      </c>
      <c r="JB41">
        <v>0</v>
      </c>
      <c r="JC41">
        <v>0</v>
      </c>
      <c r="JD41">
        <v>0</v>
      </c>
      <c r="JE41">
        <v>0</v>
      </c>
      <c r="JF41">
        <v>0</v>
      </c>
      <c r="JG41">
        <v>0</v>
      </c>
      <c r="JH41">
        <v>0</v>
      </c>
      <c r="JI41">
        <v>0</v>
      </c>
      <c r="JJ41">
        <v>1</v>
      </c>
      <c r="JT41" s="6">
        <f t="shared" si="32"/>
        <v>0</v>
      </c>
      <c r="JU41" s="6"/>
      <c r="JV41" s="6"/>
      <c r="JW41" s="6"/>
      <c r="JX41">
        <v>2</v>
      </c>
      <c r="JY41" s="1">
        <v>45504.341666666667</v>
      </c>
      <c r="JZ41">
        <v>0</v>
      </c>
      <c r="KA41">
        <v>0</v>
      </c>
      <c r="KB41">
        <v>0</v>
      </c>
      <c r="KC41" s="6">
        <f t="shared" si="35"/>
        <v>0</v>
      </c>
      <c r="KD41">
        <v>2</v>
      </c>
      <c r="KE41" s="1">
        <v>45504.342361111114</v>
      </c>
      <c r="KF41">
        <v>31.7</v>
      </c>
      <c r="KG41">
        <v>2.9</v>
      </c>
      <c r="KP41">
        <v>1</v>
      </c>
      <c r="KQ41">
        <v>38.700000000000003</v>
      </c>
      <c r="KR41">
        <v>5.9</v>
      </c>
      <c r="KS41">
        <v>1</v>
      </c>
      <c r="SX41">
        <v>1</v>
      </c>
      <c r="SY41">
        <v>31.4</v>
      </c>
      <c r="SZ41">
        <v>5</v>
      </c>
      <c r="TA41">
        <v>3</v>
      </c>
      <c r="TB41">
        <v>1</v>
      </c>
      <c r="TC41">
        <v>28.3</v>
      </c>
      <c r="TD41">
        <v>4.5</v>
      </c>
      <c r="TE41">
        <v>6</v>
      </c>
      <c r="TZ41">
        <v>5</v>
      </c>
      <c r="UA41">
        <v>27.2</v>
      </c>
      <c r="UB41">
        <v>4.5</v>
      </c>
      <c r="UC41">
        <v>7</v>
      </c>
      <c r="UP41">
        <v>1</v>
      </c>
      <c r="UQ41">
        <v>29.1</v>
      </c>
      <c r="UR41">
        <v>4.5999999999999996</v>
      </c>
      <c r="US41">
        <v>5</v>
      </c>
      <c r="VJ41">
        <v>2</v>
      </c>
      <c r="VK41">
        <v>29.5</v>
      </c>
      <c r="VL41">
        <v>3.6</v>
      </c>
      <c r="VM41">
        <v>8</v>
      </c>
      <c r="WX41">
        <v>1</v>
      </c>
      <c r="WY41">
        <v>34.6</v>
      </c>
      <c r="WZ41">
        <v>5.2</v>
      </c>
      <c r="XA41">
        <v>2</v>
      </c>
      <c r="XJ41">
        <v>1</v>
      </c>
      <c r="XK41">
        <v>30.1</v>
      </c>
      <c r="XL41">
        <v>4.7</v>
      </c>
      <c r="XM41">
        <v>4</v>
      </c>
      <c r="YP41" s="6">
        <v>4</v>
      </c>
      <c r="YQ41" s="6">
        <v>31.7</v>
      </c>
      <c r="YR41" s="6">
        <v>2.9</v>
      </c>
      <c r="YS41" s="6">
        <v>9</v>
      </c>
      <c r="YX41" s="6">
        <v>4</v>
      </c>
      <c r="YY41" s="6">
        <v>31.7</v>
      </c>
      <c r="YZ41" s="6">
        <v>2.9</v>
      </c>
      <c r="ZA41" s="6">
        <v>9</v>
      </c>
      <c r="ZB41">
        <v>2</v>
      </c>
      <c r="ZC41" s="1">
        <v>45114.661111111112</v>
      </c>
      <c r="ZD41">
        <v>5</v>
      </c>
      <c r="ZE41">
        <v>1</v>
      </c>
      <c r="ZF41">
        <v>4</v>
      </c>
      <c r="ZG41">
        <v>1</v>
      </c>
      <c r="ZH41">
        <v>5</v>
      </c>
      <c r="ZI41">
        <v>1</v>
      </c>
      <c r="ZJ41">
        <v>1</v>
      </c>
      <c r="ZK41">
        <v>1</v>
      </c>
      <c r="ZL41">
        <v>5</v>
      </c>
      <c r="ZM41">
        <v>5</v>
      </c>
      <c r="ZN41">
        <v>1</v>
      </c>
      <c r="ZO41">
        <v>5</v>
      </c>
      <c r="ZP41">
        <v>1</v>
      </c>
      <c r="ZQ41">
        <v>5</v>
      </c>
      <c r="ZR41">
        <v>1</v>
      </c>
      <c r="ZS41">
        <v>5</v>
      </c>
      <c r="ZT41">
        <v>5</v>
      </c>
      <c r="ZU41">
        <v>1</v>
      </c>
      <c r="ZV41">
        <v>5</v>
      </c>
      <c r="ZW41">
        <v>1</v>
      </c>
      <c r="ZX41" s="6">
        <f t="shared" si="36"/>
        <v>49</v>
      </c>
      <c r="ZY41" s="6">
        <f t="shared" si="37"/>
        <v>10</v>
      </c>
      <c r="ZZ41">
        <v>2</v>
      </c>
      <c r="AAA41" s="1">
        <v>45504.343055555553</v>
      </c>
      <c r="AAB41">
        <v>0</v>
      </c>
      <c r="AAC41">
        <v>0</v>
      </c>
      <c r="AAD41">
        <v>0</v>
      </c>
      <c r="AAE41">
        <v>0</v>
      </c>
      <c r="AAF41">
        <v>0</v>
      </c>
      <c r="AAG41">
        <v>0</v>
      </c>
      <c r="AAH41">
        <v>0</v>
      </c>
      <c r="AAI41">
        <v>0</v>
      </c>
      <c r="AAJ41">
        <v>0</v>
      </c>
      <c r="AAK41">
        <v>0</v>
      </c>
      <c r="AAL41">
        <v>0</v>
      </c>
      <c r="AAM41">
        <v>0</v>
      </c>
      <c r="AAN41">
        <v>0</v>
      </c>
      <c r="AAO41">
        <v>0</v>
      </c>
      <c r="AAP41">
        <v>0</v>
      </c>
      <c r="AAQ41">
        <v>0</v>
      </c>
      <c r="AAR41">
        <v>0</v>
      </c>
      <c r="AAS41">
        <v>0</v>
      </c>
      <c r="AAT41" s="6">
        <f t="shared" si="38"/>
        <v>0</v>
      </c>
      <c r="AAU41" s="6">
        <f t="shared" si="39"/>
        <v>0</v>
      </c>
      <c r="AAV41" s="6">
        <f t="shared" si="40"/>
        <v>0</v>
      </c>
      <c r="AAW41" s="6">
        <f t="shared" si="41"/>
        <v>0</v>
      </c>
      <c r="AAX41">
        <v>2</v>
      </c>
      <c r="AAY41" s="1">
        <v>45504.34375</v>
      </c>
      <c r="AAZ41">
        <v>0</v>
      </c>
      <c r="ABO41" s="6"/>
      <c r="ABP41" s="6"/>
      <c r="ABQ41">
        <v>2</v>
      </c>
      <c r="ABR41" s="1">
        <v>45504.34375</v>
      </c>
      <c r="ABS41">
        <v>0</v>
      </c>
      <c r="ABT41">
        <v>0</v>
      </c>
      <c r="ABU41">
        <v>0</v>
      </c>
      <c r="ABV41">
        <v>4</v>
      </c>
      <c r="ABW41">
        <v>0</v>
      </c>
      <c r="ABX41">
        <v>0</v>
      </c>
      <c r="ABY41">
        <v>0</v>
      </c>
      <c r="ABZ41">
        <v>4</v>
      </c>
      <c r="ACA41">
        <v>0</v>
      </c>
      <c r="ACB41">
        <v>4</v>
      </c>
      <c r="ACC41">
        <v>0</v>
      </c>
      <c r="ACD41">
        <v>0</v>
      </c>
      <c r="ACE41">
        <v>0</v>
      </c>
      <c r="ACF41">
        <v>0</v>
      </c>
      <c r="ACG41">
        <v>0</v>
      </c>
      <c r="ACH41">
        <v>0</v>
      </c>
      <c r="ACI41">
        <v>0</v>
      </c>
      <c r="ACJ41">
        <v>0</v>
      </c>
      <c r="ACK41">
        <v>0</v>
      </c>
      <c r="ACL41">
        <v>0</v>
      </c>
      <c r="ACM41">
        <v>0</v>
      </c>
      <c r="ACN41">
        <v>0</v>
      </c>
      <c r="ACO41">
        <v>0</v>
      </c>
      <c r="ACP41">
        <v>0</v>
      </c>
      <c r="ACQ41">
        <v>0</v>
      </c>
      <c r="ACR41">
        <v>4</v>
      </c>
      <c r="ACS41">
        <v>4</v>
      </c>
      <c r="ACT41">
        <v>0</v>
      </c>
      <c r="ACU41">
        <v>0</v>
      </c>
      <c r="ACV41">
        <v>3</v>
      </c>
      <c r="ACW41" s="6">
        <f t="shared" si="44"/>
        <v>0</v>
      </c>
      <c r="ACX41" s="6">
        <f t="shared" si="45"/>
        <v>0</v>
      </c>
      <c r="ACY41" s="6">
        <f t="shared" si="46"/>
        <v>0</v>
      </c>
      <c r="ACZ41" s="6">
        <f t="shared" si="47"/>
        <v>0</v>
      </c>
      <c r="ADA41" s="6">
        <f t="shared" si="48"/>
        <v>4</v>
      </c>
      <c r="ADB41" s="6">
        <f t="shared" si="49"/>
        <v>19</v>
      </c>
      <c r="ADC41" s="6">
        <f t="shared" si="50"/>
        <v>-15</v>
      </c>
      <c r="ADD41">
        <v>2</v>
      </c>
      <c r="ADE41" s="1">
        <v>45504.344444444447</v>
      </c>
      <c r="ADF41" s="5">
        <v>4</v>
      </c>
      <c r="ADG41">
        <f t="shared" si="51"/>
        <v>1</v>
      </c>
      <c r="ADH41" s="5">
        <v>4</v>
      </c>
      <c r="ADI41">
        <f t="shared" si="52"/>
        <v>1</v>
      </c>
      <c r="ADJ41">
        <v>1</v>
      </c>
      <c r="ADK41">
        <v>1</v>
      </c>
      <c r="ADL41" s="5">
        <v>4</v>
      </c>
      <c r="ADM41">
        <f t="shared" si="3"/>
        <v>1</v>
      </c>
      <c r="ADN41">
        <v>1</v>
      </c>
      <c r="ADO41">
        <v>1</v>
      </c>
      <c r="ADP41" s="5">
        <v>4</v>
      </c>
      <c r="ADQ41">
        <f t="shared" si="4"/>
        <v>1</v>
      </c>
      <c r="ADR41">
        <v>1</v>
      </c>
      <c r="ADS41" s="5">
        <v>4</v>
      </c>
      <c r="ADT41">
        <f t="shared" si="5"/>
        <v>1</v>
      </c>
      <c r="ADU41" s="5">
        <v>4</v>
      </c>
      <c r="ADV41">
        <f t="shared" ref="ADV41" si="154">INDEX($AD$48:$AE$51, MATCH(ADU41, $AD$48:$AD$51, 0), 2)</f>
        <v>1</v>
      </c>
      <c r="ADW41">
        <v>1</v>
      </c>
      <c r="ADX41">
        <v>1</v>
      </c>
      <c r="ADY41">
        <v>1</v>
      </c>
      <c r="ADZ41" s="5">
        <v>4</v>
      </c>
      <c r="AEA41">
        <f t="shared" si="6"/>
        <v>1</v>
      </c>
      <c r="AEB41" s="5">
        <v>4</v>
      </c>
      <c r="AEC41">
        <f t="shared" ref="AEC41" si="155">INDEX($AD$48:$AE$51, MATCH(AEB41, $AD$48:$AD$51, 0), 2)</f>
        <v>1</v>
      </c>
      <c r="AED41">
        <v>1</v>
      </c>
      <c r="AEE41">
        <v>1</v>
      </c>
      <c r="AEF41" s="5">
        <v>4</v>
      </c>
      <c r="AEG41">
        <f t="shared" si="7"/>
        <v>1</v>
      </c>
      <c r="AEH41" s="5">
        <v>4</v>
      </c>
      <c r="AEI41">
        <f t="shared" si="8"/>
        <v>1</v>
      </c>
      <c r="AEJ41" s="6">
        <f t="shared" si="55"/>
        <v>21</v>
      </c>
      <c r="AEK41">
        <v>2</v>
      </c>
      <c r="AEL41" s="1">
        <v>45504.344444444447</v>
      </c>
      <c r="AEM41">
        <v>0</v>
      </c>
      <c r="AER41">
        <v>0</v>
      </c>
      <c r="AES41">
        <v>0</v>
      </c>
      <c r="AET41">
        <v>0</v>
      </c>
      <c r="AEU41">
        <v>0</v>
      </c>
      <c r="AEV41">
        <v>0</v>
      </c>
      <c r="AEX41">
        <v>2</v>
      </c>
    </row>
    <row r="42" spans="1:830">
      <c r="A42">
        <v>154</v>
      </c>
      <c r="B42" t="s">
        <v>1191</v>
      </c>
      <c r="C42">
        <v>2</v>
      </c>
      <c r="D42">
        <v>2</v>
      </c>
      <c r="E42">
        <v>49</v>
      </c>
      <c r="F42">
        <v>61</v>
      </c>
      <c r="G42">
        <v>107</v>
      </c>
      <c r="H42">
        <v>1</v>
      </c>
      <c r="I42">
        <v>6</v>
      </c>
      <c r="J42" t="s">
        <v>378</v>
      </c>
      <c r="K42" t="s">
        <v>379</v>
      </c>
      <c r="L42">
        <v>2</v>
      </c>
      <c r="M42" s="1">
        <v>45520.370833333334</v>
      </c>
      <c r="N42">
        <v>8</v>
      </c>
      <c r="O42">
        <v>0</v>
      </c>
      <c r="Q42">
        <v>0</v>
      </c>
      <c r="R42">
        <v>1</v>
      </c>
      <c r="S42">
        <v>0</v>
      </c>
      <c r="T42">
        <v>0</v>
      </c>
      <c r="U42">
        <v>0</v>
      </c>
      <c r="V42">
        <v>0</v>
      </c>
      <c r="W42">
        <v>0</v>
      </c>
      <c r="X42">
        <v>0</v>
      </c>
      <c r="Y42">
        <v>0</v>
      </c>
      <c r="Z42">
        <v>0</v>
      </c>
      <c r="AA42">
        <v>0</v>
      </c>
      <c r="AB42" t="s">
        <v>208</v>
      </c>
      <c r="AC42">
        <v>2</v>
      </c>
      <c r="AD42" s="1">
        <v>45520.371527777781</v>
      </c>
      <c r="AE42" s="5">
        <v>4</v>
      </c>
      <c r="AF42">
        <f t="shared" si="9"/>
        <v>1</v>
      </c>
      <c r="AG42">
        <v>3</v>
      </c>
      <c r="AH42" s="5">
        <v>4</v>
      </c>
      <c r="AI42">
        <f t="shared" si="10"/>
        <v>1</v>
      </c>
      <c r="AJ42">
        <v>4</v>
      </c>
      <c r="AK42">
        <v>1</v>
      </c>
      <c r="AL42" s="5">
        <v>3</v>
      </c>
      <c r="AM42">
        <f t="shared" si="11"/>
        <v>2</v>
      </c>
      <c r="AN42" s="5">
        <v>4</v>
      </c>
      <c r="AO42">
        <f t="shared" si="12"/>
        <v>1</v>
      </c>
      <c r="AP42">
        <v>2</v>
      </c>
      <c r="AQ42">
        <v>2</v>
      </c>
      <c r="AR42" s="5">
        <v>4</v>
      </c>
      <c r="AS42">
        <f t="shared" si="13"/>
        <v>1</v>
      </c>
      <c r="AT42">
        <v>1</v>
      </c>
      <c r="AU42">
        <v>1</v>
      </c>
      <c r="AV42" s="5">
        <v>4</v>
      </c>
      <c r="AW42">
        <f t="shared" si="14"/>
        <v>1</v>
      </c>
      <c r="AX42" s="5">
        <v>4</v>
      </c>
      <c r="AY42">
        <f t="shared" si="15"/>
        <v>1</v>
      </c>
      <c r="AZ42">
        <v>1</v>
      </c>
      <c r="BA42" s="5">
        <v>4</v>
      </c>
      <c r="BB42">
        <f t="shared" si="16"/>
        <v>1</v>
      </c>
      <c r="BC42">
        <v>2</v>
      </c>
      <c r="BD42">
        <v>1</v>
      </c>
      <c r="BE42" s="5">
        <v>4</v>
      </c>
      <c r="BF42">
        <f t="shared" si="17"/>
        <v>1</v>
      </c>
      <c r="BG42">
        <v>1</v>
      </c>
      <c r="BH42" s="6">
        <f t="shared" si="18"/>
        <v>29</v>
      </c>
      <c r="BI42">
        <v>2</v>
      </c>
      <c r="BJ42" s="1">
        <v>45520.37222222222</v>
      </c>
      <c r="BK42">
        <v>12</v>
      </c>
      <c r="BL42">
        <v>2</v>
      </c>
      <c r="BM42">
        <v>4</v>
      </c>
      <c r="BQ42" s="2">
        <v>43892</v>
      </c>
      <c r="BR42">
        <v>5</v>
      </c>
      <c r="BS42">
        <v>1</v>
      </c>
      <c r="BT42">
        <v>3</v>
      </c>
      <c r="BU42">
        <v>21</v>
      </c>
      <c r="BV42">
        <v>5</v>
      </c>
      <c r="BW42">
        <v>1</v>
      </c>
      <c r="BX42">
        <v>2</v>
      </c>
      <c r="BY42" s="1">
        <v>45520.372916666667</v>
      </c>
      <c r="BZ42">
        <v>4</v>
      </c>
      <c r="CA42">
        <v>1</v>
      </c>
      <c r="CB42">
        <v>4</v>
      </c>
      <c r="CC42">
        <v>2</v>
      </c>
      <c r="CD42">
        <v>4</v>
      </c>
      <c r="CE42">
        <v>4</v>
      </c>
      <c r="CF42">
        <v>2</v>
      </c>
      <c r="CG42">
        <v>4</v>
      </c>
      <c r="CH42">
        <v>4</v>
      </c>
      <c r="CI42">
        <v>2</v>
      </c>
      <c r="CJ42">
        <v>4</v>
      </c>
      <c r="CK42">
        <v>4</v>
      </c>
      <c r="CL42" s="5">
        <v>2</v>
      </c>
      <c r="CM42">
        <f t="shared" si="19"/>
        <v>3</v>
      </c>
      <c r="CN42">
        <v>4</v>
      </c>
      <c r="CO42">
        <v>4</v>
      </c>
      <c r="CP42">
        <v>4</v>
      </c>
      <c r="CQ42">
        <v>4</v>
      </c>
      <c r="CR42" s="5">
        <v>3</v>
      </c>
      <c r="CS42">
        <f t="shared" si="20"/>
        <v>2</v>
      </c>
      <c r="CT42">
        <v>3</v>
      </c>
      <c r="CU42">
        <v>4</v>
      </c>
      <c r="CV42" s="6">
        <f t="shared" si="21"/>
        <v>16</v>
      </c>
      <c r="CW42" s="6">
        <f t="shared" si="22"/>
        <v>16</v>
      </c>
      <c r="CX42" s="6">
        <f t="shared" si="23"/>
        <v>19</v>
      </c>
      <c r="CY42" s="6">
        <f t="shared" si="24"/>
        <v>51</v>
      </c>
      <c r="CZ42" s="6">
        <f t="shared" si="25"/>
        <v>16</v>
      </c>
      <c r="DA42">
        <v>2</v>
      </c>
      <c r="DB42" s="1">
        <v>45520.374305555553</v>
      </c>
      <c r="DC42">
        <v>1</v>
      </c>
      <c r="DD42">
        <v>0</v>
      </c>
      <c r="DE42">
        <v>0</v>
      </c>
      <c r="DF42">
        <v>0</v>
      </c>
      <c r="DG42">
        <v>0</v>
      </c>
      <c r="DH42">
        <v>0</v>
      </c>
      <c r="DI42">
        <v>0</v>
      </c>
      <c r="DJ42">
        <v>1</v>
      </c>
      <c r="DK42">
        <v>0</v>
      </c>
      <c r="DL42">
        <v>0</v>
      </c>
      <c r="DM42">
        <v>1</v>
      </c>
      <c r="DN42">
        <v>0</v>
      </c>
      <c r="DO42">
        <v>0</v>
      </c>
      <c r="DP42">
        <v>0</v>
      </c>
      <c r="DQ42">
        <v>0</v>
      </c>
      <c r="DR42">
        <v>0</v>
      </c>
      <c r="DS42">
        <v>0</v>
      </c>
      <c r="DT42">
        <v>0</v>
      </c>
      <c r="DU42">
        <v>0</v>
      </c>
      <c r="DV42">
        <v>1</v>
      </c>
      <c r="DW42">
        <v>1</v>
      </c>
      <c r="DX42">
        <v>0</v>
      </c>
      <c r="DY42">
        <v>0</v>
      </c>
      <c r="DZ42">
        <v>0</v>
      </c>
      <c r="EA42">
        <v>0</v>
      </c>
      <c r="EB42">
        <v>1</v>
      </c>
      <c r="EC42">
        <v>0</v>
      </c>
      <c r="ED42">
        <v>0</v>
      </c>
      <c r="EE42">
        <v>0</v>
      </c>
      <c r="EF42">
        <v>0</v>
      </c>
      <c r="EG42">
        <v>0</v>
      </c>
      <c r="EH42">
        <v>1</v>
      </c>
      <c r="EI42">
        <v>0</v>
      </c>
      <c r="EJ42">
        <v>0</v>
      </c>
      <c r="EK42">
        <v>0</v>
      </c>
      <c r="EL42">
        <v>1</v>
      </c>
      <c r="EM42">
        <v>0</v>
      </c>
      <c r="EN42">
        <v>0</v>
      </c>
      <c r="EO42">
        <v>0</v>
      </c>
      <c r="EP42">
        <v>0</v>
      </c>
      <c r="EQ42">
        <v>0</v>
      </c>
      <c r="ER42">
        <v>0</v>
      </c>
      <c r="ES42">
        <v>0</v>
      </c>
      <c r="ET42">
        <v>1</v>
      </c>
      <c r="EU42">
        <v>0</v>
      </c>
      <c r="EV42">
        <v>1</v>
      </c>
      <c r="EW42">
        <v>0</v>
      </c>
      <c r="EX42">
        <v>0</v>
      </c>
      <c r="EY42">
        <v>0</v>
      </c>
      <c r="EZ42">
        <v>0</v>
      </c>
      <c r="FA42">
        <v>0</v>
      </c>
      <c r="FB42">
        <v>0</v>
      </c>
      <c r="FC42">
        <v>1</v>
      </c>
      <c r="FD42">
        <v>0</v>
      </c>
      <c r="FE42">
        <v>0</v>
      </c>
      <c r="FF42">
        <v>0</v>
      </c>
      <c r="FG42">
        <v>0</v>
      </c>
      <c r="FH42">
        <v>0</v>
      </c>
      <c r="FI42">
        <v>0</v>
      </c>
      <c r="FJ42">
        <v>1</v>
      </c>
      <c r="FK42">
        <v>0</v>
      </c>
      <c r="FL42">
        <v>1</v>
      </c>
      <c r="FM42">
        <v>0</v>
      </c>
      <c r="FN42">
        <v>0</v>
      </c>
      <c r="FO42">
        <v>0</v>
      </c>
      <c r="FP42">
        <v>0</v>
      </c>
      <c r="FQ42">
        <v>0</v>
      </c>
      <c r="FR42">
        <v>1</v>
      </c>
      <c r="FS42">
        <v>0</v>
      </c>
      <c r="FT42">
        <v>0</v>
      </c>
      <c r="FU42">
        <v>0</v>
      </c>
      <c r="FV42">
        <v>0</v>
      </c>
      <c r="FW42">
        <v>1</v>
      </c>
      <c r="FX42">
        <v>0</v>
      </c>
      <c r="FY42">
        <v>0</v>
      </c>
      <c r="FZ42">
        <v>0</v>
      </c>
      <c r="GA42">
        <v>0</v>
      </c>
      <c r="GB42">
        <v>0</v>
      </c>
      <c r="GC42">
        <v>0</v>
      </c>
      <c r="GD42">
        <v>1</v>
      </c>
      <c r="GE42">
        <v>0</v>
      </c>
      <c r="GF42">
        <v>0</v>
      </c>
      <c r="GG42">
        <v>0</v>
      </c>
      <c r="GH42">
        <v>1</v>
      </c>
      <c r="GI42">
        <v>0</v>
      </c>
      <c r="GJ42" s="6">
        <f t="shared" si="26"/>
        <v>17</v>
      </c>
      <c r="GK42">
        <v>2</v>
      </c>
      <c r="GL42" s="1">
        <v>45520.374305555553</v>
      </c>
      <c r="GM42">
        <v>0</v>
      </c>
      <c r="GQ42" s="5"/>
      <c r="GV42" s="5"/>
      <c r="HA42" s="5"/>
      <c r="HF42" s="5"/>
      <c r="HI42" s="6"/>
      <c r="HJ42" s="6"/>
      <c r="HK42" s="6"/>
      <c r="HL42">
        <v>2</v>
      </c>
      <c r="HM42" s="1">
        <v>45520.374305555553</v>
      </c>
      <c r="HN42">
        <v>6</v>
      </c>
      <c r="HO42">
        <v>13</v>
      </c>
      <c r="HP42">
        <v>1</v>
      </c>
      <c r="HQ42">
        <v>2</v>
      </c>
      <c r="HR42" s="1">
        <v>45531.601388888892</v>
      </c>
      <c r="HS42">
        <v>0</v>
      </c>
      <c r="HT42">
        <v>0</v>
      </c>
      <c r="HU42">
        <v>0</v>
      </c>
      <c r="HV42">
        <v>0</v>
      </c>
      <c r="HW42">
        <v>0</v>
      </c>
      <c r="HX42">
        <v>0</v>
      </c>
      <c r="HY42">
        <v>0</v>
      </c>
      <c r="HZ42">
        <v>0</v>
      </c>
      <c r="IA42">
        <v>0</v>
      </c>
      <c r="IB42">
        <v>0</v>
      </c>
      <c r="IC42">
        <v>0</v>
      </c>
      <c r="ID42">
        <v>0</v>
      </c>
      <c r="IE42">
        <v>0</v>
      </c>
      <c r="IF42">
        <v>0</v>
      </c>
      <c r="IG42">
        <v>0</v>
      </c>
      <c r="IH42">
        <v>1</v>
      </c>
      <c r="II42">
        <v>0</v>
      </c>
      <c r="IJ42">
        <v>0</v>
      </c>
      <c r="IK42">
        <v>0</v>
      </c>
      <c r="IL42">
        <v>0</v>
      </c>
      <c r="IM42">
        <v>0</v>
      </c>
      <c r="IN42" s="6">
        <f t="shared" si="31"/>
        <v>1</v>
      </c>
      <c r="IO42">
        <v>2</v>
      </c>
      <c r="IP42" s="1">
        <v>45531.601388888892</v>
      </c>
      <c r="IQ42">
        <v>0</v>
      </c>
      <c r="IR42">
        <v>0</v>
      </c>
      <c r="IS42">
        <v>0</v>
      </c>
      <c r="IT42">
        <v>0</v>
      </c>
      <c r="IU42">
        <v>0</v>
      </c>
      <c r="IV42">
        <v>0</v>
      </c>
      <c r="IW42">
        <v>0</v>
      </c>
      <c r="IX42">
        <v>0</v>
      </c>
      <c r="IY42">
        <v>0</v>
      </c>
      <c r="IZ42">
        <v>0</v>
      </c>
      <c r="JA42">
        <v>0</v>
      </c>
      <c r="JB42">
        <v>0</v>
      </c>
      <c r="JC42">
        <v>0</v>
      </c>
      <c r="JD42">
        <v>0</v>
      </c>
      <c r="JE42">
        <v>0</v>
      </c>
      <c r="JF42">
        <v>0</v>
      </c>
      <c r="JG42">
        <v>0</v>
      </c>
      <c r="JH42">
        <v>0</v>
      </c>
      <c r="JI42">
        <v>0</v>
      </c>
      <c r="JJ42">
        <v>1</v>
      </c>
      <c r="JT42" s="6">
        <f t="shared" si="32"/>
        <v>0</v>
      </c>
      <c r="JU42" s="6"/>
      <c r="JV42" s="6"/>
      <c r="JW42" s="6"/>
      <c r="JX42">
        <v>2</v>
      </c>
      <c r="JY42" s="1">
        <v>45531.601388888892</v>
      </c>
      <c r="JZ42">
        <v>0</v>
      </c>
      <c r="KA42">
        <v>0</v>
      </c>
      <c r="KB42">
        <v>0</v>
      </c>
      <c r="KC42" s="6">
        <f t="shared" si="35"/>
        <v>0</v>
      </c>
      <c r="KD42">
        <v>2</v>
      </c>
      <c r="KE42" s="1">
        <v>45531.602083333331</v>
      </c>
      <c r="KF42">
        <v>31.9</v>
      </c>
      <c r="KG42">
        <v>2.7</v>
      </c>
      <c r="KP42">
        <v>1</v>
      </c>
      <c r="KQ42">
        <v>38.700000000000003</v>
      </c>
      <c r="KR42">
        <v>5.9</v>
      </c>
      <c r="KS42">
        <v>1</v>
      </c>
      <c r="SL42">
        <v>1</v>
      </c>
      <c r="SM42">
        <v>28.6</v>
      </c>
      <c r="SN42">
        <v>3.5</v>
      </c>
      <c r="SO42">
        <v>10</v>
      </c>
      <c r="SX42">
        <v>1</v>
      </c>
      <c r="SY42">
        <v>31.4</v>
      </c>
      <c r="SZ42">
        <v>5</v>
      </c>
      <c r="TA42">
        <v>3</v>
      </c>
      <c r="TB42">
        <v>1</v>
      </c>
      <c r="TC42">
        <v>28.3</v>
      </c>
      <c r="TD42">
        <v>4.5</v>
      </c>
      <c r="TE42">
        <v>6</v>
      </c>
      <c r="TZ42">
        <v>5</v>
      </c>
      <c r="UA42">
        <v>27.2</v>
      </c>
      <c r="UB42">
        <v>4.5</v>
      </c>
      <c r="UC42">
        <v>7</v>
      </c>
      <c r="UD42">
        <v>5</v>
      </c>
      <c r="UE42">
        <v>31.9</v>
      </c>
      <c r="UF42">
        <v>2.7</v>
      </c>
      <c r="UG42">
        <v>12</v>
      </c>
      <c r="UP42">
        <v>1</v>
      </c>
      <c r="UQ42">
        <v>29.1</v>
      </c>
      <c r="UR42">
        <v>4.5999999999999996</v>
      </c>
      <c r="US42">
        <v>5</v>
      </c>
      <c r="VJ42">
        <v>2</v>
      </c>
      <c r="VK42">
        <v>29.5</v>
      </c>
      <c r="VL42">
        <v>3.6</v>
      </c>
      <c r="VM42">
        <v>8</v>
      </c>
      <c r="WP42">
        <v>5</v>
      </c>
      <c r="WQ42">
        <v>28.3</v>
      </c>
      <c r="WR42">
        <v>3.5</v>
      </c>
      <c r="WS42">
        <v>11</v>
      </c>
      <c r="WX42">
        <v>1</v>
      </c>
      <c r="WY42">
        <v>34.6</v>
      </c>
      <c r="WZ42">
        <v>5.2</v>
      </c>
      <c r="XA42">
        <v>2</v>
      </c>
      <c r="XJ42">
        <v>1</v>
      </c>
      <c r="XK42">
        <v>30.1</v>
      </c>
      <c r="XL42">
        <v>4.7</v>
      </c>
      <c r="XM42">
        <v>4</v>
      </c>
      <c r="YP42" s="6">
        <v>5</v>
      </c>
      <c r="YQ42" s="6">
        <v>29</v>
      </c>
      <c r="YR42" s="6">
        <v>3.6</v>
      </c>
      <c r="YS42" s="6">
        <v>9</v>
      </c>
      <c r="YX42" s="6">
        <v>5</v>
      </c>
      <c r="YY42" s="6">
        <v>29</v>
      </c>
      <c r="YZ42" s="6">
        <v>3.6</v>
      </c>
      <c r="ZA42" s="6">
        <v>9</v>
      </c>
      <c r="ZB42">
        <v>2</v>
      </c>
      <c r="ZC42" s="1">
        <v>45115.661111111112</v>
      </c>
      <c r="ZD42">
        <v>5</v>
      </c>
      <c r="ZE42">
        <v>1</v>
      </c>
      <c r="ZF42">
        <v>5</v>
      </c>
      <c r="ZG42">
        <v>1</v>
      </c>
      <c r="ZH42">
        <v>5</v>
      </c>
      <c r="ZI42">
        <v>1</v>
      </c>
      <c r="ZJ42">
        <v>1</v>
      </c>
      <c r="ZK42">
        <v>1</v>
      </c>
      <c r="ZL42">
        <v>5</v>
      </c>
      <c r="ZM42">
        <v>5</v>
      </c>
      <c r="ZN42">
        <v>1</v>
      </c>
      <c r="ZO42">
        <v>5</v>
      </c>
      <c r="ZP42">
        <v>1</v>
      </c>
      <c r="ZQ42">
        <v>5</v>
      </c>
      <c r="ZR42">
        <v>2</v>
      </c>
      <c r="ZS42">
        <v>5</v>
      </c>
      <c r="ZT42">
        <v>5</v>
      </c>
      <c r="ZU42">
        <v>1</v>
      </c>
      <c r="ZV42">
        <v>5</v>
      </c>
      <c r="ZW42">
        <v>1</v>
      </c>
      <c r="ZX42" s="6">
        <f t="shared" si="36"/>
        <v>50</v>
      </c>
      <c r="ZY42" s="6">
        <f t="shared" si="37"/>
        <v>11</v>
      </c>
      <c r="ZZ42">
        <v>2</v>
      </c>
      <c r="AAA42" s="1">
        <v>45531.602777777778</v>
      </c>
      <c r="AAB42">
        <v>0</v>
      </c>
      <c r="AAC42">
        <v>0</v>
      </c>
      <c r="AAD42">
        <v>0</v>
      </c>
      <c r="AAE42">
        <v>0</v>
      </c>
      <c r="AAF42">
        <v>0</v>
      </c>
      <c r="AAG42">
        <v>0</v>
      </c>
      <c r="AAH42">
        <v>0</v>
      </c>
      <c r="AAI42">
        <v>0</v>
      </c>
      <c r="AAJ42">
        <v>0</v>
      </c>
      <c r="AAK42">
        <v>0</v>
      </c>
      <c r="AAL42">
        <v>0</v>
      </c>
      <c r="AAM42">
        <v>0</v>
      </c>
      <c r="AAN42">
        <v>0</v>
      </c>
      <c r="AAO42">
        <v>0</v>
      </c>
      <c r="AAP42">
        <v>0</v>
      </c>
      <c r="AAQ42">
        <v>0</v>
      </c>
      <c r="AAR42">
        <v>0</v>
      </c>
      <c r="AAS42">
        <v>0</v>
      </c>
      <c r="AAT42" s="6">
        <f t="shared" si="38"/>
        <v>0</v>
      </c>
      <c r="AAU42" s="6">
        <f t="shared" si="39"/>
        <v>0</v>
      </c>
      <c r="AAV42" s="6">
        <f t="shared" si="40"/>
        <v>0</v>
      </c>
      <c r="AAW42" s="6">
        <f t="shared" si="41"/>
        <v>0</v>
      </c>
      <c r="AAX42">
        <v>2</v>
      </c>
      <c r="AAY42" s="1">
        <v>45531.602777777778</v>
      </c>
      <c r="AAZ42">
        <v>0</v>
      </c>
      <c r="ABO42" s="6"/>
      <c r="ABP42" s="6"/>
      <c r="ABQ42">
        <v>2</v>
      </c>
      <c r="ABR42" s="1">
        <v>45531.603472222225</v>
      </c>
      <c r="ABS42">
        <v>0</v>
      </c>
      <c r="ABT42">
        <v>0</v>
      </c>
      <c r="ABU42">
        <v>0</v>
      </c>
      <c r="ABV42">
        <v>3</v>
      </c>
      <c r="ABW42">
        <v>0</v>
      </c>
      <c r="ABX42">
        <v>0</v>
      </c>
      <c r="ABY42">
        <v>0</v>
      </c>
      <c r="ABZ42">
        <v>3</v>
      </c>
      <c r="ACA42">
        <v>0</v>
      </c>
      <c r="ACB42">
        <v>4</v>
      </c>
      <c r="ACC42">
        <v>0</v>
      </c>
      <c r="ACD42">
        <v>0</v>
      </c>
      <c r="ACE42">
        <v>0</v>
      </c>
      <c r="ACF42">
        <v>0</v>
      </c>
      <c r="ACG42">
        <v>0</v>
      </c>
      <c r="ACH42">
        <v>1</v>
      </c>
      <c r="ACI42">
        <v>0</v>
      </c>
      <c r="ACJ42">
        <v>0</v>
      </c>
      <c r="ACK42">
        <v>0</v>
      </c>
      <c r="ACL42">
        <v>1</v>
      </c>
      <c r="ACM42">
        <v>0</v>
      </c>
      <c r="ACN42">
        <v>0</v>
      </c>
      <c r="ACO42">
        <v>0</v>
      </c>
      <c r="ACP42">
        <v>0</v>
      </c>
      <c r="ACQ42">
        <v>0</v>
      </c>
      <c r="ACR42">
        <v>3</v>
      </c>
      <c r="ACS42">
        <v>3</v>
      </c>
      <c r="ACT42">
        <v>0</v>
      </c>
      <c r="ACU42">
        <v>0</v>
      </c>
      <c r="ACV42">
        <v>3</v>
      </c>
      <c r="ACW42" s="6">
        <f t="shared" si="44"/>
        <v>2</v>
      </c>
      <c r="ACX42" s="6">
        <f t="shared" si="45"/>
        <v>0</v>
      </c>
      <c r="ACY42" s="6">
        <f t="shared" si="46"/>
        <v>0</v>
      </c>
      <c r="ACZ42" s="6">
        <f t="shared" si="47"/>
        <v>0</v>
      </c>
      <c r="ADA42" s="6">
        <f t="shared" si="48"/>
        <v>3</v>
      </c>
      <c r="ADB42" s="6">
        <f t="shared" si="49"/>
        <v>16</v>
      </c>
      <c r="ADC42" s="6">
        <f t="shared" si="50"/>
        <v>-11</v>
      </c>
      <c r="ADD42">
        <v>2</v>
      </c>
      <c r="ADE42" s="1">
        <v>45531.604166666664</v>
      </c>
      <c r="ADF42" s="5">
        <v>4</v>
      </c>
      <c r="ADG42">
        <f t="shared" si="51"/>
        <v>1</v>
      </c>
      <c r="ADH42" s="5">
        <v>4</v>
      </c>
      <c r="ADI42">
        <f t="shared" si="52"/>
        <v>1</v>
      </c>
      <c r="ADJ42">
        <v>2</v>
      </c>
      <c r="ADK42">
        <v>1</v>
      </c>
      <c r="ADL42" s="5">
        <v>4</v>
      </c>
      <c r="ADM42">
        <f t="shared" si="3"/>
        <v>1</v>
      </c>
      <c r="ADN42">
        <v>1</v>
      </c>
      <c r="ADO42">
        <v>1</v>
      </c>
      <c r="ADP42" s="5">
        <v>4</v>
      </c>
      <c r="ADQ42">
        <f t="shared" si="4"/>
        <v>1</v>
      </c>
      <c r="ADR42">
        <v>1</v>
      </c>
      <c r="ADS42" s="5">
        <v>4</v>
      </c>
      <c r="ADT42">
        <f t="shared" si="5"/>
        <v>1</v>
      </c>
      <c r="ADU42" s="5">
        <v>4</v>
      </c>
      <c r="ADV42">
        <f t="shared" ref="ADV42" si="156">INDEX($AD$48:$AE$51, MATCH(ADU42, $AD$48:$AD$51, 0), 2)</f>
        <v>1</v>
      </c>
      <c r="ADW42">
        <v>2</v>
      </c>
      <c r="ADX42">
        <v>1</v>
      </c>
      <c r="ADY42">
        <v>1</v>
      </c>
      <c r="ADZ42" s="5">
        <v>3</v>
      </c>
      <c r="AEA42">
        <f t="shared" si="6"/>
        <v>2</v>
      </c>
      <c r="AEB42" s="5">
        <v>4</v>
      </c>
      <c r="AEC42">
        <f t="shared" ref="AEC42" si="157">INDEX($AD$48:$AE$51, MATCH(AEB42, $AD$48:$AD$51, 0), 2)</f>
        <v>1</v>
      </c>
      <c r="AED42">
        <v>1</v>
      </c>
      <c r="AEE42">
        <v>1</v>
      </c>
      <c r="AEF42" s="5">
        <v>1</v>
      </c>
      <c r="AEG42">
        <f t="shared" si="7"/>
        <v>4</v>
      </c>
      <c r="AEH42" s="5">
        <v>4</v>
      </c>
      <c r="AEI42">
        <f t="shared" si="8"/>
        <v>1</v>
      </c>
      <c r="AEJ42" s="6">
        <f t="shared" si="55"/>
        <v>28</v>
      </c>
      <c r="AEK42">
        <v>2</v>
      </c>
      <c r="AEL42" s="1">
        <v>45531.604166666664</v>
      </c>
      <c r="AEM42">
        <v>0</v>
      </c>
      <c r="AER42">
        <v>0</v>
      </c>
      <c r="AES42">
        <v>0</v>
      </c>
      <c r="AET42">
        <v>0</v>
      </c>
      <c r="AEU42">
        <v>0</v>
      </c>
      <c r="AEV42">
        <v>0</v>
      </c>
      <c r="AEX42">
        <v>2</v>
      </c>
    </row>
    <row r="43" spans="1:830">
      <c r="A43">
        <v>135</v>
      </c>
      <c r="B43" t="s">
        <v>1180</v>
      </c>
      <c r="C43">
        <v>2</v>
      </c>
      <c r="D43">
        <v>2</v>
      </c>
      <c r="E43">
        <v>35</v>
      </c>
      <c r="F43">
        <v>64</v>
      </c>
      <c r="G43">
        <v>198</v>
      </c>
      <c r="H43">
        <v>0</v>
      </c>
      <c r="I43">
        <v>5</v>
      </c>
      <c r="K43" t="s">
        <v>278</v>
      </c>
      <c r="L43">
        <v>2</v>
      </c>
      <c r="M43" s="1">
        <v>45488.620833333334</v>
      </c>
      <c r="N43">
        <v>5</v>
      </c>
      <c r="O43">
        <v>0</v>
      </c>
      <c r="Q43">
        <v>0</v>
      </c>
      <c r="R43">
        <v>1</v>
      </c>
      <c r="S43">
        <v>0</v>
      </c>
      <c r="T43">
        <v>0</v>
      </c>
      <c r="U43">
        <v>0</v>
      </c>
      <c r="V43">
        <v>0</v>
      </c>
      <c r="W43">
        <v>0</v>
      </c>
      <c r="X43">
        <v>0</v>
      </c>
      <c r="Y43">
        <v>0</v>
      </c>
      <c r="Z43">
        <v>0</v>
      </c>
      <c r="AA43">
        <v>0</v>
      </c>
      <c r="AB43" t="s">
        <v>208</v>
      </c>
      <c r="AC43">
        <v>2</v>
      </c>
      <c r="AD43" s="1">
        <v>45488.621527777781</v>
      </c>
      <c r="AE43" s="5">
        <v>3</v>
      </c>
      <c r="AF43">
        <f t="shared" si="9"/>
        <v>2</v>
      </c>
      <c r="AG43">
        <v>2</v>
      </c>
      <c r="AH43" s="5">
        <v>3</v>
      </c>
      <c r="AI43">
        <f t="shared" si="10"/>
        <v>2</v>
      </c>
      <c r="AJ43">
        <v>1</v>
      </c>
      <c r="AK43">
        <v>2</v>
      </c>
      <c r="AL43" s="5">
        <v>3</v>
      </c>
      <c r="AM43">
        <f t="shared" si="11"/>
        <v>2</v>
      </c>
      <c r="AN43" s="5">
        <v>4</v>
      </c>
      <c r="AO43">
        <f t="shared" si="12"/>
        <v>1</v>
      </c>
      <c r="AP43">
        <v>2</v>
      </c>
      <c r="AQ43">
        <v>1</v>
      </c>
      <c r="AR43" s="5">
        <v>3</v>
      </c>
      <c r="AS43">
        <f t="shared" si="13"/>
        <v>2</v>
      </c>
      <c r="AT43">
        <v>1</v>
      </c>
      <c r="AU43">
        <v>2</v>
      </c>
      <c r="AV43" s="5">
        <v>3</v>
      </c>
      <c r="AW43">
        <f t="shared" si="14"/>
        <v>2</v>
      </c>
      <c r="AX43" s="5">
        <v>3</v>
      </c>
      <c r="AY43">
        <f t="shared" si="15"/>
        <v>2</v>
      </c>
      <c r="AZ43">
        <v>1</v>
      </c>
      <c r="BA43" s="5">
        <v>3</v>
      </c>
      <c r="BB43">
        <f t="shared" si="16"/>
        <v>2</v>
      </c>
      <c r="BC43">
        <v>2</v>
      </c>
      <c r="BD43">
        <v>1</v>
      </c>
      <c r="BE43" s="5">
        <v>4</v>
      </c>
      <c r="BF43">
        <f t="shared" si="17"/>
        <v>1</v>
      </c>
      <c r="BG43">
        <v>1</v>
      </c>
      <c r="BH43" s="6">
        <f t="shared" si="18"/>
        <v>32</v>
      </c>
      <c r="BI43">
        <v>2</v>
      </c>
      <c r="BJ43" s="1">
        <v>45488.62222222222</v>
      </c>
      <c r="BK43">
        <v>9</v>
      </c>
      <c r="BL43">
        <v>1</v>
      </c>
      <c r="BM43">
        <v>1</v>
      </c>
      <c r="BQ43" s="2">
        <v>45374</v>
      </c>
      <c r="BU43">
        <v>27</v>
      </c>
      <c r="BV43">
        <v>7</v>
      </c>
      <c r="BW43">
        <v>2</v>
      </c>
      <c r="BX43">
        <v>2</v>
      </c>
      <c r="BY43" s="1">
        <v>45488.623611111114</v>
      </c>
      <c r="BZ43">
        <v>4</v>
      </c>
      <c r="CA43">
        <v>3</v>
      </c>
      <c r="CB43">
        <v>4</v>
      </c>
      <c r="CC43">
        <v>3</v>
      </c>
      <c r="CD43">
        <v>4</v>
      </c>
      <c r="CE43">
        <v>4</v>
      </c>
      <c r="CF43">
        <v>3</v>
      </c>
      <c r="CG43">
        <v>4</v>
      </c>
      <c r="CH43">
        <v>4</v>
      </c>
      <c r="CI43">
        <v>3</v>
      </c>
      <c r="CJ43">
        <v>3</v>
      </c>
      <c r="CK43">
        <v>4</v>
      </c>
      <c r="CL43" s="5">
        <v>3</v>
      </c>
      <c r="CM43">
        <f t="shared" si="19"/>
        <v>2</v>
      </c>
      <c r="CN43">
        <v>3</v>
      </c>
      <c r="CO43">
        <v>3</v>
      </c>
      <c r="CP43">
        <v>4</v>
      </c>
      <c r="CQ43">
        <v>3</v>
      </c>
      <c r="CR43" s="5">
        <v>3</v>
      </c>
      <c r="CS43">
        <f t="shared" si="20"/>
        <v>2</v>
      </c>
      <c r="CT43">
        <v>4</v>
      </c>
      <c r="CU43">
        <v>4</v>
      </c>
      <c r="CV43" s="6">
        <f t="shared" si="21"/>
        <v>14</v>
      </c>
      <c r="CW43" s="6">
        <f t="shared" si="22"/>
        <v>15</v>
      </c>
      <c r="CX43" s="6">
        <f t="shared" si="23"/>
        <v>20</v>
      </c>
      <c r="CY43" s="6">
        <f t="shared" si="24"/>
        <v>49</v>
      </c>
      <c r="CZ43" s="6">
        <f t="shared" si="25"/>
        <v>19</v>
      </c>
      <c r="DA43">
        <v>2</v>
      </c>
      <c r="DB43" s="1">
        <v>45488.624305555553</v>
      </c>
      <c r="DC43">
        <v>1</v>
      </c>
      <c r="DD43">
        <v>0</v>
      </c>
      <c r="DE43">
        <v>0</v>
      </c>
      <c r="DF43">
        <v>0</v>
      </c>
      <c r="DG43">
        <v>0</v>
      </c>
      <c r="DH43">
        <v>1</v>
      </c>
      <c r="DI43">
        <v>0</v>
      </c>
      <c r="DJ43">
        <v>0</v>
      </c>
      <c r="DK43">
        <v>0</v>
      </c>
      <c r="DL43">
        <v>0</v>
      </c>
      <c r="DM43">
        <v>1</v>
      </c>
      <c r="DN43">
        <v>0</v>
      </c>
      <c r="DO43">
        <v>0</v>
      </c>
      <c r="DP43">
        <v>0</v>
      </c>
      <c r="DQ43">
        <v>0</v>
      </c>
      <c r="DR43">
        <v>0</v>
      </c>
      <c r="DS43">
        <v>0</v>
      </c>
      <c r="DT43">
        <v>1</v>
      </c>
      <c r="DU43">
        <v>0</v>
      </c>
      <c r="DV43">
        <v>0</v>
      </c>
      <c r="DW43">
        <v>0</v>
      </c>
      <c r="DX43">
        <v>0</v>
      </c>
      <c r="DY43">
        <v>1</v>
      </c>
      <c r="DZ43">
        <v>0</v>
      </c>
      <c r="EA43">
        <v>0</v>
      </c>
      <c r="EB43">
        <v>1</v>
      </c>
      <c r="EC43">
        <v>0</v>
      </c>
      <c r="ED43">
        <v>0</v>
      </c>
      <c r="EE43">
        <v>0</v>
      </c>
      <c r="EF43">
        <v>0</v>
      </c>
      <c r="EG43">
        <v>0</v>
      </c>
      <c r="EH43">
        <v>0</v>
      </c>
      <c r="EI43">
        <v>1</v>
      </c>
      <c r="EJ43">
        <v>0</v>
      </c>
      <c r="EK43">
        <v>0</v>
      </c>
      <c r="EL43">
        <v>0</v>
      </c>
      <c r="EM43">
        <v>0</v>
      </c>
      <c r="EN43">
        <v>1</v>
      </c>
      <c r="EO43">
        <v>0</v>
      </c>
      <c r="EP43">
        <v>0</v>
      </c>
      <c r="EQ43">
        <v>0</v>
      </c>
      <c r="ER43">
        <v>0</v>
      </c>
      <c r="ES43">
        <v>1</v>
      </c>
      <c r="ET43">
        <v>0</v>
      </c>
      <c r="EU43">
        <v>0</v>
      </c>
      <c r="EV43">
        <v>0</v>
      </c>
      <c r="EW43">
        <v>0</v>
      </c>
      <c r="EX43">
        <v>1</v>
      </c>
      <c r="EY43">
        <v>0</v>
      </c>
      <c r="EZ43">
        <v>0</v>
      </c>
      <c r="FA43">
        <v>0</v>
      </c>
      <c r="FB43">
        <v>0</v>
      </c>
      <c r="FC43">
        <v>1</v>
      </c>
      <c r="FD43">
        <v>0</v>
      </c>
      <c r="FE43">
        <v>0</v>
      </c>
      <c r="FF43">
        <v>0</v>
      </c>
      <c r="FG43">
        <v>0</v>
      </c>
      <c r="FH43">
        <v>1</v>
      </c>
      <c r="FI43">
        <v>0</v>
      </c>
      <c r="FJ43">
        <v>0</v>
      </c>
      <c r="FK43">
        <v>0</v>
      </c>
      <c r="FL43">
        <v>0</v>
      </c>
      <c r="FM43">
        <v>1</v>
      </c>
      <c r="FN43">
        <v>0</v>
      </c>
      <c r="FO43">
        <v>0</v>
      </c>
      <c r="FP43">
        <v>0</v>
      </c>
      <c r="FQ43">
        <v>0</v>
      </c>
      <c r="FR43">
        <v>1</v>
      </c>
      <c r="FS43">
        <v>0</v>
      </c>
      <c r="FT43">
        <v>0</v>
      </c>
      <c r="FU43">
        <v>1</v>
      </c>
      <c r="FV43">
        <v>0</v>
      </c>
      <c r="FW43">
        <v>0</v>
      </c>
      <c r="FX43">
        <v>0</v>
      </c>
      <c r="FY43">
        <v>0</v>
      </c>
      <c r="FZ43">
        <v>0</v>
      </c>
      <c r="GA43">
        <v>0</v>
      </c>
      <c r="GB43">
        <v>0</v>
      </c>
      <c r="GC43">
        <v>1</v>
      </c>
      <c r="GD43">
        <v>0</v>
      </c>
      <c r="GE43">
        <v>1</v>
      </c>
      <c r="GF43">
        <v>0</v>
      </c>
      <c r="GG43">
        <v>0</v>
      </c>
      <c r="GH43">
        <v>0</v>
      </c>
      <c r="GI43">
        <v>0</v>
      </c>
      <c r="GJ43" s="6">
        <f t="shared" si="26"/>
        <v>17</v>
      </c>
      <c r="GK43">
        <v>2</v>
      </c>
      <c r="GL43" s="1">
        <v>45488.625</v>
      </c>
      <c r="GM43">
        <v>0</v>
      </c>
      <c r="GQ43" s="5"/>
      <c r="GV43" s="5"/>
      <c r="HA43" s="5"/>
      <c r="HF43" s="5"/>
      <c r="HI43" s="6"/>
      <c r="HJ43" s="6"/>
      <c r="HK43" s="6"/>
      <c r="HL43">
        <v>2</v>
      </c>
      <c r="HM43" s="1">
        <v>45488.625</v>
      </c>
      <c r="HN43">
        <v>6</v>
      </c>
      <c r="HO43">
        <v>2</v>
      </c>
      <c r="HP43">
        <v>1</v>
      </c>
      <c r="HQ43">
        <v>2</v>
      </c>
      <c r="HR43" s="1">
        <v>45496.63958333333</v>
      </c>
      <c r="HS43">
        <v>0</v>
      </c>
      <c r="HT43">
        <v>0</v>
      </c>
      <c r="HU43">
        <v>1</v>
      </c>
      <c r="HV43">
        <v>0</v>
      </c>
      <c r="HW43">
        <v>2</v>
      </c>
      <c r="HX43">
        <v>0</v>
      </c>
      <c r="HY43">
        <v>0</v>
      </c>
      <c r="HZ43">
        <v>1</v>
      </c>
      <c r="IA43">
        <v>0</v>
      </c>
      <c r="IB43">
        <v>0</v>
      </c>
      <c r="IC43">
        <v>1</v>
      </c>
      <c r="ID43">
        <v>0</v>
      </c>
      <c r="IE43">
        <v>1</v>
      </c>
      <c r="IF43">
        <v>0</v>
      </c>
      <c r="IG43">
        <v>0</v>
      </c>
      <c r="IH43">
        <v>0</v>
      </c>
      <c r="II43">
        <v>1</v>
      </c>
      <c r="IJ43">
        <v>0</v>
      </c>
      <c r="IK43">
        <v>0</v>
      </c>
      <c r="IL43">
        <v>1</v>
      </c>
      <c r="IM43">
        <v>0</v>
      </c>
      <c r="IN43" s="6">
        <f t="shared" si="31"/>
        <v>8</v>
      </c>
      <c r="IO43">
        <v>2</v>
      </c>
      <c r="IP43" s="1">
        <v>45496.640277777777</v>
      </c>
      <c r="IQ43">
        <v>0</v>
      </c>
      <c r="IR43">
        <v>0</v>
      </c>
      <c r="IS43">
        <v>0</v>
      </c>
      <c r="IT43">
        <v>0</v>
      </c>
      <c r="IU43">
        <v>0</v>
      </c>
      <c r="IV43">
        <v>0</v>
      </c>
      <c r="IW43">
        <v>0</v>
      </c>
      <c r="IX43">
        <v>0</v>
      </c>
      <c r="IY43">
        <v>0</v>
      </c>
      <c r="IZ43">
        <v>0</v>
      </c>
      <c r="JA43">
        <v>0</v>
      </c>
      <c r="JB43">
        <v>0</v>
      </c>
      <c r="JC43">
        <v>0</v>
      </c>
      <c r="JD43">
        <v>0</v>
      </c>
      <c r="JE43">
        <v>0</v>
      </c>
      <c r="JF43">
        <v>0</v>
      </c>
      <c r="JG43">
        <v>0</v>
      </c>
      <c r="JH43">
        <v>0</v>
      </c>
      <c r="JI43">
        <v>0</v>
      </c>
      <c r="JJ43">
        <v>1</v>
      </c>
      <c r="JT43" s="6">
        <f t="shared" si="32"/>
        <v>0</v>
      </c>
      <c r="JU43" s="6"/>
      <c r="JV43" s="6"/>
      <c r="JW43" s="6"/>
      <c r="JX43">
        <v>2</v>
      </c>
      <c r="JY43" s="1">
        <v>45496.640972222223</v>
      </c>
      <c r="JZ43">
        <v>0</v>
      </c>
      <c r="KA43">
        <v>0</v>
      </c>
      <c r="KB43">
        <v>0</v>
      </c>
      <c r="KC43" s="6">
        <f t="shared" si="35"/>
        <v>0</v>
      </c>
      <c r="KD43">
        <v>2</v>
      </c>
      <c r="KE43" s="1">
        <v>45496.640972222223</v>
      </c>
      <c r="KF43">
        <v>48.5</v>
      </c>
      <c r="KG43">
        <v>2.2000000000000002</v>
      </c>
      <c r="KP43">
        <v>2</v>
      </c>
      <c r="KQ43">
        <v>47.9</v>
      </c>
      <c r="KR43">
        <v>4</v>
      </c>
      <c r="KS43">
        <v>1</v>
      </c>
      <c r="UH43">
        <v>2</v>
      </c>
      <c r="UI43">
        <v>49.2</v>
      </c>
      <c r="UJ43">
        <v>2.5</v>
      </c>
      <c r="UK43">
        <v>3</v>
      </c>
      <c r="WX43">
        <v>2</v>
      </c>
      <c r="WY43">
        <v>48.5</v>
      </c>
      <c r="WZ43">
        <v>2.2000000000000002</v>
      </c>
      <c r="XA43">
        <v>4</v>
      </c>
      <c r="XN43" s="6">
        <v>2</v>
      </c>
      <c r="XO43" s="6">
        <v>49.2</v>
      </c>
      <c r="XP43" s="6">
        <v>3</v>
      </c>
      <c r="XQ43" s="6">
        <v>2</v>
      </c>
      <c r="YX43" s="6">
        <v>2</v>
      </c>
      <c r="YY43" s="6">
        <v>49.2</v>
      </c>
      <c r="YZ43" s="6">
        <v>3</v>
      </c>
      <c r="ZA43" s="6">
        <v>2</v>
      </c>
      <c r="ZB43">
        <v>2</v>
      </c>
      <c r="ZC43" s="1">
        <v>45116.661111111112</v>
      </c>
      <c r="ZD43">
        <v>5</v>
      </c>
      <c r="ZE43">
        <v>2</v>
      </c>
      <c r="ZF43">
        <v>4</v>
      </c>
      <c r="ZG43">
        <v>1</v>
      </c>
      <c r="ZH43">
        <v>2</v>
      </c>
      <c r="ZI43">
        <v>1</v>
      </c>
      <c r="ZJ43">
        <v>1</v>
      </c>
      <c r="ZK43">
        <v>1</v>
      </c>
      <c r="ZL43">
        <v>4</v>
      </c>
      <c r="ZM43">
        <v>4</v>
      </c>
      <c r="ZN43">
        <v>1</v>
      </c>
      <c r="ZO43">
        <v>3</v>
      </c>
      <c r="ZP43">
        <v>1</v>
      </c>
      <c r="ZQ43">
        <v>3</v>
      </c>
      <c r="ZR43">
        <v>2</v>
      </c>
      <c r="ZS43">
        <v>5</v>
      </c>
      <c r="ZT43">
        <v>4</v>
      </c>
      <c r="ZU43">
        <v>1</v>
      </c>
      <c r="ZV43">
        <v>4</v>
      </c>
      <c r="ZW43">
        <v>1</v>
      </c>
      <c r="ZX43" s="6">
        <f t="shared" si="36"/>
        <v>38</v>
      </c>
      <c r="ZY43" s="6">
        <f t="shared" si="37"/>
        <v>12</v>
      </c>
      <c r="ZZ43">
        <v>2</v>
      </c>
      <c r="AAA43" s="1">
        <v>45496.643055555556</v>
      </c>
      <c r="AAB43">
        <v>0</v>
      </c>
      <c r="AAC43">
        <v>0</v>
      </c>
      <c r="AAD43">
        <v>0</v>
      </c>
      <c r="AAE43">
        <v>0</v>
      </c>
      <c r="AAF43">
        <v>0</v>
      </c>
      <c r="AAG43">
        <v>0</v>
      </c>
      <c r="AAH43">
        <v>0</v>
      </c>
      <c r="AAI43">
        <v>0</v>
      </c>
      <c r="AAJ43">
        <v>0</v>
      </c>
      <c r="AAK43">
        <v>0</v>
      </c>
      <c r="AAL43">
        <v>0</v>
      </c>
      <c r="AAM43">
        <v>0</v>
      </c>
      <c r="AAN43">
        <v>0</v>
      </c>
      <c r="AAO43">
        <v>0</v>
      </c>
      <c r="AAP43">
        <v>0</v>
      </c>
      <c r="AAQ43">
        <v>0</v>
      </c>
      <c r="AAR43">
        <v>0</v>
      </c>
      <c r="AAS43">
        <v>0</v>
      </c>
      <c r="AAT43" s="6">
        <f t="shared" si="38"/>
        <v>0</v>
      </c>
      <c r="AAU43" s="6">
        <f t="shared" si="39"/>
        <v>0</v>
      </c>
      <c r="AAV43" s="6">
        <f t="shared" si="40"/>
        <v>0</v>
      </c>
      <c r="AAW43" s="6">
        <f t="shared" si="41"/>
        <v>0</v>
      </c>
      <c r="AAX43">
        <v>2</v>
      </c>
      <c r="AAY43" s="1">
        <v>45496.643055555556</v>
      </c>
      <c r="AAZ43">
        <v>0</v>
      </c>
      <c r="ABO43" s="6"/>
      <c r="ABP43" s="6"/>
      <c r="ABQ43">
        <v>2</v>
      </c>
      <c r="ABR43" s="1">
        <v>45496.643750000003</v>
      </c>
      <c r="ABS43">
        <v>1</v>
      </c>
      <c r="ABT43">
        <v>0</v>
      </c>
      <c r="ABU43">
        <v>1</v>
      </c>
      <c r="ABV43">
        <v>3</v>
      </c>
      <c r="ABW43">
        <v>1</v>
      </c>
      <c r="ABX43">
        <v>0</v>
      </c>
      <c r="ABY43">
        <v>0</v>
      </c>
      <c r="ABZ43">
        <v>3</v>
      </c>
      <c r="ACA43">
        <v>0</v>
      </c>
      <c r="ACB43">
        <v>3</v>
      </c>
      <c r="ACC43">
        <v>0</v>
      </c>
      <c r="ACD43">
        <v>0</v>
      </c>
      <c r="ACE43">
        <v>0</v>
      </c>
      <c r="ACF43">
        <v>0</v>
      </c>
      <c r="ACG43">
        <v>0</v>
      </c>
      <c r="ACH43">
        <v>0</v>
      </c>
      <c r="ACI43">
        <v>0</v>
      </c>
      <c r="ACJ43">
        <v>0</v>
      </c>
      <c r="ACK43">
        <v>1</v>
      </c>
      <c r="ACL43">
        <v>0</v>
      </c>
      <c r="ACM43">
        <v>0</v>
      </c>
      <c r="ACN43">
        <v>1</v>
      </c>
      <c r="ACO43">
        <v>0</v>
      </c>
      <c r="ACP43">
        <v>0</v>
      </c>
      <c r="ACQ43">
        <v>0</v>
      </c>
      <c r="ACR43">
        <v>3</v>
      </c>
      <c r="ACS43">
        <v>3</v>
      </c>
      <c r="ACT43">
        <v>0</v>
      </c>
      <c r="ACU43">
        <v>1</v>
      </c>
      <c r="ACV43">
        <v>0</v>
      </c>
      <c r="ACW43" s="6">
        <f t="shared" si="44"/>
        <v>1</v>
      </c>
      <c r="ACX43" s="6">
        <f t="shared" si="45"/>
        <v>0</v>
      </c>
      <c r="ACY43" s="6">
        <f t="shared" si="46"/>
        <v>0</v>
      </c>
      <c r="ACZ43" s="6">
        <f t="shared" si="47"/>
        <v>3</v>
      </c>
      <c r="ADA43" s="6">
        <f t="shared" si="48"/>
        <v>5</v>
      </c>
      <c r="ADB43" s="6">
        <f t="shared" si="49"/>
        <v>12</v>
      </c>
      <c r="ADC43" s="6">
        <f t="shared" si="50"/>
        <v>-3</v>
      </c>
      <c r="ADD43">
        <v>2</v>
      </c>
      <c r="ADE43" s="1">
        <v>45496.645138888889</v>
      </c>
      <c r="ADF43" s="5">
        <v>3</v>
      </c>
      <c r="ADG43">
        <f t="shared" si="51"/>
        <v>2</v>
      </c>
      <c r="ADH43" s="5">
        <v>3</v>
      </c>
      <c r="ADI43">
        <f t="shared" si="52"/>
        <v>2</v>
      </c>
      <c r="ADJ43">
        <v>2</v>
      </c>
      <c r="ADK43">
        <v>1</v>
      </c>
      <c r="ADL43" s="5">
        <v>4</v>
      </c>
      <c r="ADM43">
        <f t="shared" si="3"/>
        <v>1</v>
      </c>
      <c r="ADN43">
        <v>1</v>
      </c>
      <c r="ADO43">
        <v>1</v>
      </c>
      <c r="ADP43" s="5">
        <v>3</v>
      </c>
      <c r="ADQ43">
        <f t="shared" si="4"/>
        <v>2</v>
      </c>
      <c r="ADR43">
        <v>1</v>
      </c>
      <c r="ADS43" s="5">
        <v>3</v>
      </c>
      <c r="ADT43">
        <f t="shared" si="5"/>
        <v>2</v>
      </c>
      <c r="ADU43" s="5">
        <v>4</v>
      </c>
      <c r="ADV43">
        <f t="shared" ref="ADV43" si="158">INDEX($AD$48:$AE$51, MATCH(ADU43, $AD$48:$AD$51, 0), 2)</f>
        <v>1</v>
      </c>
      <c r="ADW43">
        <v>1</v>
      </c>
      <c r="ADX43">
        <v>1</v>
      </c>
      <c r="ADY43">
        <v>1</v>
      </c>
      <c r="ADZ43" s="5">
        <v>3</v>
      </c>
      <c r="AEA43">
        <f t="shared" si="6"/>
        <v>2</v>
      </c>
      <c r="AEB43" s="5">
        <v>3</v>
      </c>
      <c r="AEC43">
        <f t="shared" ref="AEC43" si="159">INDEX($AD$48:$AE$51, MATCH(AEB43, $AD$48:$AD$51, 0), 2)</f>
        <v>2</v>
      </c>
      <c r="AED43">
        <v>1</v>
      </c>
      <c r="AEE43">
        <v>1</v>
      </c>
      <c r="AEF43" s="5">
        <v>3</v>
      </c>
      <c r="AEG43">
        <f t="shared" si="7"/>
        <v>2</v>
      </c>
      <c r="AEH43" s="5">
        <v>4</v>
      </c>
      <c r="AEI43">
        <f t="shared" si="8"/>
        <v>1</v>
      </c>
      <c r="AEJ43" s="6">
        <f t="shared" si="55"/>
        <v>30</v>
      </c>
      <c r="AEK43">
        <v>2</v>
      </c>
      <c r="AEL43" s="1">
        <v>45496.645138888889</v>
      </c>
      <c r="AEM43">
        <v>0</v>
      </c>
      <c r="AER43">
        <v>0</v>
      </c>
      <c r="AES43">
        <v>0</v>
      </c>
      <c r="AET43">
        <v>0</v>
      </c>
      <c r="AEU43">
        <v>0</v>
      </c>
      <c r="AEV43">
        <v>0</v>
      </c>
      <c r="AEX43">
        <v>2</v>
      </c>
    </row>
    <row r="44" spans="1:830">
      <c r="A44">
        <v>134</v>
      </c>
      <c r="B44" t="s">
        <v>1179</v>
      </c>
      <c r="C44">
        <v>2</v>
      </c>
      <c r="D44">
        <v>2</v>
      </c>
      <c r="E44">
        <v>50</v>
      </c>
      <c r="F44">
        <v>64</v>
      </c>
      <c r="G44">
        <v>128</v>
      </c>
      <c r="H44">
        <v>0</v>
      </c>
      <c r="I44">
        <v>2</v>
      </c>
      <c r="K44" t="s">
        <v>273</v>
      </c>
      <c r="L44">
        <v>2</v>
      </c>
      <c r="M44" s="1">
        <v>45488.402777777781</v>
      </c>
      <c r="N44">
        <v>10</v>
      </c>
      <c r="O44">
        <v>0</v>
      </c>
      <c r="Q44">
        <v>0</v>
      </c>
      <c r="R44">
        <v>1</v>
      </c>
      <c r="S44">
        <v>0</v>
      </c>
      <c r="T44">
        <v>0</v>
      </c>
      <c r="U44">
        <v>0</v>
      </c>
      <c r="V44">
        <v>0</v>
      </c>
      <c r="W44">
        <v>0</v>
      </c>
      <c r="X44">
        <v>0</v>
      </c>
      <c r="Y44">
        <v>0</v>
      </c>
      <c r="Z44">
        <v>0</v>
      </c>
      <c r="AA44">
        <v>0</v>
      </c>
      <c r="AB44" t="s">
        <v>208</v>
      </c>
      <c r="AC44">
        <v>2</v>
      </c>
      <c r="AD44" s="1">
        <v>45488.405555555553</v>
      </c>
      <c r="AE44" s="5">
        <v>3</v>
      </c>
      <c r="AF44">
        <f t="shared" si="9"/>
        <v>2</v>
      </c>
      <c r="AG44">
        <v>2</v>
      </c>
      <c r="AH44" s="5">
        <v>3</v>
      </c>
      <c r="AI44">
        <f t="shared" si="10"/>
        <v>2</v>
      </c>
      <c r="AJ44">
        <v>2</v>
      </c>
      <c r="AK44">
        <v>2</v>
      </c>
      <c r="AL44" s="5">
        <v>3</v>
      </c>
      <c r="AM44">
        <f t="shared" si="11"/>
        <v>2</v>
      </c>
      <c r="AN44" s="5">
        <v>3</v>
      </c>
      <c r="AO44">
        <f t="shared" si="12"/>
        <v>2</v>
      </c>
      <c r="AP44">
        <v>2</v>
      </c>
      <c r="AQ44">
        <v>2</v>
      </c>
      <c r="AR44" s="5">
        <v>3</v>
      </c>
      <c r="AS44">
        <f t="shared" si="13"/>
        <v>2</v>
      </c>
      <c r="AT44">
        <v>2</v>
      </c>
      <c r="AU44">
        <v>2</v>
      </c>
      <c r="AV44" s="5">
        <v>3</v>
      </c>
      <c r="AW44">
        <f t="shared" si="14"/>
        <v>2</v>
      </c>
      <c r="AX44" s="5">
        <v>3</v>
      </c>
      <c r="AY44">
        <f t="shared" si="15"/>
        <v>2</v>
      </c>
      <c r="AZ44">
        <v>2</v>
      </c>
      <c r="BA44" s="5">
        <v>3</v>
      </c>
      <c r="BB44">
        <f t="shared" si="16"/>
        <v>2</v>
      </c>
      <c r="BC44">
        <v>2</v>
      </c>
      <c r="BD44">
        <v>2</v>
      </c>
      <c r="BE44" s="5">
        <v>3</v>
      </c>
      <c r="BF44">
        <f t="shared" si="17"/>
        <v>2</v>
      </c>
      <c r="BG44">
        <v>1</v>
      </c>
      <c r="BH44" s="6">
        <f t="shared" si="18"/>
        <v>39</v>
      </c>
      <c r="BI44">
        <v>2</v>
      </c>
      <c r="BJ44" s="1">
        <v>45488.413888888892</v>
      </c>
      <c r="BK44">
        <v>13</v>
      </c>
      <c r="BL44">
        <v>3</v>
      </c>
      <c r="BM44">
        <v>2</v>
      </c>
      <c r="BQ44" s="2">
        <v>45461</v>
      </c>
      <c r="BU44" t="s">
        <v>274</v>
      </c>
      <c r="BV44" t="s">
        <v>275</v>
      </c>
      <c r="BW44">
        <v>1</v>
      </c>
      <c r="BX44">
        <v>2</v>
      </c>
      <c r="BY44" s="1">
        <v>45488.419444444444</v>
      </c>
      <c r="BZ44">
        <v>3</v>
      </c>
      <c r="CA44">
        <v>3</v>
      </c>
      <c r="CB44">
        <v>3</v>
      </c>
      <c r="CC44">
        <v>4</v>
      </c>
      <c r="CD44">
        <v>3</v>
      </c>
      <c r="CE44">
        <v>3</v>
      </c>
      <c r="CF44">
        <v>3</v>
      </c>
      <c r="CG44">
        <v>3</v>
      </c>
      <c r="CH44">
        <v>3</v>
      </c>
      <c r="CI44">
        <v>3</v>
      </c>
      <c r="CJ44">
        <v>2</v>
      </c>
      <c r="CK44">
        <v>3</v>
      </c>
      <c r="CL44" s="5">
        <v>2</v>
      </c>
      <c r="CM44">
        <f t="shared" si="19"/>
        <v>3</v>
      </c>
      <c r="CN44">
        <v>3</v>
      </c>
      <c r="CO44">
        <v>3</v>
      </c>
      <c r="CP44">
        <v>2</v>
      </c>
      <c r="CQ44">
        <v>2</v>
      </c>
      <c r="CR44" s="5">
        <v>2</v>
      </c>
      <c r="CS44">
        <f t="shared" si="20"/>
        <v>3</v>
      </c>
      <c r="CT44">
        <v>3</v>
      </c>
      <c r="CU44">
        <v>3</v>
      </c>
      <c r="CV44" s="6">
        <f t="shared" si="21"/>
        <v>11</v>
      </c>
      <c r="CW44" s="6">
        <f t="shared" si="22"/>
        <v>10</v>
      </c>
      <c r="CX44" s="6">
        <f t="shared" si="23"/>
        <v>15</v>
      </c>
      <c r="CY44" s="6">
        <f t="shared" si="24"/>
        <v>36</v>
      </c>
      <c r="CZ44" s="6">
        <f t="shared" si="25"/>
        <v>22</v>
      </c>
      <c r="DA44">
        <v>2</v>
      </c>
      <c r="DB44" s="1">
        <v>45488.423611111109</v>
      </c>
      <c r="DC44">
        <v>0</v>
      </c>
      <c r="DD44">
        <v>0</v>
      </c>
      <c r="DE44">
        <v>0</v>
      </c>
      <c r="DF44">
        <v>1</v>
      </c>
      <c r="DG44">
        <v>0</v>
      </c>
      <c r="DH44">
        <v>0</v>
      </c>
      <c r="DI44">
        <v>0</v>
      </c>
      <c r="DJ44">
        <v>0</v>
      </c>
      <c r="DK44">
        <v>1</v>
      </c>
      <c r="DL44">
        <v>0</v>
      </c>
      <c r="DM44">
        <v>0</v>
      </c>
      <c r="DN44">
        <v>0</v>
      </c>
      <c r="DO44">
        <v>1</v>
      </c>
      <c r="DP44">
        <v>0</v>
      </c>
      <c r="DQ44">
        <v>0</v>
      </c>
      <c r="DR44">
        <v>0</v>
      </c>
      <c r="DS44">
        <v>0</v>
      </c>
      <c r="DT44">
        <v>1</v>
      </c>
      <c r="DU44">
        <v>0</v>
      </c>
      <c r="DV44">
        <v>0</v>
      </c>
      <c r="DW44">
        <v>0</v>
      </c>
      <c r="DX44">
        <v>0</v>
      </c>
      <c r="DY44">
        <v>0</v>
      </c>
      <c r="DZ44">
        <v>1</v>
      </c>
      <c r="EA44">
        <v>0</v>
      </c>
      <c r="EB44">
        <v>0</v>
      </c>
      <c r="EC44">
        <v>0</v>
      </c>
      <c r="ED44">
        <v>0</v>
      </c>
      <c r="EE44">
        <v>0</v>
      </c>
      <c r="EF44">
        <v>1</v>
      </c>
      <c r="EG44">
        <v>0</v>
      </c>
      <c r="EH44">
        <v>0</v>
      </c>
      <c r="EI44">
        <v>0</v>
      </c>
      <c r="EJ44">
        <v>0</v>
      </c>
      <c r="EK44">
        <v>1</v>
      </c>
      <c r="EL44">
        <v>0</v>
      </c>
      <c r="EM44">
        <v>0</v>
      </c>
      <c r="EN44">
        <v>0</v>
      </c>
      <c r="EO44">
        <v>0</v>
      </c>
      <c r="EP44">
        <v>1</v>
      </c>
      <c r="EQ44">
        <v>0</v>
      </c>
      <c r="ER44">
        <v>0</v>
      </c>
      <c r="ES44">
        <v>0</v>
      </c>
      <c r="ET44">
        <v>0</v>
      </c>
      <c r="EU44">
        <v>1</v>
      </c>
      <c r="EV44">
        <v>0</v>
      </c>
      <c r="EW44">
        <v>0</v>
      </c>
      <c r="EX44">
        <v>0</v>
      </c>
      <c r="EY44">
        <v>0</v>
      </c>
      <c r="EZ44">
        <v>1</v>
      </c>
      <c r="FA44">
        <v>0</v>
      </c>
      <c r="FB44">
        <v>0</v>
      </c>
      <c r="FC44">
        <v>0</v>
      </c>
      <c r="FD44">
        <v>0</v>
      </c>
      <c r="FE44">
        <v>1</v>
      </c>
      <c r="FF44">
        <v>0</v>
      </c>
      <c r="FG44">
        <v>1</v>
      </c>
      <c r="FH44">
        <v>0</v>
      </c>
      <c r="FI44">
        <v>0</v>
      </c>
      <c r="FJ44">
        <v>0</v>
      </c>
      <c r="FK44">
        <v>0</v>
      </c>
      <c r="FL44">
        <v>0</v>
      </c>
      <c r="FM44">
        <v>0</v>
      </c>
      <c r="FN44">
        <v>1</v>
      </c>
      <c r="FO44">
        <v>0</v>
      </c>
      <c r="FP44">
        <v>0</v>
      </c>
      <c r="FQ44">
        <v>0</v>
      </c>
      <c r="FR44">
        <v>0</v>
      </c>
      <c r="FS44">
        <v>1</v>
      </c>
      <c r="FT44">
        <v>0</v>
      </c>
      <c r="FU44">
        <v>0</v>
      </c>
      <c r="FV44">
        <v>0</v>
      </c>
      <c r="FW44">
        <v>0</v>
      </c>
      <c r="FX44">
        <v>1</v>
      </c>
      <c r="FY44">
        <v>0</v>
      </c>
      <c r="FZ44">
        <v>0</v>
      </c>
      <c r="GA44">
        <v>0</v>
      </c>
      <c r="GB44">
        <v>0</v>
      </c>
      <c r="GC44">
        <v>0</v>
      </c>
      <c r="GD44">
        <v>1</v>
      </c>
      <c r="GE44">
        <v>1</v>
      </c>
      <c r="GF44">
        <v>0</v>
      </c>
      <c r="GG44">
        <v>0</v>
      </c>
      <c r="GH44">
        <v>0</v>
      </c>
      <c r="GI44">
        <v>0</v>
      </c>
      <c r="GJ44" s="6">
        <f t="shared" si="26"/>
        <v>17</v>
      </c>
      <c r="GK44">
        <v>2</v>
      </c>
      <c r="GL44" s="1">
        <v>45488.423611111109</v>
      </c>
      <c r="GM44">
        <v>0</v>
      </c>
      <c r="GQ44" s="5"/>
      <c r="GV44" s="5"/>
      <c r="HA44" s="5"/>
      <c r="HF44" s="5"/>
      <c r="HI44" s="6"/>
      <c r="HJ44" s="6"/>
      <c r="HK44" s="6"/>
      <c r="HL44">
        <v>2</v>
      </c>
      <c r="HM44" s="1">
        <v>45488.424305555556</v>
      </c>
      <c r="HN44">
        <v>8</v>
      </c>
      <c r="HO44">
        <v>12</v>
      </c>
      <c r="HP44">
        <v>8</v>
      </c>
      <c r="HQ44">
        <v>2</v>
      </c>
      <c r="HR44" s="1">
        <v>45502.684027777781</v>
      </c>
      <c r="HS44">
        <v>0</v>
      </c>
      <c r="HT44">
        <v>1</v>
      </c>
      <c r="HU44">
        <v>0</v>
      </c>
      <c r="HV44">
        <v>1</v>
      </c>
      <c r="HW44">
        <v>0</v>
      </c>
      <c r="HX44">
        <v>0</v>
      </c>
      <c r="HY44">
        <v>1</v>
      </c>
      <c r="HZ44">
        <v>0</v>
      </c>
      <c r="IA44">
        <v>0</v>
      </c>
      <c r="IB44">
        <v>0</v>
      </c>
      <c r="IC44">
        <v>0</v>
      </c>
      <c r="ID44">
        <v>1</v>
      </c>
      <c r="IE44">
        <v>0</v>
      </c>
      <c r="IF44">
        <v>0</v>
      </c>
      <c r="IG44">
        <v>1</v>
      </c>
      <c r="IH44">
        <v>1</v>
      </c>
      <c r="II44">
        <v>1</v>
      </c>
      <c r="IJ44">
        <v>0</v>
      </c>
      <c r="IK44">
        <v>0</v>
      </c>
      <c r="IL44">
        <v>1</v>
      </c>
      <c r="IM44">
        <v>0</v>
      </c>
      <c r="IN44" s="6">
        <f t="shared" si="31"/>
        <v>8</v>
      </c>
      <c r="IO44">
        <v>2</v>
      </c>
      <c r="IP44" s="1">
        <v>45502.68472222222</v>
      </c>
      <c r="IQ44">
        <v>0</v>
      </c>
      <c r="IR44">
        <v>0</v>
      </c>
      <c r="IS44">
        <v>0</v>
      </c>
      <c r="IT44">
        <v>0</v>
      </c>
      <c r="IU44">
        <v>0</v>
      </c>
      <c r="IV44">
        <v>0</v>
      </c>
      <c r="IW44">
        <v>0</v>
      </c>
      <c r="IX44">
        <v>0</v>
      </c>
      <c r="IY44">
        <v>0</v>
      </c>
      <c r="IZ44">
        <v>0</v>
      </c>
      <c r="JA44">
        <v>0</v>
      </c>
      <c r="JB44">
        <v>0</v>
      </c>
      <c r="JC44">
        <v>0</v>
      </c>
      <c r="JD44">
        <v>0</v>
      </c>
      <c r="JE44">
        <v>0</v>
      </c>
      <c r="JF44">
        <v>0</v>
      </c>
      <c r="JG44">
        <v>0</v>
      </c>
      <c r="JH44">
        <v>0</v>
      </c>
      <c r="JI44">
        <v>0</v>
      </c>
      <c r="JJ44">
        <v>1</v>
      </c>
      <c r="JT44" s="6">
        <f t="shared" si="32"/>
        <v>0</v>
      </c>
      <c r="JU44" s="6"/>
      <c r="JV44" s="6"/>
      <c r="JW44" s="6"/>
      <c r="JX44">
        <v>2</v>
      </c>
      <c r="JY44" s="1">
        <v>45502.685416666667</v>
      </c>
      <c r="JZ44">
        <v>0</v>
      </c>
      <c r="KA44">
        <v>0</v>
      </c>
      <c r="KB44">
        <v>0</v>
      </c>
      <c r="KC44" s="6">
        <f t="shared" si="35"/>
        <v>0</v>
      </c>
      <c r="KD44">
        <v>2</v>
      </c>
      <c r="KE44" s="1">
        <v>45502.686111111114</v>
      </c>
      <c r="KF44">
        <v>45</v>
      </c>
      <c r="KG44">
        <v>2.5</v>
      </c>
      <c r="KP44">
        <v>1</v>
      </c>
      <c r="KQ44">
        <v>38.700000000000003</v>
      </c>
      <c r="KR44">
        <v>5.9</v>
      </c>
      <c r="KS44">
        <v>1</v>
      </c>
      <c r="UT44">
        <v>2</v>
      </c>
      <c r="UU44">
        <v>43.4</v>
      </c>
      <c r="UV44">
        <v>2.9</v>
      </c>
      <c r="UW44">
        <v>3</v>
      </c>
      <c r="UX44">
        <v>2</v>
      </c>
      <c r="UY44">
        <v>45</v>
      </c>
      <c r="UZ44">
        <v>2.5</v>
      </c>
      <c r="VA44">
        <v>4</v>
      </c>
      <c r="WX44" s="6">
        <v>2</v>
      </c>
      <c r="WY44" s="6">
        <v>41.9</v>
      </c>
      <c r="WZ44" s="6">
        <v>3.6</v>
      </c>
      <c r="XA44" s="6">
        <v>2</v>
      </c>
      <c r="YX44" s="6">
        <v>2</v>
      </c>
      <c r="YY44" s="6">
        <v>41.9</v>
      </c>
      <c r="YZ44" s="6">
        <v>3.6</v>
      </c>
      <c r="ZA44" s="6">
        <v>2</v>
      </c>
      <c r="ZB44">
        <v>2</v>
      </c>
      <c r="ZC44" s="1">
        <v>45117.661111111112</v>
      </c>
      <c r="ZD44">
        <v>4</v>
      </c>
      <c r="ZE44">
        <v>1</v>
      </c>
      <c r="ZF44">
        <v>4</v>
      </c>
      <c r="ZG44">
        <v>1</v>
      </c>
      <c r="ZH44">
        <v>4</v>
      </c>
      <c r="ZI44">
        <v>1</v>
      </c>
      <c r="ZJ44">
        <v>1</v>
      </c>
      <c r="ZK44">
        <v>1</v>
      </c>
      <c r="ZL44">
        <v>4</v>
      </c>
      <c r="ZM44">
        <v>4</v>
      </c>
      <c r="ZN44">
        <v>2</v>
      </c>
      <c r="ZO44">
        <v>1</v>
      </c>
      <c r="ZP44">
        <v>1</v>
      </c>
      <c r="ZQ44">
        <v>4</v>
      </c>
      <c r="ZR44">
        <v>1</v>
      </c>
      <c r="ZS44">
        <v>3</v>
      </c>
      <c r="ZT44">
        <v>4</v>
      </c>
      <c r="ZU44">
        <v>1</v>
      </c>
      <c r="ZV44">
        <v>4</v>
      </c>
      <c r="ZW44">
        <v>1</v>
      </c>
      <c r="ZX44" s="6">
        <f t="shared" si="36"/>
        <v>36</v>
      </c>
      <c r="ZY44" s="6">
        <f t="shared" si="37"/>
        <v>11</v>
      </c>
      <c r="ZZ44">
        <v>2</v>
      </c>
      <c r="AAA44" s="1">
        <v>45502.689583333333</v>
      </c>
      <c r="AAB44">
        <v>0</v>
      </c>
      <c r="AAC44">
        <v>0</v>
      </c>
      <c r="AAD44">
        <v>1</v>
      </c>
      <c r="AAE44">
        <v>0</v>
      </c>
      <c r="AAF44">
        <v>0</v>
      </c>
      <c r="AAG44">
        <v>1</v>
      </c>
      <c r="AAH44">
        <v>0</v>
      </c>
      <c r="AAI44">
        <v>0</v>
      </c>
      <c r="AAJ44">
        <v>0</v>
      </c>
      <c r="AAK44">
        <v>0</v>
      </c>
      <c r="AAL44">
        <v>0</v>
      </c>
      <c r="AAM44">
        <v>0</v>
      </c>
      <c r="AAN44">
        <v>0</v>
      </c>
      <c r="AAO44">
        <v>0</v>
      </c>
      <c r="AAP44">
        <v>0</v>
      </c>
      <c r="AAQ44">
        <v>1</v>
      </c>
      <c r="AAR44">
        <v>0</v>
      </c>
      <c r="AAS44">
        <v>0</v>
      </c>
      <c r="AAT44" s="6">
        <f t="shared" si="38"/>
        <v>1</v>
      </c>
      <c r="AAU44" s="6">
        <f t="shared" si="39"/>
        <v>0</v>
      </c>
      <c r="AAV44" s="6">
        <f t="shared" si="40"/>
        <v>2</v>
      </c>
      <c r="AAW44" s="6">
        <f t="shared" si="41"/>
        <v>3</v>
      </c>
      <c r="AAX44">
        <v>2</v>
      </c>
      <c r="AAY44" s="1">
        <v>45502.689583333333</v>
      </c>
      <c r="AAZ44">
        <v>0</v>
      </c>
      <c r="ABO44" s="6"/>
      <c r="ABP44" s="6"/>
      <c r="ABQ44">
        <v>2</v>
      </c>
      <c r="ABR44" s="1">
        <v>45502.693055555559</v>
      </c>
      <c r="ABS44">
        <v>0</v>
      </c>
      <c r="ABT44">
        <v>0</v>
      </c>
      <c r="ABU44">
        <v>0</v>
      </c>
      <c r="ABV44">
        <v>3</v>
      </c>
      <c r="ABW44">
        <v>0</v>
      </c>
      <c r="ABX44">
        <v>0</v>
      </c>
      <c r="ABY44">
        <v>0</v>
      </c>
      <c r="ABZ44">
        <v>3</v>
      </c>
      <c r="ACA44">
        <v>0</v>
      </c>
      <c r="ACB44">
        <v>3</v>
      </c>
      <c r="ACC44">
        <v>0</v>
      </c>
      <c r="ACD44">
        <v>1</v>
      </c>
      <c r="ACE44">
        <v>1</v>
      </c>
      <c r="ACF44">
        <v>0</v>
      </c>
      <c r="ACG44">
        <v>0</v>
      </c>
      <c r="ACH44">
        <v>0</v>
      </c>
      <c r="ACI44">
        <v>0</v>
      </c>
      <c r="ACJ44">
        <v>0</v>
      </c>
      <c r="ACK44">
        <v>0</v>
      </c>
      <c r="ACL44">
        <v>0</v>
      </c>
      <c r="ACM44">
        <v>0</v>
      </c>
      <c r="ACN44">
        <v>1</v>
      </c>
      <c r="ACO44">
        <v>0</v>
      </c>
      <c r="ACP44">
        <v>0</v>
      </c>
      <c r="ACQ44">
        <v>0</v>
      </c>
      <c r="ACR44">
        <v>3</v>
      </c>
      <c r="ACS44">
        <v>3</v>
      </c>
      <c r="ACT44">
        <v>0</v>
      </c>
      <c r="ACU44">
        <v>0</v>
      </c>
      <c r="ACV44">
        <v>3</v>
      </c>
      <c r="ACW44" s="6">
        <f t="shared" si="44"/>
        <v>1</v>
      </c>
      <c r="ACX44" s="6">
        <f t="shared" si="45"/>
        <v>0</v>
      </c>
      <c r="ACY44" s="6">
        <f t="shared" si="46"/>
        <v>0</v>
      </c>
      <c r="ACZ44" s="6">
        <f t="shared" si="47"/>
        <v>2</v>
      </c>
      <c r="ADA44" s="6">
        <f t="shared" si="48"/>
        <v>3</v>
      </c>
      <c r="ADB44" s="6">
        <f t="shared" si="49"/>
        <v>15</v>
      </c>
      <c r="ADC44" s="6">
        <f t="shared" si="50"/>
        <v>-9</v>
      </c>
      <c r="ADD44">
        <v>2</v>
      </c>
      <c r="ADE44" s="1">
        <v>45502.695138888892</v>
      </c>
      <c r="ADF44" s="5">
        <v>4</v>
      </c>
      <c r="ADG44">
        <f t="shared" si="51"/>
        <v>1</v>
      </c>
      <c r="ADH44" s="5">
        <v>4</v>
      </c>
      <c r="ADI44">
        <f t="shared" si="52"/>
        <v>1</v>
      </c>
      <c r="ADJ44">
        <v>2</v>
      </c>
      <c r="ADK44">
        <v>1</v>
      </c>
      <c r="ADL44" s="5">
        <v>4</v>
      </c>
      <c r="ADM44">
        <f t="shared" si="3"/>
        <v>1</v>
      </c>
      <c r="ADN44">
        <v>1</v>
      </c>
      <c r="ADO44">
        <v>1</v>
      </c>
      <c r="ADP44" s="5">
        <v>4</v>
      </c>
      <c r="ADQ44">
        <f t="shared" si="4"/>
        <v>1</v>
      </c>
      <c r="ADR44">
        <v>1</v>
      </c>
      <c r="ADS44" s="5">
        <v>4</v>
      </c>
      <c r="ADT44">
        <f t="shared" si="5"/>
        <v>1</v>
      </c>
      <c r="ADU44" s="5">
        <v>3</v>
      </c>
      <c r="ADV44">
        <f t="shared" ref="ADV44" si="160">INDEX($AD$48:$AE$51, MATCH(ADU44, $AD$48:$AD$51, 0), 2)</f>
        <v>2</v>
      </c>
      <c r="ADW44">
        <v>1</v>
      </c>
      <c r="ADX44">
        <v>1</v>
      </c>
      <c r="ADY44">
        <v>1</v>
      </c>
      <c r="ADZ44" s="5">
        <v>4</v>
      </c>
      <c r="AEA44">
        <f t="shared" si="6"/>
        <v>1</v>
      </c>
      <c r="AEB44" s="5">
        <v>3</v>
      </c>
      <c r="AEC44">
        <f t="shared" ref="AEC44" si="161">INDEX($AD$48:$AE$51, MATCH(AEB44, $AD$48:$AD$51, 0), 2)</f>
        <v>2</v>
      </c>
      <c r="AED44">
        <v>2</v>
      </c>
      <c r="AEE44">
        <v>1</v>
      </c>
      <c r="AEF44" s="5">
        <v>4</v>
      </c>
      <c r="AEG44">
        <f t="shared" si="7"/>
        <v>1</v>
      </c>
      <c r="AEH44" s="5">
        <v>3</v>
      </c>
      <c r="AEI44">
        <f t="shared" si="8"/>
        <v>2</v>
      </c>
      <c r="AEJ44" s="6">
        <f t="shared" si="55"/>
        <v>26</v>
      </c>
      <c r="AEK44">
        <v>2</v>
      </c>
      <c r="AEL44" s="1">
        <v>45502.695138888892</v>
      </c>
      <c r="AEM44">
        <v>0</v>
      </c>
      <c r="AER44">
        <v>0</v>
      </c>
      <c r="AES44">
        <v>0</v>
      </c>
      <c r="AET44">
        <v>0</v>
      </c>
      <c r="AEU44">
        <v>0</v>
      </c>
      <c r="AEV44">
        <v>0</v>
      </c>
      <c r="AEX44">
        <v>2</v>
      </c>
    </row>
    <row r="45" spans="1:830">
      <c r="A45">
        <v>150</v>
      </c>
      <c r="B45" t="s">
        <v>1187</v>
      </c>
      <c r="C45">
        <v>2</v>
      </c>
      <c r="D45">
        <v>2</v>
      </c>
      <c r="E45">
        <v>41</v>
      </c>
      <c r="F45">
        <v>69</v>
      </c>
      <c r="G45">
        <v>185</v>
      </c>
      <c r="H45">
        <v>0</v>
      </c>
      <c r="I45">
        <v>5</v>
      </c>
      <c r="K45" t="s">
        <v>344</v>
      </c>
      <c r="L45">
        <v>2</v>
      </c>
      <c r="M45" s="1">
        <v>45514.697916666664</v>
      </c>
      <c r="N45">
        <v>9</v>
      </c>
      <c r="O45">
        <v>0</v>
      </c>
      <c r="Q45">
        <v>0</v>
      </c>
      <c r="R45">
        <v>1</v>
      </c>
      <c r="S45">
        <v>0</v>
      </c>
      <c r="T45">
        <v>0</v>
      </c>
      <c r="U45">
        <v>0</v>
      </c>
      <c r="V45">
        <v>0</v>
      </c>
      <c r="W45">
        <v>0</v>
      </c>
      <c r="X45">
        <v>0</v>
      </c>
      <c r="Y45">
        <v>0</v>
      </c>
      <c r="Z45">
        <v>0</v>
      </c>
      <c r="AA45">
        <v>0</v>
      </c>
      <c r="AB45" t="s">
        <v>208</v>
      </c>
      <c r="AC45">
        <v>2</v>
      </c>
      <c r="AD45" s="1">
        <v>45514.698611111111</v>
      </c>
      <c r="AE45" s="5">
        <v>4</v>
      </c>
      <c r="AF45">
        <f t="shared" si="9"/>
        <v>1</v>
      </c>
      <c r="AG45">
        <v>1</v>
      </c>
      <c r="AH45" s="5">
        <v>4</v>
      </c>
      <c r="AI45">
        <f t="shared" si="10"/>
        <v>1</v>
      </c>
      <c r="AJ45">
        <v>1</v>
      </c>
      <c r="AK45">
        <v>1</v>
      </c>
      <c r="AL45" s="5">
        <v>3</v>
      </c>
      <c r="AM45">
        <f t="shared" si="11"/>
        <v>2</v>
      </c>
      <c r="AN45" s="5">
        <v>4</v>
      </c>
      <c r="AO45">
        <f t="shared" si="12"/>
        <v>1</v>
      </c>
      <c r="AP45">
        <v>1</v>
      </c>
      <c r="AQ45">
        <v>1</v>
      </c>
      <c r="AR45" s="5">
        <v>4</v>
      </c>
      <c r="AS45">
        <f t="shared" si="13"/>
        <v>1</v>
      </c>
      <c r="AT45">
        <v>1</v>
      </c>
      <c r="AU45">
        <v>1</v>
      </c>
      <c r="AV45" s="5">
        <v>4</v>
      </c>
      <c r="AW45">
        <f t="shared" si="14"/>
        <v>1</v>
      </c>
      <c r="AX45" s="5">
        <v>3</v>
      </c>
      <c r="AY45">
        <f t="shared" si="15"/>
        <v>2</v>
      </c>
      <c r="AZ45">
        <v>1</v>
      </c>
      <c r="BA45" s="5">
        <v>4</v>
      </c>
      <c r="BB45">
        <f t="shared" si="16"/>
        <v>1</v>
      </c>
      <c r="BC45">
        <v>2</v>
      </c>
      <c r="BD45">
        <v>1</v>
      </c>
      <c r="BE45" s="5">
        <v>4</v>
      </c>
      <c r="BF45">
        <f t="shared" si="17"/>
        <v>1</v>
      </c>
      <c r="BG45">
        <v>1</v>
      </c>
      <c r="BH45" s="6">
        <f t="shared" si="18"/>
        <v>23</v>
      </c>
      <c r="BI45">
        <v>2</v>
      </c>
      <c r="BJ45" s="1">
        <v>45514.698611111111</v>
      </c>
      <c r="BK45">
        <v>12</v>
      </c>
      <c r="BL45">
        <v>6</v>
      </c>
      <c r="BM45">
        <v>1</v>
      </c>
      <c r="BQ45" s="2">
        <v>45511</v>
      </c>
      <c r="BU45">
        <v>24</v>
      </c>
      <c r="BV45">
        <v>8</v>
      </c>
      <c r="BW45">
        <v>2</v>
      </c>
      <c r="BX45">
        <v>2</v>
      </c>
      <c r="BY45" s="1">
        <v>45514.704861111109</v>
      </c>
      <c r="BZ45">
        <v>4</v>
      </c>
      <c r="CA45">
        <v>2</v>
      </c>
      <c r="CB45">
        <v>4</v>
      </c>
      <c r="CC45">
        <v>2</v>
      </c>
      <c r="CD45">
        <v>3</v>
      </c>
      <c r="CE45">
        <v>4</v>
      </c>
      <c r="CF45">
        <v>2</v>
      </c>
      <c r="CG45">
        <v>4</v>
      </c>
      <c r="CH45">
        <v>3</v>
      </c>
      <c r="CI45">
        <v>2</v>
      </c>
      <c r="CJ45">
        <v>1</v>
      </c>
      <c r="CK45">
        <v>4</v>
      </c>
      <c r="CL45" s="5">
        <v>2</v>
      </c>
      <c r="CM45">
        <f t="shared" si="19"/>
        <v>3</v>
      </c>
      <c r="CN45">
        <v>1</v>
      </c>
      <c r="CO45">
        <v>3</v>
      </c>
      <c r="CP45">
        <v>1</v>
      </c>
      <c r="CQ45">
        <v>1</v>
      </c>
      <c r="CR45" s="5">
        <v>4</v>
      </c>
      <c r="CS45">
        <f t="shared" si="20"/>
        <v>1</v>
      </c>
      <c r="CT45">
        <v>4</v>
      </c>
      <c r="CU45">
        <v>4</v>
      </c>
      <c r="CV45" s="6">
        <f t="shared" si="21"/>
        <v>10</v>
      </c>
      <c r="CW45" s="6">
        <f t="shared" si="22"/>
        <v>8</v>
      </c>
      <c r="CX45" s="6">
        <f t="shared" si="23"/>
        <v>20</v>
      </c>
      <c r="CY45" s="6">
        <f t="shared" si="24"/>
        <v>38</v>
      </c>
      <c r="CZ45" s="6">
        <f t="shared" si="25"/>
        <v>15</v>
      </c>
      <c r="DA45">
        <v>2</v>
      </c>
      <c r="DB45" s="1">
        <v>45514.706250000003</v>
      </c>
      <c r="DC45">
        <v>0</v>
      </c>
      <c r="DD45">
        <v>1</v>
      </c>
      <c r="DE45">
        <v>1</v>
      </c>
      <c r="DF45">
        <v>0</v>
      </c>
      <c r="DG45">
        <v>0</v>
      </c>
      <c r="DH45">
        <v>0</v>
      </c>
      <c r="DI45">
        <v>0</v>
      </c>
      <c r="DJ45">
        <v>0</v>
      </c>
      <c r="DK45">
        <v>0</v>
      </c>
      <c r="DL45">
        <v>1</v>
      </c>
      <c r="DM45">
        <v>0</v>
      </c>
      <c r="DN45">
        <v>1</v>
      </c>
      <c r="DO45">
        <v>1</v>
      </c>
      <c r="DP45">
        <v>0</v>
      </c>
      <c r="DQ45">
        <v>0</v>
      </c>
      <c r="DR45">
        <v>0</v>
      </c>
      <c r="DS45">
        <v>1</v>
      </c>
      <c r="DT45">
        <v>1</v>
      </c>
      <c r="DU45">
        <v>0</v>
      </c>
      <c r="DV45">
        <v>0</v>
      </c>
      <c r="DW45">
        <v>0</v>
      </c>
      <c r="DX45">
        <v>1</v>
      </c>
      <c r="DY45">
        <v>0</v>
      </c>
      <c r="DZ45">
        <v>0</v>
      </c>
      <c r="EA45">
        <v>0</v>
      </c>
      <c r="EB45">
        <v>0</v>
      </c>
      <c r="EC45">
        <v>1</v>
      </c>
      <c r="ED45">
        <v>1</v>
      </c>
      <c r="EE45">
        <v>0</v>
      </c>
      <c r="EF45">
        <v>0</v>
      </c>
      <c r="EG45">
        <v>0</v>
      </c>
      <c r="EH45">
        <v>1</v>
      </c>
      <c r="EI45">
        <v>1</v>
      </c>
      <c r="EJ45">
        <v>0</v>
      </c>
      <c r="EK45">
        <v>0</v>
      </c>
      <c r="EL45">
        <v>0</v>
      </c>
      <c r="EM45">
        <v>1</v>
      </c>
      <c r="EN45">
        <v>1</v>
      </c>
      <c r="EO45">
        <v>0</v>
      </c>
      <c r="EP45">
        <v>0</v>
      </c>
      <c r="EQ45">
        <v>0</v>
      </c>
      <c r="ER45">
        <v>1</v>
      </c>
      <c r="ES45">
        <v>1</v>
      </c>
      <c r="ET45">
        <v>0</v>
      </c>
      <c r="EU45">
        <v>0</v>
      </c>
      <c r="EV45">
        <v>0</v>
      </c>
      <c r="EW45">
        <v>0</v>
      </c>
      <c r="EX45">
        <v>1</v>
      </c>
      <c r="EY45">
        <v>0</v>
      </c>
      <c r="EZ45">
        <v>0</v>
      </c>
      <c r="FA45">
        <v>0</v>
      </c>
      <c r="FB45">
        <v>0</v>
      </c>
      <c r="FC45">
        <v>1</v>
      </c>
      <c r="FD45">
        <v>0</v>
      </c>
      <c r="FE45">
        <v>0</v>
      </c>
      <c r="FF45">
        <v>0</v>
      </c>
      <c r="FG45">
        <v>1</v>
      </c>
      <c r="FH45">
        <v>1</v>
      </c>
      <c r="FI45">
        <v>0</v>
      </c>
      <c r="FJ45">
        <v>0</v>
      </c>
      <c r="FK45">
        <v>0</v>
      </c>
      <c r="FL45">
        <v>0</v>
      </c>
      <c r="FM45">
        <v>1</v>
      </c>
      <c r="FN45">
        <v>0</v>
      </c>
      <c r="FO45">
        <v>0</v>
      </c>
      <c r="FP45">
        <v>0</v>
      </c>
      <c r="FQ45">
        <v>0</v>
      </c>
      <c r="FR45">
        <v>1</v>
      </c>
      <c r="FS45">
        <v>0</v>
      </c>
      <c r="FT45">
        <v>0</v>
      </c>
      <c r="FU45">
        <v>1</v>
      </c>
      <c r="FV45">
        <v>1</v>
      </c>
      <c r="FW45">
        <v>1</v>
      </c>
      <c r="FX45">
        <v>0</v>
      </c>
      <c r="FY45">
        <v>0</v>
      </c>
      <c r="FZ45">
        <v>0</v>
      </c>
      <c r="GA45">
        <v>0</v>
      </c>
      <c r="GB45">
        <v>0</v>
      </c>
      <c r="GC45">
        <v>0</v>
      </c>
      <c r="GD45">
        <v>1</v>
      </c>
      <c r="GE45">
        <v>0</v>
      </c>
      <c r="GF45">
        <v>0</v>
      </c>
      <c r="GG45">
        <v>0</v>
      </c>
      <c r="GH45">
        <v>0</v>
      </c>
      <c r="GI45">
        <v>1</v>
      </c>
      <c r="GJ45" s="6">
        <f t="shared" si="26"/>
        <v>27</v>
      </c>
      <c r="GK45">
        <v>2</v>
      </c>
      <c r="GL45" s="1">
        <v>45514.706944444442</v>
      </c>
      <c r="GM45">
        <v>0</v>
      </c>
      <c r="GQ45" s="5"/>
      <c r="GV45" s="5"/>
      <c r="HA45" s="5"/>
      <c r="HF45" s="5"/>
      <c r="HI45" s="6"/>
      <c r="HJ45" s="6"/>
      <c r="HK45" s="6"/>
      <c r="HL45">
        <v>2</v>
      </c>
      <c r="HM45" s="1">
        <v>45514.706944444442</v>
      </c>
      <c r="HN45">
        <v>10</v>
      </c>
      <c r="HO45">
        <v>13</v>
      </c>
      <c r="HP45">
        <v>13</v>
      </c>
      <c r="HQ45">
        <v>2</v>
      </c>
      <c r="HR45" s="1">
        <v>45520.551388888889</v>
      </c>
      <c r="HS45">
        <v>0</v>
      </c>
      <c r="HT45">
        <v>0</v>
      </c>
      <c r="HU45">
        <v>0</v>
      </c>
      <c r="HV45">
        <v>0</v>
      </c>
      <c r="HW45">
        <v>0</v>
      </c>
      <c r="HX45">
        <v>0</v>
      </c>
      <c r="HY45">
        <v>0</v>
      </c>
      <c r="HZ45">
        <v>0</v>
      </c>
      <c r="IA45">
        <v>0</v>
      </c>
      <c r="IB45">
        <v>0</v>
      </c>
      <c r="IC45">
        <v>0</v>
      </c>
      <c r="ID45">
        <v>0</v>
      </c>
      <c r="IE45">
        <v>0</v>
      </c>
      <c r="IF45">
        <v>0</v>
      </c>
      <c r="IG45">
        <v>0</v>
      </c>
      <c r="IH45">
        <v>0</v>
      </c>
      <c r="II45">
        <v>0</v>
      </c>
      <c r="IJ45">
        <v>0</v>
      </c>
      <c r="IK45">
        <v>0</v>
      </c>
      <c r="IL45">
        <v>0</v>
      </c>
      <c r="IM45">
        <v>0</v>
      </c>
      <c r="IN45" s="6">
        <f t="shared" si="31"/>
        <v>0</v>
      </c>
      <c r="IO45">
        <v>2</v>
      </c>
      <c r="IP45" s="1">
        <v>45520.551388888889</v>
      </c>
      <c r="IQ45">
        <v>0</v>
      </c>
      <c r="IR45">
        <v>0</v>
      </c>
      <c r="IS45">
        <v>0</v>
      </c>
      <c r="IT45">
        <v>0</v>
      </c>
      <c r="IU45">
        <v>0</v>
      </c>
      <c r="IV45">
        <v>0</v>
      </c>
      <c r="IW45">
        <v>0</v>
      </c>
      <c r="IX45">
        <v>0</v>
      </c>
      <c r="IY45">
        <v>0</v>
      </c>
      <c r="IZ45">
        <v>0</v>
      </c>
      <c r="JA45">
        <v>0</v>
      </c>
      <c r="JB45">
        <v>0</v>
      </c>
      <c r="JC45">
        <v>0</v>
      </c>
      <c r="JD45">
        <v>0</v>
      </c>
      <c r="JE45">
        <v>0</v>
      </c>
      <c r="JF45">
        <v>0</v>
      </c>
      <c r="JG45">
        <v>0</v>
      </c>
      <c r="JH45">
        <v>0</v>
      </c>
      <c r="JI45">
        <v>0</v>
      </c>
      <c r="JJ45">
        <v>1</v>
      </c>
      <c r="JT45" s="6">
        <f t="shared" si="32"/>
        <v>0</v>
      </c>
      <c r="JU45" s="6"/>
      <c r="JV45" s="6"/>
      <c r="JW45" s="6"/>
      <c r="JX45">
        <v>2</v>
      </c>
      <c r="JY45" s="1">
        <v>45520.551388888889</v>
      </c>
      <c r="JZ45">
        <v>0</v>
      </c>
      <c r="KA45">
        <v>0</v>
      </c>
      <c r="KB45">
        <v>0</v>
      </c>
      <c r="KC45" s="6">
        <f t="shared" si="35"/>
        <v>0</v>
      </c>
      <c r="KD45">
        <v>2</v>
      </c>
      <c r="KE45" s="1">
        <v>45520.551388888889</v>
      </c>
      <c r="KF45">
        <v>39.1</v>
      </c>
      <c r="KG45">
        <v>2.8</v>
      </c>
      <c r="KP45">
        <v>1</v>
      </c>
      <c r="KQ45">
        <v>38.700000000000003</v>
      </c>
      <c r="KR45">
        <v>5.9</v>
      </c>
      <c r="KS45">
        <v>1</v>
      </c>
      <c r="SX45">
        <v>2</v>
      </c>
      <c r="SY45">
        <v>36.799999999999997</v>
      </c>
      <c r="SZ45">
        <v>3.6</v>
      </c>
      <c r="TA45">
        <v>3</v>
      </c>
      <c r="UD45">
        <v>2</v>
      </c>
      <c r="UE45">
        <v>39.1</v>
      </c>
      <c r="UF45">
        <v>2.8</v>
      </c>
      <c r="UG45">
        <v>4</v>
      </c>
      <c r="WX45" s="6">
        <v>1</v>
      </c>
      <c r="WY45" s="6">
        <v>34.6</v>
      </c>
      <c r="WZ45" s="6">
        <v>5.2</v>
      </c>
      <c r="XA45" s="6">
        <v>2</v>
      </c>
      <c r="YX45" s="6">
        <v>1</v>
      </c>
      <c r="YY45" s="6">
        <v>34.6</v>
      </c>
      <c r="YZ45" s="6">
        <v>5.2</v>
      </c>
      <c r="ZA45" s="6">
        <v>2</v>
      </c>
      <c r="ZB45">
        <v>2</v>
      </c>
      <c r="ZC45" s="1">
        <v>45118.661111111112</v>
      </c>
      <c r="ZD45">
        <v>5</v>
      </c>
      <c r="ZE45">
        <v>1</v>
      </c>
      <c r="ZF45">
        <v>5</v>
      </c>
      <c r="ZG45">
        <v>1</v>
      </c>
      <c r="ZH45">
        <v>4</v>
      </c>
      <c r="ZI45">
        <v>1</v>
      </c>
      <c r="ZJ45">
        <v>1</v>
      </c>
      <c r="ZK45">
        <v>1</v>
      </c>
      <c r="ZL45">
        <v>5</v>
      </c>
      <c r="ZM45">
        <v>4</v>
      </c>
      <c r="ZN45">
        <v>1</v>
      </c>
      <c r="ZO45">
        <v>4</v>
      </c>
      <c r="ZP45">
        <v>1</v>
      </c>
      <c r="ZQ45">
        <v>5</v>
      </c>
      <c r="ZR45">
        <v>1</v>
      </c>
      <c r="ZS45">
        <v>5</v>
      </c>
      <c r="ZT45">
        <v>5</v>
      </c>
      <c r="ZU45">
        <v>1</v>
      </c>
      <c r="ZV45">
        <v>4</v>
      </c>
      <c r="ZW45">
        <v>1</v>
      </c>
      <c r="ZX45" s="6">
        <f t="shared" si="36"/>
        <v>46</v>
      </c>
      <c r="ZY45" s="6">
        <f t="shared" si="37"/>
        <v>10</v>
      </c>
      <c r="ZZ45">
        <v>2</v>
      </c>
      <c r="AAA45" s="1">
        <v>45520.552777777775</v>
      </c>
      <c r="AAB45">
        <v>0</v>
      </c>
      <c r="AAC45">
        <v>0</v>
      </c>
      <c r="AAD45">
        <v>0</v>
      </c>
      <c r="AAE45">
        <v>0</v>
      </c>
      <c r="AAF45">
        <v>0</v>
      </c>
      <c r="AAG45">
        <v>0</v>
      </c>
      <c r="AAH45">
        <v>0</v>
      </c>
      <c r="AAI45">
        <v>0</v>
      </c>
      <c r="AAJ45">
        <v>0</v>
      </c>
      <c r="AAK45">
        <v>0</v>
      </c>
      <c r="AAL45">
        <v>0</v>
      </c>
      <c r="AAM45">
        <v>0</v>
      </c>
      <c r="AAN45">
        <v>0</v>
      </c>
      <c r="AAO45">
        <v>0</v>
      </c>
      <c r="AAP45">
        <v>0</v>
      </c>
      <c r="AAQ45">
        <v>0</v>
      </c>
      <c r="AAR45">
        <v>0</v>
      </c>
      <c r="AAS45">
        <v>0</v>
      </c>
      <c r="AAT45" s="6">
        <f t="shared" si="38"/>
        <v>0</v>
      </c>
      <c r="AAU45" s="6">
        <f t="shared" si="39"/>
        <v>0</v>
      </c>
      <c r="AAV45" s="6">
        <f t="shared" si="40"/>
        <v>0</v>
      </c>
      <c r="AAW45" s="6">
        <f t="shared" si="41"/>
        <v>0</v>
      </c>
      <c r="AAX45">
        <v>2</v>
      </c>
      <c r="AAY45" s="1">
        <v>45520.552777777775</v>
      </c>
      <c r="AAZ45">
        <v>0</v>
      </c>
      <c r="ABO45" s="6"/>
      <c r="ABP45" s="6"/>
      <c r="ABQ45">
        <v>2</v>
      </c>
      <c r="ABR45" s="1">
        <v>45520.552777777775</v>
      </c>
      <c r="ABS45">
        <v>0</v>
      </c>
      <c r="ABT45">
        <v>0</v>
      </c>
      <c r="ABU45">
        <v>0</v>
      </c>
      <c r="ABV45">
        <v>2</v>
      </c>
      <c r="ABW45">
        <v>0</v>
      </c>
      <c r="ABX45">
        <v>0</v>
      </c>
      <c r="ABY45">
        <v>0</v>
      </c>
      <c r="ABZ45">
        <v>2</v>
      </c>
      <c r="ACA45">
        <v>0</v>
      </c>
      <c r="ACB45">
        <v>2</v>
      </c>
      <c r="ACC45">
        <v>0</v>
      </c>
      <c r="ACD45">
        <v>0</v>
      </c>
      <c r="ACE45">
        <v>0</v>
      </c>
      <c r="ACF45">
        <v>0</v>
      </c>
      <c r="ACG45">
        <v>0</v>
      </c>
      <c r="ACH45">
        <v>0</v>
      </c>
      <c r="ACI45">
        <v>0</v>
      </c>
      <c r="ACJ45">
        <v>0</v>
      </c>
      <c r="ACK45">
        <v>0</v>
      </c>
      <c r="ACL45">
        <v>0</v>
      </c>
      <c r="ACM45">
        <v>0</v>
      </c>
      <c r="ACN45">
        <v>0</v>
      </c>
      <c r="ACO45">
        <v>0</v>
      </c>
      <c r="ACP45">
        <v>0</v>
      </c>
      <c r="ACQ45">
        <v>0</v>
      </c>
      <c r="ACR45">
        <v>4</v>
      </c>
      <c r="ACS45">
        <v>3</v>
      </c>
      <c r="ACT45">
        <v>0</v>
      </c>
      <c r="ACU45">
        <v>0</v>
      </c>
      <c r="ACV45">
        <v>2</v>
      </c>
      <c r="ACW45" s="6">
        <f t="shared" si="44"/>
        <v>0</v>
      </c>
      <c r="ACX45" s="6">
        <f t="shared" si="45"/>
        <v>0</v>
      </c>
      <c r="ACY45" s="6">
        <f t="shared" si="46"/>
        <v>0</v>
      </c>
      <c r="ACZ45" s="6">
        <f t="shared" si="47"/>
        <v>0</v>
      </c>
      <c r="ADA45" s="6">
        <f t="shared" si="48"/>
        <v>4</v>
      </c>
      <c r="ADB45" s="6">
        <f t="shared" si="49"/>
        <v>11</v>
      </c>
      <c r="ADC45" s="6">
        <f t="shared" si="50"/>
        <v>-7</v>
      </c>
      <c r="ADD45">
        <v>2</v>
      </c>
      <c r="ADE45" s="1">
        <v>45520.553472222222</v>
      </c>
      <c r="ADF45" s="5">
        <v>4</v>
      </c>
      <c r="ADG45">
        <f t="shared" si="51"/>
        <v>1</v>
      </c>
      <c r="ADH45" s="5">
        <v>4</v>
      </c>
      <c r="ADI45">
        <f t="shared" si="52"/>
        <v>1</v>
      </c>
      <c r="ADJ45">
        <v>1</v>
      </c>
      <c r="ADK45">
        <v>1</v>
      </c>
      <c r="ADL45" s="5">
        <v>4</v>
      </c>
      <c r="ADM45">
        <f t="shared" si="3"/>
        <v>1</v>
      </c>
      <c r="ADN45">
        <v>1</v>
      </c>
      <c r="ADO45">
        <v>1</v>
      </c>
      <c r="ADP45" s="5">
        <v>4</v>
      </c>
      <c r="ADQ45">
        <f t="shared" si="4"/>
        <v>1</v>
      </c>
      <c r="ADR45">
        <v>1</v>
      </c>
      <c r="ADS45" s="5">
        <v>4</v>
      </c>
      <c r="ADT45">
        <f t="shared" si="5"/>
        <v>1</v>
      </c>
      <c r="ADU45" s="5">
        <v>4</v>
      </c>
      <c r="ADV45">
        <f t="shared" ref="ADV45" si="162">INDEX($AD$48:$AE$51, MATCH(ADU45, $AD$48:$AD$51, 0), 2)</f>
        <v>1</v>
      </c>
      <c r="ADW45">
        <v>1</v>
      </c>
      <c r="ADX45">
        <v>1</v>
      </c>
      <c r="ADY45">
        <v>1</v>
      </c>
      <c r="ADZ45" s="5">
        <v>4</v>
      </c>
      <c r="AEA45">
        <f t="shared" si="6"/>
        <v>1</v>
      </c>
      <c r="AEB45" s="5">
        <v>4</v>
      </c>
      <c r="AEC45">
        <f t="shared" ref="AEC45" si="163">INDEX($AD$48:$AE$51, MATCH(AEB45, $AD$48:$AD$51, 0), 2)</f>
        <v>1</v>
      </c>
      <c r="AED45">
        <v>1</v>
      </c>
      <c r="AEE45">
        <v>1</v>
      </c>
      <c r="AEF45" s="5">
        <v>4</v>
      </c>
      <c r="AEG45">
        <f t="shared" si="7"/>
        <v>1</v>
      </c>
      <c r="AEH45" s="5">
        <v>4</v>
      </c>
      <c r="AEI45">
        <f t="shared" si="8"/>
        <v>1</v>
      </c>
      <c r="AEJ45" s="6">
        <f t="shared" si="55"/>
        <v>21</v>
      </c>
      <c r="AEK45">
        <v>2</v>
      </c>
      <c r="AEL45" s="1">
        <v>45520.553472222222</v>
      </c>
      <c r="AEM45">
        <v>0</v>
      </c>
      <c r="AER45">
        <v>0</v>
      </c>
      <c r="AES45">
        <v>0</v>
      </c>
      <c r="AET45">
        <v>0</v>
      </c>
      <c r="AEU45">
        <v>0</v>
      </c>
      <c r="AEV45">
        <v>0</v>
      </c>
      <c r="AEX45">
        <v>2</v>
      </c>
    </row>
    <row r="47" spans="1:830">
      <c r="AD47" t="s">
        <v>1215</v>
      </c>
      <c r="AE47" t="s">
        <v>1216</v>
      </c>
    </row>
    <row r="48" spans="1:830">
      <c r="AD48">
        <v>1</v>
      </c>
      <c r="AE48">
        <v>4</v>
      </c>
    </row>
    <row r="49" spans="30:31">
      <c r="AD49">
        <v>2</v>
      </c>
      <c r="AE49">
        <v>3</v>
      </c>
    </row>
    <row r="50" spans="30:31">
      <c r="AD50">
        <v>3</v>
      </c>
      <c r="AE50">
        <v>2</v>
      </c>
    </row>
    <row r="51" spans="30:31">
      <c r="AD51">
        <v>4</v>
      </c>
      <c r="AE51">
        <v>1</v>
      </c>
    </row>
  </sheetData>
  <sortState ref="A2:AEX46">
    <sortCondition ref="B2:B46"/>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45"/>
  <sheetViews>
    <sheetView topLeftCell="AI1" workbookViewId="0">
      <selection activeCell="AR46" sqref="AR46"/>
    </sheetView>
  </sheetViews>
  <sheetFormatPr defaultColWidth="10.90625" defaultRowHeight="15"/>
  <sheetData>
    <row r="1" spans="1:75">
      <c r="A1" t="s">
        <v>0</v>
      </c>
      <c r="B1" t="s">
        <v>2</v>
      </c>
      <c r="C1" t="s">
        <v>3</v>
      </c>
      <c r="D1" t="s">
        <v>4</v>
      </c>
      <c r="E1" t="s">
        <v>5</v>
      </c>
      <c r="F1" t="s">
        <v>6</v>
      </c>
      <c r="G1" t="s">
        <v>7</v>
      </c>
      <c r="H1" t="s">
        <v>8</v>
      </c>
      <c r="I1" t="s">
        <v>9</v>
      </c>
      <c r="J1" t="s">
        <v>10</v>
      </c>
      <c r="K1" t="s">
        <v>11</v>
      </c>
      <c r="L1" t="s">
        <v>13</v>
      </c>
      <c r="M1" t="s">
        <v>14</v>
      </c>
      <c r="N1" t="s">
        <v>15</v>
      </c>
      <c r="O1" t="s">
        <v>16</v>
      </c>
      <c r="P1" t="s">
        <v>17</v>
      </c>
      <c r="Q1" t="s">
        <v>18</v>
      </c>
      <c r="R1" t="s">
        <v>19</v>
      </c>
      <c r="S1" t="s">
        <v>20</v>
      </c>
      <c r="T1" t="s">
        <v>21</v>
      </c>
      <c r="U1" t="s">
        <v>22</v>
      </c>
      <c r="V1" t="s">
        <v>23</v>
      </c>
      <c r="W1" t="s">
        <v>24</v>
      </c>
      <c r="X1" t="s">
        <v>25</v>
      </c>
      <c r="Y1" t="s">
        <v>26</v>
      </c>
      <c r="Z1" t="s">
        <v>27</v>
      </c>
      <c r="AA1" s="6" t="s">
        <v>49</v>
      </c>
      <c r="AB1" t="s">
        <v>51</v>
      </c>
      <c r="AC1" t="s">
        <v>52</v>
      </c>
      <c r="AD1" t="s">
        <v>53</v>
      </c>
      <c r="AE1" t="s">
        <v>54</v>
      </c>
      <c r="AF1" t="s">
        <v>55</v>
      </c>
      <c r="AG1" t="s">
        <v>56</v>
      </c>
      <c r="AH1" t="s">
        <v>57</v>
      </c>
      <c r="AI1" t="s">
        <v>58</v>
      </c>
      <c r="AJ1" t="s">
        <v>59</v>
      </c>
      <c r="AK1" t="s">
        <v>60</v>
      </c>
      <c r="AL1" t="s">
        <v>61</v>
      </c>
      <c r="AM1" t="s">
        <v>62</v>
      </c>
      <c r="AN1" t="s">
        <v>63</v>
      </c>
      <c r="AO1" s="6" t="s">
        <v>1217</v>
      </c>
      <c r="AP1" s="6" t="s">
        <v>1218</v>
      </c>
      <c r="AQ1" s="6" t="s">
        <v>1219</v>
      </c>
      <c r="AR1" s="6" t="s">
        <v>1220</v>
      </c>
      <c r="AS1" s="6" t="s">
        <v>1221</v>
      </c>
      <c r="AT1" s="6" t="s">
        <v>1222</v>
      </c>
      <c r="AU1" s="6" t="s">
        <v>488</v>
      </c>
      <c r="AV1" s="6" t="s">
        <v>489</v>
      </c>
      <c r="AW1" s="6" t="s">
        <v>490</v>
      </c>
      <c r="AX1" s="6" t="s">
        <v>524</v>
      </c>
      <c r="AY1" s="6" t="s">
        <v>556</v>
      </c>
      <c r="AZ1" s="6" t="s">
        <v>1223</v>
      </c>
      <c r="BA1" s="6" t="s">
        <v>557</v>
      </c>
      <c r="BB1" s="6" t="s">
        <v>558</v>
      </c>
      <c r="BC1" s="6" t="s">
        <v>564</v>
      </c>
      <c r="BD1" s="6" t="s">
        <v>1224</v>
      </c>
      <c r="BE1" s="6" t="s">
        <v>1225</v>
      </c>
      <c r="BF1" s="6" t="s">
        <v>1226</v>
      </c>
      <c r="BG1" s="6" t="s">
        <v>1227</v>
      </c>
      <c r="BH1" s="6" t="s">
        <v>971</v>
      </c>
      <c r="BI1" s="6" t="s">
        <v>972</v>
      </c>
      <c r="BJ1" s="6" t="s">
        <v>993</v>
      </c>
      <c r="BK1" s="6" t="s">
        <v>994</v>
      </c>
      <c r="BL1" s="6" t="s">
        <v>995</v>
      </c>
      <c r="BM1" s="6" t="s">
        <v>996</v>
      </c>
      <c r="BN1" s="6" t="s">
        <v>1014</v>
      </c>
      <c r="BO1" s="6" t="s">
        <v>1015</v>
      </c>
      <c r="BP1" s="6" t="s">
        <v>1125</v>
      </c>
      <c r="BQ1" s="6" t="s">
        <v>1126</v>
      </c>
      <c r="BR1" s="6" t="s">
        <v>1127</v>
      </c>
      <c r="BS1" s="6" t="s">
        <v>1128</v>
      </c>
      <c r="BT1" s="6" t="s">
        <v>1129</v>
      </c>
      <c r="BU1" s="6" t="s">
        <v>1130</v>
      </c>
      <c r="BV1" s="6" t="s">
        <v>1131</v>
      </c>
      <c r="BW1" s="6" t="s">
        <v>1154</v>
      </c>
    </row>
    <row r="2" spans="1:75">
      <c r="A2">
        <v>183</v>
      </c>
      <c r="B2" t="s">
        <v>1199</v>
      </c>
      <c r="C2">
        <v>2</v>
      </c>
      <c r="D2">
        <v>2</v>
      </c>
      <c r="E2">
        <v>51</v>
      </c>
      <c r="F2">
        <v>68</v>
      </c>
      <c r="G2">
        <v>196</v>
      </c>
      <c r="H2">
        <v>0</v>
      </c>
      <c r="I2">
        <v>3</v>
      </c>
      <c r="K2" t="s">
        <v>421</v>
      </c>
      <c r="L2">
        <v>7</v>
      </c>
      <c r="M2">
        <v>0</v>
      </c>
      <c r="O2">
        <v>0</v>
      </c>
      <c r="P2">
        <v>0</v>
      </c>
      <c r="Q2">
        <v>0</v>
      </c>
      <c r="R2">
        <v>0</v>
      </c>
      <c r="S2">
        <v>0</v>
      </c>
      <c r="T2">
        <v>0</v>
      </c>
      <c r="U2">
        <v>0</v>
      </c>
      <c r="V2">
        <v>0</v>
      </c>
      <c r="W2">
        <v>1</v>
      </c>
      <c r="X2">
        <v>0</v>
      </c>
      <c r="Y2">
        <v>0</v>
      </c>
      <c r="Z2">
        <v>3</v>
      </c>
      <c r="AA2" s="6">
        <v>25</v>
      </c>
      <c r="AB2">
        <v>12</v>
      </c>
      <c r="AC2">
        <v>2</v>
      </c>
      <c r="AD2">
        <v>4</v>
      </c>
      <c r="AH2" s="2">
        <v>43831</v>
      </c>
      <c r="AI2">
        <v>5</v>
      </c>
      <c r="AJ2">
        <v>1</v>
      </c>
      <c r="AK2">
        <v>4</v>
      </c>
      <c r="AL2">
        <v>25</v>
      </c>
      <c r="AM2">
        <v>5</v>
      </c>
      <c r="AN2">
        <v>1</v>
      </c>
      <c r="AO2" s="6">
        <v>6</v>
      </c>
      <c r="AP2" s="6">
        <v>7</v>
      </c>
      <c r="AQ2" s="6">
        <v>13</v>
      </c>
      <c r="AR2" s="6">
        <v>26</v>
      </c>
      <c r="AS2" s="6">
        <v>19</v>
      </c>
      <c r="AT2" s="6">
        <v>17</v>
      </c>
      <c r="AU2" s="6">
        <v>16</v>
      </c>
      <c r="AV2" s="6">
        <v>12</v>
      </c>
      <c r="AW2" s="6">
        <v>42</v>
      </c>
      <c r="AX2" s="6">
        <v>16</v>
      </c>
      <c r="AY2" s="6">
        <v>16</v>
      </c>
      <c r="AZ2" s="6">
        <v>3</v>
      </c>
      <c r="BA2" s="6">
        <v>7</v>
      </c>
      <c r="BB2" s="6">
        <v>2</v>
      </c>
      <c r="BC2" s="6">
        <v>0</v>
      </c>
      <c r="BD2" s="6">
        <v>4</v>
      </c>
      <c r="BE2" s="6">
        <v>66.7</v>
      </c>
      <c r="BF2" s="6">
        <v>2.2999999999999998</v>
      </c>
      <c r="BG2" s="6"/>
      <c r="BH2" s="6">
        <v>14</v>
      </c>
      <c r="BI2" s="6">
        <v>14</v>
      </c>
      <c r="BJ2" s="6">
        <v>8</v>
      </c>
      <c r="BK2" s="6">
        <v>4</v>
      </c>
      <c r="BL2" s="6">
        <v>1</v>
      </c>
      <c r="BM2" s="6">
        <v>13</v>
      </c>
      <c r="BN2" s="6">
        <v>5</v>
      </c>
      <c r="BO2" s="6">
        <v>5.8571428571428568</v>
      </c>
      <c r="BP2" s="6">
        <v>1</v>
      </c>
      <c r="BQ2" s="6">
        <v>2</v>
      </c>
      <c r="BR2" s="6">
        <v>2</v>
      </c>
      <c r="BS2" s="6">
        <v>15</v>
      </c>
      <c r="BT2" s="6">
        <v>10</v>
      </c>
      <c r="BU2" s="6">
        <v>0</v>
      </c>
      <c r="BV2" s="6">
        <v>30</v>
      </c>
      <c r="BW2" s="6">
        <v>46</v>
      </c>
    </row>
    <row r="3" spans="1:75">
      <c r="A3">
        <v>191</v>
      </c>
      <c r="B3" t="s">
        <v>1202</v>
      </c>
      <c r="C3">
        <v>2</v>
      </c>
      <c r="D3">
        <v>2</v>
      </c>
      <c r="E3">
        <v>41</v>
      </c>
      <c r="F3">
        <v>68</v>
      </c>
      <c r="G3">
        <v>220</v>
      </c>
      <c r="H3">
        <v>0</v>
      </c>
      <c r="I3">
        <v>3</v>
      </c>
      <c r="K3" t="s">
        <v>429</v>
      </c>
      <c r="L3">
        <v>7</v>
      </c>
      <c r="M3">
        <v>0</v>
      </c>
      <c r="O3">
        <v>0</v>
      </c>
      <c r="P3">
        <v>0</v>
      </c>
      <c r="Q3">
        <v>0</v>
      </c>
      <c r="R3">
        <v>0</v>
      </c>
      <c r="S3">
        <v>1</v>
      </c>
      <c r="T3">
        <v>0</v>
      </c>
      <c r="U3">
        <v>0</v>
      </c>
      <c r="V3">
        <v>0</v>
      </c>
      <c r="W3">
        <v>0</v>
      </c>
      <c r="X3">
        <v>0</v>
      </c>
      <c r="Y3">
        <v>0</v>
      </c>
      <c r="Z3">
        <v>2</v>
      </c>
      <c r="AA3" s="6">
        <v>36</v>
      </c>
      <c r="AB3">
        <v>13</v>
      </c>
      <c r="AC3">
        <v>6</v>
      </c>
      <c r="AD3">
        <v>1</v>
      </c>
      <c r="AH3" s="2">
        <v>45035</v>
      </c>
      <c r="AL3">
        <v>28</v>
      </c>
      <c r="AM3">
        <v>4</v>
      </c>
      <c r="AN3">
        <v>1</v>
      </c>
      <c r="AO3" s="6">
        <v>10</v>
      </c>
      <c r="AP3" s="6">
        <v>14</v>
      </c>
      <c r="AQ3" s="6">
        <v>14</v>
      </c>
      <c r="AR3" s="6">
        <v>38</v>
      </c>
      <c r="AS3" s="6">
        <v>19</v>
      </c>
      <c r="AT3" s="6">
        <v>21</v>
      </c>
      <c r="AU3" s="6">
        <v>15</v>
      </c>
      <c r="AV3" s="6">
        <v>10</v>
      </c>
      <c r="AW3" s="6">
        <v>36</v>
      </c>
      <c r="AX3" s="6">
        <v>15</v>
      </c>
      <c r="AY3" s="6">
        <v>12</v>
      </c>
      <c r="AZ3" s="6">
        <v>10</v>
      </c>
      <c r="BA3" s="6">
        <v>5</v>
      </c>
      <c r="BB3" s="6">
        <v>3</v>
      </c>
      <c r="BC3" s="6">
        <v>0</v>
      </c>
      <c r="BD3" s="6">
        <v>4</v>
      </c>
      <c r="BE3" s="6">
        <v>60.5</v>
      </c>
      <c r="BF3" s="6">
        <v>2.2999999999999998</v>
      </c>
      <c r="BG3" s="6"/>
      <c r="BH3" s="6">
        <v>25</v>
      </c>
      <c r="BI3" s="6">
        <v>20</v>
      </c>
      <c r="BJ3" s="6">
        <v>5</v>
      </c>
      <c r="BK3" s="6">
        <v>3</v>
      </c>
      <c r="BL3" s="6">
        <v>5</v>
      </c>
      <c r="BM3" s="6">
        <v>13</v>
      </c>
      <c r="BN3" s="6">
        <v>4</v>
      </c>
      <c r="BO3" s="6">
        <v>4.2857142857142856</v>
      </c>
      <c r="BP3" s="6">
        <v>7</v>
      </c>
      <c r="BQ3" s="6">
        <v>4</v>
      </c>
      <c r="BR3" s="6">
        <v>1</v>
      </c>
      <c r="BS3" s="6">
        <v>12</v>
      </c>
      <c r="BT3" s="6">
        <v>1</v>
      </c>
      <c r="BU3" s="6">
        <v>0</v>
      </c>
      <c r="BV3" s="6">
        <v>25</v>
      </c>
      <c r="BW3" s="6">
        <v>50</v>
      </c>
    </row>
    <row r="4" spans="1:75">
      <c r="A4">
        <v>194</v>
      </c>
      <c r="B4" t="s">
        <v>1205</v>
      </c>
      <c r="C4">
        <v>2</v>
      </c>
      <c r="D4">
        <v>2</v>
      </c>
      <c r="E4">
        <v>41</v>
      </c>
      <c r="F4">
        <v>64</v>
      </c>
      <c r="G4">
        <v>128</v>
      </c>
      <c r="H4">
        <v>0</v>
      </c>
      <c r="I4">
        <v>3</v>
      </c>
      <c r="K4" t="s">
        <v>435</v>
      </c>
      <c r="L4">
        <v>5</v>
      </c>
      <c r="M4">
        <v>0</v>
      </c>
      <c r="O4">
        <v>0</v>
      </c>
      <c r="P4">
        <v>0</v>
      </c>
      <c r="Q4">
        <v>0</v>
      </c>
      <c r="R4">
        <v>0</v>
      </c>
      <c r="S4">
        <v>0</v>
      </c>
      <c r="T4">
        <v>0</v>
      </c>
      <c r="U4">
        <v>1</v>
      </c>
      <c r="V4">
        <v>0</v>
      </c>
      <c r="W4">
        <v>0</v>
      </c>
      <c r="X4">
        <v>0</v>
      </c>
      <c r="Y4">
        <v>0</v>
      </c>
      <c r="Z4">
        <v>2</v>
      </c>
      <c r="AA4" s="6">
        <v>48</v>
      </c>
      <c r="AB4">
        <v>13</v>
      </c>
      <c r="AC4">
        <v>3</v>
      </c>
      <c r="AD4">
        <v>1</v>
      </c>
      <c r="AH4" s="2">
        <v>45027</v>
      </c>
      <c r="AL4">
        <v>28</v>
      </c>
      <c r="AM4">
        <v>3</v>
      </c>
      <c r="AN4">
        <v>1</v>
      </c>
      <c r="AO4" s="6">
        <v>5</v>
      </c>
      <c r="AP4" s="6">
        <v>5</v>
      </c>
      <c r="AQ4" s="6">
        <v>15</v>
      </c>
      <c r="AR4" s="6">
        <v>25</v>
      </c>
      <c r="AS4" s="6">
        <v>19</v>
      </c>
      <c r="AT4" s="6">
        <v>26</v>
      </c>
      <c r="AU4" s="6">
        <v>15</v>
      </c>
      <c r="AV4" s="6">
        <v>13</v>
      </c>
      <c r="AW4" s="6">
        <v>41</v>
      </c>
      <c r="AX4" s="6">
        <v>19</v>
      </c>
      <c r="AY4" s="6">
        <v>6</v>
      </c>
      <c r="AZ4" s="6">
        <v>10</v>
      </c>
      <c r="BA4" s="6">
        <v>8</v>
      </c>
      <c r="BB4" s="6">
        <v>3</v>
      </c>
      <c r="BC4" s="6">
        <v>0</v>
      </c>
      <c r="BD4" s="6">
        <v>5</v>
      </c>
      <c r="BE4" s="6">
        <v>74.3</v>
      </c>
      <c r="BF4" s="6">
        <v>2.9</v>
      </c>
      <c r="BG4" s="6"/>
      <c r="BH4" s="6">
        <v>19</v>
      </c>
      <c r="BI4" s="6">
        <v>22</v>
      </c>
      <c r="BJ4" s="6">
        <v>14</v>
      </c>
      <c r="BK4" s="6">
        <v>8</v>
      </c>
      <c r="BL4" s="6">
        <v>6</v>
      </c>
      <c r="BM4" s="6">
        <v>28</v>
      </c>
      <c r="BN4" s="6">
        <v>6.5</v>
      </c>
      <c r="BO4" s="6">
        <v>9</v>
      </c>
      <c r="BP4" s="6">
        <v>4</v>
      </c>
      <c r="BQ4" s="6">
        <v>0</v>
      </c>
      <c r="BR4" s="6">
        <v>2</v>
      </c>
      <c r="BS4" s="6">
        <v>15</v>
      </c>
      <c r="BT4" s="6">
        <v>2</v>
      </c>
      <c r="BU4" s="6">
        <v>0</v>
      </c>
      <c r="BV4" s="6">
        <v>23</v>
      </c>
      <c r="BW4" s="6">
        <v>39</v>
      </c>
    </row>
    <row r="5" spans="1:75">
      <c r="A5">
        <v>196</v>
      </c>
      <c r="B5" t="s">
        <v>1207</v>
      </c>
      <c r="C5">
        <v>2</v>
      </c>
      <c r="D5">
        <v>1</v>
      </c>
      <c r="E5">
        <v>37</v>
      </c>
      <c r="F5">
        <v>64</v>
      </c>
      <c r="G5">
        <v>174</v>
      </c>
      <c r="H5">
        <v>1</v>
      </c>
      <c r="I5">
        <v>6</v>
      </c>
      <c r="J5" t="s">
        <v>443</v>
      </c>
      <c r="K5" t="s">
        <v>444</v>
      </c>
      <c r="L5">
        <v>5</v>
      </c>
      <c r="M5">
        <v>0</v>
      </c>
      <c r="O5">
        <v>0</v>
      </c>
      <c r="P5">
        <v>1</v>
      </c>
      <c r="Q5">
        <v>0</v>
      </c>
      <c r="R5">
        <v>0</v>
      </c>
      <c r="S5">
        <v>0</v>
      </c>
      <c r="T5">
        <v>0</v>
      </c>
      <c r="U5">
        <v>0</v>
      </c>
      <c r="V5">
        <v>0</v>
      </c>
      <c r="W5">
        <v>0</v>
      </c>
      <c r="X5">
        <v>0</v>
      </c>
      <c r="Y5">
        <v>0</v>
      </c>
      <c r="Z5">
        <v>1</v>
      </c>
      <c r="AA5" s="6">
        <v>43</v>
      </c>
      <c r="AB5">
        <v>13</v>
      </c>
      <c r="AC5">
        <v>3</v>
      </c>
      <c r="AD5">
        <v>1</v>
      </c>
      <c r="AH5" s="2">
        <v>45075</v>
      </c>
      <c r="AL5">
        <v>28</v>
      </c>
      <c r="AM5">
        <v>5</v>
      </c>
      <c r="AN5">
        <v>1</v>
      </c>
      <c r="AO5" s="6">
        <v>12</v>
      </c>
      <c r="AP5" s="6">
        <v>8</v>
      </c>
      <c r="AQ5" s="6">
        <v>18</v>
      </c>
      <c r="AR5" s="6">
        <v>38</v>
      </c>
      <c r="AS5" s="6">
        <v>19</v>
      </c>
      <c r="AT5" s="6">
        <v>20</v>
      </c>
      <c r="AU5" s="6">
        <v>16</v>
      </c>
      <c r="AV5" s="6">
        <v>14</v>
      </c>
      <c r="AW5" s="6">
        <v>39</v>
      </c>
      <c r="AX5" s="6">
        <v>20</v>
      </c>
      <c r="AY5" s="6">
        <v>18</v>
      </c>
      <c r="AZ5" s="6">
        <v>12</v>
      </c>
      <c r="BA5" s="6">
        <v>8</v>
      </c>
      <c r="BB5" s="6">
        <v>3</v>
      </c>
      <c r="BC5" s="6">
        <v>0</v>
      </c>
      <c r="BD5" s="6">
        <v>5</v>
      </c>
      <c r="BE5" s="6">
        <v>74.3</v>
      </c>
      <c r="BF5" s="6">
        <v>2.9</v>
      </c>
      <c r="BG5" s="6"/>
      <c r="BH5" s="6">
        <v>29</v>
      </c>
      <c r="BI5" s="6">
        <v>18</v>
      </c>
      <c r="BJ5" s="6">
        <v>6</v>
      </c>
      <c r="BK5" s="6">
        <v>2</v>
      </c>
      <c r="BL5" s="6">
        <v>2</v>
      </c>
      <c r="BM5" s="6">
        <v>10</v>
      </c>
      <c r="BN5" s="6">
        <v>7.75</v>
      </c>
      <c r="BO5" s="6">
        <v>7.4285714285714288</v>
      </c>
      <c r="BP5" s="6">
        <v>0</v>
      </c>
      <c r="BQ5" s="6">
        <v>0</v>
      </c>
      <c r="BR5" s="6">
        <v>0</v>
      </c>
      <c r="BS5" s="6">
        <v>10</v>
      </c>
      <c r="BT5" s="6">
        <v>1</v>
      </c>
      <c r="BU5" s="6">
        <v>0</v>
      </c>
      <c r="BV5" s="6">
        <v>11</v>
      </c>
      <c r="BW5" s="6">
        <v>44</v>
      </c>
    </row>
    <row r="6" spans="1:75">
      <c r="A6">
        <v>202</v>
      </c>
      <c r="B6" t="s">
        <v>1211</v>
      </c>
      <c r="C6">
        <v>2</v>
      </c>
      <c r="D6">
        <v>2</v>
      </c>
      <c r="E6">
        <v>49</v>
      </c>
      <c r="F6">
        <v>61</v>
      </c>
      <c r="G6">
        <v>136</v>
      </c>
      <c r="H6">
        <v>0</v>
      </c>
      <c r="I6">
        <v>5</v>
      </c>
      <c r="K6" t="s">
        <v>456</v>
      </c>
      <c r="L6">
        <v>6</v>
      </c>
      <c r="M6">
        <v>0</v>
      </c>
      <c r="O6">
        <v>1</v>
      </c>
      <c r="P6">
        <v>0</v>
      </c>
      <c r="Q6">
        <v>0</v>
      </c>
      <c r="R6">
        <v>0</v>
      </c>
      <c r="S6">
        <v>0</v>
      </c>
      <c r="T6">
        <v>0</v>
      </c>
      <c r="U6">
        <v>0</v>
      </c>
      <c r="V6">
        <v>0</v>
      </c>
      <c r="W6">
        <v>0</v>
      </c>
      <c r="X6">
        <v>0</v>
      </c>
      <c r="Y6">
        <v>0</v>
      </c>
      <c r="Z6">
        <v>4</v>
      </c>
      <c r="AA6" s="6">
        <v>45</v>
      </c>
      <c r="AB6">
        <v>9</v>
      </c>
      <c r="AC6">
        <v>1</v>
      </c>
      <c r="AD6">
        <v>8</v>
      </c>
      <c r="AH6" s="2">
        <v>42583</v>
      </c>
      <c r="AI6">
        <v>4</v>
      </c>
      <c r="AJ6">
        <v>1</v>
      </c>
      <c r="AK6">
        <v>4</v>
      </c>
      <c r="AL6">
        <v>28</v>
      </c>
      <c r="AM6">
        <v>5</v>
      </c>
      <c r="AN6">
        <v>1</v>
      </c>
      <c r="AO6" s="6">
        <v>6</v>
      </c>
      <c r="AP6" s="6">
        <v>9</v>
      </c>
      <c r="AQ6" s="6">
        <v>15</v>
      </c>
      <c r="AR6" s="6">
        <v>30</v>
      </c>
      <c r="AS6" s="6">
        <v>18</v>
      </c>
      <c r="AT6" s="6">
        <v>19</v>
      </c>
      <c r="AU6" s="6">
        <v>15</v>
      </c>
      <c r="AV6" s="6">
        <v>13</v>
      </c>
      <c r="AW6" s="6">
        <v>39</v>
      </c>
      <c r="AX6" s="6">
        <v>7</v>
      </c>
      <c r="AY6" s="6">
        <v>9</v>
      </c>
      <c r="AZ6" s="6">
        <v>20</v>
      </c>
      <c r="BA6" s="6">
        <v>6</v>
      </c>
      <c r="BB6" s="6">
        <v>1</v>
      </c>
      <c r="BC6" s="6">
        <v>7</v>
      </c>
      <c r="BD6" s="6">
        <v>5</v>
      </c>
      <c r="BE6" s="6">
        <v>66.099999999999994</v>
      </c>
      <c r="BF6" s="6">
        <v>2.4</v>
      </c>
      <c r="BG6" s="6"/>
      <c r="BH6" s="6">
        <v>18</v>
      </c>
      <c r="BI6" s="6">
        <v>11</v>
      </c>
      <c r="BJ6" s="6">
        <v>2</v>
      </c>
      <c r="BK6" s="6">
        <v>1</v>
      </c>
      <c r="BL6" s="6">
        <v>0</v>
      </c>
      <c r="BM6" s="6">
        <v>3</v>
      </c>
      <c r="BN6" s="6">
        <v>2.5</v>
      </c>
      <c r="BO6" s="6">
        <v>4.5714285714285712</v>
      </c>
      <c r="BP6" s="6">
        <v>0</v>
      </c>
      <c r="BQ6" s="6">
        <v>0</v>
      </c>
      <c r="BR6" s="6">
        <v>0</v>
      </c>
      <c r="BS6" s="6">
        <v>5</v>
      </c>
      <c r="BT6" s="6">
        <v>3</v>
      </c>
      <c r="BU6" s="6">
        <v>1</v>
      </c>
      <c r="BV6" s="6">
        <v>7</v>
      </c>
      <c r="BW6" s="6">
        <v>40</v>
      </c>
    </row>
    <row r="7" spans="1:75">
      <c r="A7">
        <v>204</v>
      </c>
      <c r="B7" t="s">
        <v>1213</v>
      </c>
      <c r="C7">
        <v>2</v>
      </c>
      <c r="D7">
        <v>2</v>
      </c>
      <c r="E7">
        <v>52</v>
      </c>
      <c r="F7">
        <v>66</v>
      </c>
      <c r="G7">
        <v>189</v>
      </c>
      <c r="H7">
        <v>0</v>
      </c>
      <c r="I7">
        <v>5</v>
      </c>
      <c r="K7" t="s">
        <v>465</v>
      </c>
      <c r="L7">
        <v>5</v>
      </c>
      <c r="M7">
        <v>0</v>
      </c>
      <c r="O7">
        <v>0</v>
      </c>
      <c r="P7">
        <v>0</v>
      </c>
      <c r="Q7">
        <v>0</v>
      </c>
      <c r="R7">
        <v>0</v>
      </c>
      <c r="S7">
        <v>0</v>
      </c>
      <c r="T7">
        <v>0</v>
      </c>
      <c r="U7">
        <v>0</v>
      </c>
      <c r="V7">
        <v>0</v>
      </c>
      <c r="W7">
        <v>0</v>
      </c>
      <c r="X7">
        <v>1</v>
      </c>
      <c r="Y7">
        <v>0</v>
      </c>
      <c r="Z7">
        <v>4</v>
      </c>
      <c r="AA7" s="6">
        <v>33</v>
      </c>
      <c r="AB7">
        <v>11</v>
      </c>
      <c r="AC7">
        <v>2</v>
      </c>
      <c r="AD7">
        <v>4</v>
      </c>
      <c r="AH7" s="2">
        <v>43222</v>
      </c>
      <c r="AI7">
        <v>5</v>
      </c>
      <c r="AJ7">
        <v>2</v>
      </c>
      <c r="AL7">
        <v>28</v>
      </c>
      <c r="AM7">
        <v>6</v>
      </c>
      <c r="AN7">
        <v>2</v>
      </c>
      <c r="AO7" s="6">
        <v>11</v>
      </c>
      <c r="AP7" s="6">
        <v>10</v>
      </c>
      <c r="AQ7" s="6">
        <v>17</v>
      </c>
      <c r="AR7" s="6">
        <v>38</v>
      </c>
      <c r="AS7" s="6">
        <v>17</v>
      </c>
      <c r="AT7" s="6">
        <v>18</v>
      </c>
      <c r="AU7" s="6">
        <v>13</v>
      </c>
      <c r="AV7" s="6">
        <v>12</v>
      </c>
      <c r="AW7" s="6">
        <v>38</v>
      </c>
      <c r="AX7" s="6">
        <v>11</v>
      </c>
      <c r="AY7" s="6">
        <v>9</v>
      </c>
      <c r="AZ7" s="6">
        <v>10</v>
      </c>
      <c r="BA7" s="6">
        <v>5</v>
      </c>
      <c r="BB7" s="6">
        <v>2</v>
      </c>
      <c r="BC7" s="6">
        <v>6</v>
      </c>
      <c r="BD7" s="6">
        <v>2</v>
      </c>
      <c r="BE7" s="6">
        <v>61.6</v>
      </c>
      <c r="BF7" s="6">
        <v>2.5</v>
      </c>
      <c r="BG7" s="6"/>
      <c r="BH7" s="6">
        <v>30</v>
      </c>
      <c r="BI7" s="6">
        <v>20</v>
      </c>
      <c r="BJ7" s="6">
        <v>7</v>
      </c>
      <c r="BK7" s="6">
        <v>3</v>
      </c>
      <c r="BL7" s="6">
        <v>3</v>
      </c>
      <c r="BM7" s="6">
        <v>13</v>
      </c>
      <c r="BN7" s="6">
        <v>9.5</v>
      </c>
      <c r="BO7" s="6">
        <v>8.5714285714285712</v>
      </c>
      <c r="BP7" s="6">
        <v>3</v>
      </c>
      <c r="BQ7" s="6">
        <v>2</v>
      </c>
      <c r="BR7" s="6">
        <v>0</v>
      </c>
      <c r="BS7" s="6">
        <v>9</v>
      </c>
      <c r="BT7" s="6">
        <v>2</v>
      </c>
      <c r="BU7" s="6">
        <v>6</v>
      </c>
      <c r="BV7" s="6">
        <v>10</v>
      </c>
      <c r="BW7" s="6">
        <v>32</v>
      </c>
    </row>
    <row r="8" spans="1:75">
      <c r="A8">
        <v>152</v>
      </c>
      <c r="B8" t="s">
        <v>1189</v>
      </c>
      <c r="C8">
        <v>2</v>
      </c>
      <c r="D8">
        <v>2</v>
      </c>
      <c r="E8">
        <v>26</v>
      </c>
      <c r="F8">
        <v>64</v>
      </c>
      <c r="G8">
        <v>194</v>
      </c>
      <c r="H8">
        <v>0</v>
      </c>
      <c r="I8">
        <v>5</v>
      </c>
      <c r="K8" t="s">
        <v>360</v>
      </c>
      <c r="L8">
        <v>7</v>
      </c>
      <c r="M8">
        <v>0</v>
      </c>
      <c r="O8">
        <v>0</v>
      </c>
      <c r="P8">
        <v>0</v>
      </c>
      <c r="Q8">
        <v>0</v>
      </c>
      <c r="R8">
        <v>1</v>
      </c>
      <c r="S8">
        <v>0</v>
      </c>
      <c r="T8">
        <v>0</v>
      </c>
      <c r="U8">
        <v>0</v>
      </c>
      <c r="V8">
        <v>0</v>
      </c>
      <c r="W8">
        <v>0</v>
      </c>
      <c r="X8">
        <v>0</v>
      </c>
      <c r="Y8">
        <v>0</v>
      </c>
      <c r="Z8" t="s">
        <v>208</v>
      </c>
      <c r="AA8" s="6">
        <v>42</v>
      </c>
      <c r="AB8">
        <v>12</v>
      </c>
      <c r="AC8">
        <v>2</v>
      </c>
      <c r="AD8">
        <v>1</v>
      </c>
      <c r="AH8" s="2">
        <v>45543</v>
      </c>
      <c r="AL8">
        <v>29</v>
      </c>
      <c r="AM8">
        <v>5</v>
      </c>
      <c r="AN8">
        <v>1</v>
      </c>
      <c r="AO8" s="6">
        <v>12</v>
      </c>
      <c r="AP8" s="6">
        <v>13</v>
      </c>
      <c r="AQ8" s="6">
        <v>19</v>
      </c>
      <c r="AR8" s="6">
        <v>44</v>
      </c>
      <c r="AS8" s="6">
        <v>21</v>
      </c>
      <c r="AT8" s="6">
        <v>17</v>
      </c>
      <c r="AU8" s="6">
        <v>11</v>
      </c>
      <c r="AV8" s="6">
        <v>12</v>
      </c>
      <c r="AW8" s="6">
        <v>35</v>
      </c>
      <c r="AX8" s="6">
        <v>21</v>
      </c>
      <c r="AY8" s="6">
        <v>9</v>
      </c>
      <c r="AZ8" s="6">
        <v>2</v>
      </c>
      <c r="BA8" s="6">
        <v>5</v>
      </c>
      <c r="BB8" s="6">
        <v>2</v>
      </c>
      <c r="BC8" s="6">
        <v>0</v>
      </c>
      <c r="BD8" s="6">
        <v>5</v>
      </c>
      <c r="BE8" s="6">
        <v>67.3</v>
      </c>
      <c r="BF8" s="6">
        <v>3.4</v>
      </c>
      <c r="BG8" s="6">
        <v>2</v>
      </c>
      <c r="BH8" s="6">
        <v>23</v>
      </c>
      <c r="BI8" s="6">
        <v>15</v>
      </c>
      <c r="BJ8" s="6">
        <v>1</v>
      </c>
      <c r="BK8" s="6">
        <v>2</v>
      </c>
      <c r="BL8" s="6">
        <v>1</v>
      </c>
      <c r="BM8" s="6">
        <v>4</v>
      </c>
      <c r="BN8" s="6" t="s">
        <v>208</v>
      </c>
      <c r="BO8" s="6" t="s">
        <v>208</v>
      </c>
      <c r="BP8" s="6">
        <v>0</v>
      </c>
      <c r="BQ8" s="6">
        <v>1</v>
      </c>
      <c r="BR8" s="6">
        <v>0</v>
      </c>
      <c r="BS8" s="6">
        <v>5</v>
      </c>
      <c r="BT8" s="6">
        <v>1</v>
      </c>
      <c r="BU8" s="6">
        <v>3</v>
      </c>
      <c r="BV8" s="6">
        <v>4</v>
      </c>
      <c r="BW8" s="6">
        <v>40</v>
      </c>
    </row>
    <row r="9" spans="1:75">
      <c r="A9">
        <v>158</v>
      </c>
      <c r="B9" t="s">
        <v>1194</v>
      </c>
      <c r="C9">
        <v>2</v>
      </c>
      <c r="D9">
        <v>2</v>
      </c>
      <c r="E9">
        <v>34</v>
      </c>
      <c r="F9">
        <v>67</v>
      </c>
      <c r="G9">
        <v>118</v>
      </c>
      <c r="H9">
        <v>0</v>
      </c>
      <c r="I9">
        <v>3</v>
      </c>
      <c r="K9" t="s">
        <v>392</v>
      </c>
      <c r="L9">
        <v>8</v>
      </c>
      <c r="M9">
        <v>0</v>
      </c>
      <c r="O9">
        <v>0</v>
      </c>
      <c r="P9">
        <v>1</v>
      </c>
      <c r="Q9">
        <v>0</v>
      </c>
      <c r="R9">
        <v>0</v>
      </c>
      <c r="S9">
        <v>0</v>
      </c>
      <c r="T9">
        <v>0</v>
      </c>
      <c r="U9">
        <v>0</v>
      </c>
      <c r="V9">
        <v>0</v>
      </c>
      <c r="W9">
        <v>0</v>
      </c>
      <c r="X9">
        <v>0</v>
      </c>
      <c r="Y9">
        <v>0</v>
      </c>
      <c r="Z9" t="s">
        <v>208</v>
      </c>
      <c r="AA9" s="6">
        <v>50</v>
      </c>
      <c r="AB9">
        <v>12</v>
      </c>
      <c r="AC9">
        <v>2</v>
      </c>
      <c r="AD9">
        <v>1</v>
      </c>
      <c r="AH9" s="2">
        <v>45542</v>
      </c>
      <c r="AL9" t="s">
        <v>393</v>
      </c>
      <c r="AM9">
        <v>7</v>
      </c>
      <c r="AN9">
        <v>2</v>
      </c>
      <c r="AO9" s="6">
        <v>8</v>
      </c>
      <c r="AP9" s="6">
        <v>8</v>
      </c>
      <c r="AQ9" s="6">
        <v>15</v>
      </c>
      <c r="AR9" s="6">
        <v>31</v>
      </c>
      <c r="AS9" s="6">
        <v>25</v>
      </c>
      <c r="AT9" s="6">
        <v>19</v>
      </c>
      <c r="AU9" s="6">
        <v>22</v>
      </c>
      <c r="AV9" s="6">
        <v>17</v>
      </c>
      <c r="AW9" s="6">
        <v>54</v>
      </c>
      <c r="AX9" s="6">
        <v>4</v>
      </c>
      <c r="AY9" s="6">
        <v>12</v>
      </c>
      <c r="AZ9" s="6">
        <v>24</v>
      </c>
      <c r="BA9" s="6">
        <v>7</v>
      </c>
      <c r="BB9" s="6">
        <v>3</v>
      </c>
      <c r="BC9" s="6">
        <v>0</v>
      </c>
      <c r="BD9" s="6">
        <v>4</v>
      </c>
      <c r="BE9" s="6">
        <v>64.7</v>
      </c>
      <c r="BF9" s="6">
        <v>2.9</v>
      </c>
      <c r="BG9" s="6">
        <v>3</v>
      </c>
      <c r="BH9" s="6">
        <v>29</v>
      </c>
      <c r="BI9" s="6">
        <v>17</v>
      </c>
      <c r="BJ9" s="6">
        <v>11</v>
      </c>
      <c r="BK9" s="6">
        <v>4</v>
      </c>
      <c r="BL9" s="6">
        <v>6</v>
      </c>
      <c r="BM9" s="6">
        <v>21</v>
      </c>
      <c r="BN9" s="6">
        <v>7</v>
      </c>
      <c r="BO9" s="6">
        <v>6.8571428571428568</v>
      </c>
      <c r="BP9" s="6">
        <v>1</v>
      </c>
      <c r="BQ9" s="6">
        <v>0</v>
      </c>
      <c r="BR9" s="6">
        <v>0</v>
      </c>
      <c r="BS9" s="6">
        <v>5</v>
      </c>
      <c r="BT9" s="6">
        <v>1</v>
      </c>
      <c r="BU9" s="6">
        <v>3</v>
      </c>
      <c r="BV9" s="6">
        <v>4</v>
      </c>
      <c r="BW9" s="6">
        <v>44</v>
      </c>
    </row>
    <row r="10" spans="1:75">
      <c r="A10">
        <v>122</v>
      </c>
      <c r="B10" t="s">
        <v>1173</v>
      </c>
      <c r="C10">
        <v>2</v>
      </c>
      <c r="D10">
        <v>1</v>
      </c>
      <c r="E10">
        <v>54</v>
      </c>
      <c r="F10">
        <v>67</v>
      </c>
      <c r="G10">
        <v>200</v>
      </c>
      <c r="H10">
        <v>0</v>
      </c>
      <c r="I10">
        <v>3</v>
      </c>
      <c r="K10" t="s">
        <v>234</v>
      </c>
      <c r="L10">
        <v>9</v>
      </c>
      <c r="M10">
        <v>0</v>
      </c>
      <c r="O10">
        <v>0</v>
      </c>
      <c r="P10">
        <v>1</v>
      </c>
      <c r="Q10">
        <v>0</v>
      </c>
      <c r="R10">
        <v>0</v>
      </c>
      <c r="S10">
        <v>0</v>
      </c>
      <c r="T10">
        <v>0</v>
      </c>
      <c r="U10">
        <v>0</v>
      </c>
      <c r="V10">
        <v>0</v>
      </c>
      <c r="W10">
        <v>0</v>
      </c>
      <c r="X10">
        <v>0</v>
      </c>
      <c r="Y10">
        <v>0</v>
      </c>
      <c r="Z10" t="s">
        <v>208</v>
      </c>
      <c r="AA10" s="6">
        <v>42</v>
      </c>
      <c r="AB10">
        <v>11</v>
      </c>
      <c r="AC10">
        <v>2</v>
      </c>
      <c r="AD10">
        <v>4</v>
      </c>
      <c r="AH10" s="2">
        <v>43159</v>
      </c>
      <c r="AI10">
        <v>5</v>
      </c>
      <c r="AJ10">
        <v>1</v>
      </c>
      <c r="AK10">
        <v>2</v>
      </c>
      <c r="AL10">
        <v>42</v>
      </c>
      <c r="AM10">
        <v>5</v>
      </c>
      <c r="AN10">
        <v>2</v>
      </c>
      <c r="AO10" s="6">
        <v>11</v>
      </c>
      <c r="AP10" s="6">
        <v>9</v>
      </c>
      <c r="AQ10" s="6">
        <v>17</v>
      </c>
      <c r="AR10" s="6">
        <v>37</v>
      </c>
      <c r="AS10" s="6">
        <v>25</v>
      </c>
      <c r="AT10" s="6">
        <v>23</v>
      </c>
      <c r="AU10" s="6">
        <v>17</v>
      </c>
      <c r="AV10" s="6">
        <v>13</v>
      </c>
      <c r="AW10" s="6">
        <v>42</v>
      </c>
      <c r="AX10" s="6">
        <v>10</v>
      </c>
      <c r="AY10" s="6">
        <v>11</v>
      </c>
      <c r="AZ10" s="6">
        <v>5</v>
      </c>
      <c r="BA10" s="6">
        <v>4</v>
      </c>
      <c r="BB10" s="6">
        <v>2</v>
      </c>
      <c r="BC10" s="6">
        <v>0</v>
      </c>
      <c r="BD10" s="6">
        <v>2</v>
      </c>
      <c r="BE10" s="6">
        <v>53.1</v>
      </c>
      <c r="BF10" s="6">
        <v>3.1</v>
      </c>
      <c r="BG10" s="6">
        <v>2</v>
      </c>
      <c r="BH10" s="6">
        <v>22</v>
      </c>
      <c r="BI10" s="6">
        <v>16</v>
      </c>
      <c r="BJ10" s="6">
        <v>10</v>
      </c>
      <c r="BK10" s="6">
        <v>2</v>
      </c>
      <c r="BL10" s="6">
        <v>4</v>
      </c>
      <c r="BM10" s="6">
        <v>16</v>
      </c>
      <c r="BN10" s="6">
        <v>4</v>
      </c>
      <c r="BO10" s="6">
        <v>2.5714285714285716</v>
      </c>
      <c r="BP10" s="6">
        <v>3</v>
      </c>
      <c r="BQ10" s="6">
        <v>0</v>
      </c>
      <c r="BR10" s="6">
        <v>0</v>
      </c>
      <c r="BS10" s="6">
        <v>5</v>
      </c>
      <c r="BT10" s="6">
        <v>1</v>
      </c>
      <c r="BU10" s="6">
        <v>4</v>
      </c>
      <c r="BV10" s="6">
        <v>5</v>
      </c>
      <c r="BW10" s="6">
        <v>43</v>
      </c>
    </row>
    <row r="11" spans="1:75">
      <c r="A11">
        <v>149</v>
      </c>
      <c r="B11" t="s">
        <v>1186</v>
      </c>
      <c r="C11">
        <v>2</v>
      </c>
      <c r="D11">
        <v>2</v>
      </c>
      <c r="E11">
        <v>22</v>
      </c>
      <c r="F11">
        <v>66</v>
      </c>
      <c r="G11">
        <v>142</v>
      </c>
      <c r="H11">
        <v>0</v>
      </c>
      <c r="I11">
        <v>2</v>
      </c>
      <c r="K11" t="s">
        <v>330</v>
      </c>
      <c r="L11">
        <v>5</v>
      </c>
      <c r="M11">
        <v>0</v>
      </c>
      <c r="O11">
        <v>0</v>
      </c>
      <c r="P11">
        <v>0</v>
      </c>
      <c r="Q11">
        <v>1</v>
      </c>
      <c r="R11">
        <v>0</v>
      </c>
      <c r="S11">
        <v>0</v>
      </c>
      <c r="T11">
        <v>0</v>
      </c>
      <c r="U11">
        <v>0</v>
      </c>
      <c r="V11">
        <v>0</v>
      </c>
      <c r="W11">
        <v>0</v>
      </c>
      <c r="X11">
        <v>0</v>
      </c>
      <c r="Y11">
        <v>0</v>
      </c>
      <c r="Z11" t="s">
        <v>208</v>
      </c>
      <c r="AA11" s="6">
        <v>40</v>
      </c>
      <c r="AB11">
        <v>12</v>
      </c>
      <c r="AC11">
        <v>2</v>
      </c>
      <c r="AD11">
        <v>2</v>
      </c>
      <c r="AH11" s="2">
        <v>45496</v>
      </c>
      <c r="AL11" t="s">
        <v>331</v>
      </c>
      <c r="AM11">
        <v>5</v>
      </c>
      <c r="AN11">
        <v>2</v>
      </c>
      <c r="AO11" s="6">
        <v>14</v>
      </c>
      <c r="AP11" s="6">
        <v>12</v>
      </c>
      <c r="AQ11" s="6">
        <v>18</v>
      </c>
      <c r="AR11" s="6">
        <v>44</v>
      </c>
      <c r="AS11" s="6">
        <v>18</v>
      </c>
      <c r="AT11" s="6">
        <v>28</v>
      </c>
      <c r="AU11" s="6">
        <v>23</v>
      </c>
      <c r="AV11" s="6">
        <v>15</v>
      </c>
      <c r="AW11" s="6">
        <v>55</v>
      </c>
      <c r="AX11" s="6">
        <v>25</v>
      </c>
      <c r="AY11" s="6">
        <v>12</v>
      </c>
      <c r="AZ11" s="6">
        <v>0.9</v>
      </c>
      <c r="BA11" s="6">
        <v>9</v>
      </c>
      <c r="BB11" s="6">
        <v>3</v>
      </c>
      <c r="BC11" s="6">
        <v>4</v>
      </c>
      <c r="BD11" s="6">
        <v>5</v>
      </c>
      <c r="BE11" s="6">
        <v>77.7</v>
      </c>
      <c r="BF11" s="6">
        <v>3.9</v>
      </c>
      <c r="BG11" s="6">
        <v>4</v>
      </c>
      <c r="BH11" s="6">
        <v>20</v>
      </c>
      <c r="BI11" s="6">
        <v>30</v>
      </c>
      <c r="BJ11" s="6">
        <v>20</v>
      </c>
      <c r="BK11" s="6">
        <v>12</v>
      </c>
      <c r="BL11" s="6">
        <v>14</v>
      </c>
      <c r="BM11" s="6">
        <v>46</v>
      </c>
      <c r="BN11" s="6">
        <v>6.75</v>
      </c>
      <c r="BO11" s="6">
        <v>9</v>
      </c>
      <c r="BP11" s="6">
        <v>12</v>
      </c>
      <c r="BQ11" s="6">
        <v>7</v>
      </c>
      <c r="BR11" s="6">
        <v>3</v>
      </c>
      <c r="BS11" s="6">
        <v>17</v>
      </c>
      <c r="BT11" s="6">
        <v>12</v>
      </c>
      <c r="BU11" s="6">
        <v>7</v>
      </c>
      <c r="BV11" s="6">
        <v>44</v>
      </c>
      <c r="BW11" s="6">
        <v>62</v>
      </c>
    </row>
    <row r="12" spans="1:75">
      <c r="A12">
        <v>153</v>
      </c>
      <c r="B12" t="s">
        <v>1190</v>
      </c>
      <c r="C12">
        <v>2</v>
      </c>
      <c r="D12">
        <v>2</v>
      </c>
      <c r="E12">
        <v>43</v>
      </c>
      <c r="F12">
        <v>66</v>
      </c>
      <c r="G12">
        <v>160</v>
      </c>
      <c r="H12">
        <v>0</v>
      </c>
      <c r="I12">
        <v>3</v>
      </c>
      <c r="K12" t="s">
        <v>369</v>
      </c>
      <c r="L12">
        <v>5</v>
      </c>
      <c r="M12">
        <v>0</v>
      </c>
      <c r="O12">
        <v>0</v>
      </c>
      <c r="P12">
        <v>1</v>
      </c>
      <c r="Q12">
        <v>0</v>
      </c>
      <c r="R12">
        <v>0</v>
      </c>
      <c r="S12">
        <v>0</v>
      </c>
      <c r="T12">
        <v>0</v>
      </c>
      <c r="U12">
        <v>0</v>
      </c>
      <c r="V12">
        <v>0</v>
      </c>
      <c r="W12">
        <v>0</v>
      </c>
      <c r="X12">
        <v>0</v>
      </c>
      <c r="Y12">
        <v>0</v>
      </c>
      <c r="Z12" t="s">
        <v>208</v>
      </c>
      <c r="AA12" s="6">
        <v>42</v>
      </c>
      <c r="AB12">
        <v>14</v>
      </c>
      <c r="AC12">
        <v>3</v>
      </c>
      <c r="AD12">
        <v>6</v>
      </c>
      <c r="AF12" t="s">
        <v>209</v>
      </c>
      <c r="AH12" s="2">
        <v>38727</v>
      </c>
      <c r="AI12">
        <v>2</v>
      </c>
      <c r="AJ12">
        <v>1</v>
      </c>
      <c r="AK12">
        <v>1</v>
      </c>
      <c r="AL12" t="s">
        <v>370</v>
      </c>
      <c r="AM12" t="s">
        <v>371</v>
      </c>
      <c r="AN12">
        <v>3</v>
      </c>
      <c r="AO12" s="6">
        <v>9</v>
      </c>
      <c r="AP12" s="6">
        <v>10</v>
      </c>
      <c r="AQ12" s="6">
        <v>13</v>
      </c>
      <c r="AR12" s="6">
        <v>32</v>
      </c>
      <c r="AS12" s="6">
        <v>20</v>
      </c>
      <c r="AT12" s="6">
        <v>20</v>
      </c>
      <c r="AU12" s="6">
        <v>7</v>
      </c>
      <c r="AV12" s="6">
        <v>8</v>
      </c>
      <c r="AW12" s="6">
        <v>23</v>
      </c>
      <c r="AX12" s="6">
        <v>15</v>
      </c>
      <c r="AY12" s="6">
        <v>7</v>
      </c>
      <c r="AZ12" s="6">
        <v>7</v>
      </c>
      <c r="BA12" s="6">
        <v>6</v>
      </c>
      <c r="BB12" s="6">
        <v>1</v>
      </c>
      <c r="BC12" s="6">
        <v>0</v>
      </c>
      <c r="BD12" s="6">
        <v>4</v>
      </c>
      <c r="BE12" s="6">
        <v>63.9</v>
      </c>
      <c r="BF12" s="6">
        <v>3</v>
      </c>
      <c r="BG12" s="6">
        <v>2</v>
      </c>
      <c r="BH12" s="6">
        <v>16</v>
      </c>
      <c r="BI12" s="6">
        <v>23</v>
      </c>
      <c r="BJ12" s="6">
        <v>4</v>
      </c>
      <c r="BK12" s="6">
        <v>4</v>
      </c>
      <c r="BL12" s="6">
        <v>6</v>
      </c>
      <c r="BM12" s="6">
        <v>14</v>
      </c>
      <c r="BN12" s="6">
        <v>6</v>
      </c>
      <c r="BO12" s="6">
        <v>6</v>
      </c>
      <c r="BP12" s="6">
        <v>7</v>
      </c>
      <c r="BQ12" s="6">
        <v>2</v>
      </c>
      <c r="BR12" s="6">
        <v>3</v>
      </c>
      <c r="BS12" s="6">
        <v>14</v>
      </c>
      <c r="BT12" s="6">
        <v>4</v>
      </c>
      <c r="BU12" s="6">
        <v>0</v>
      </c>
      <c r="BV12" s="6">
        <v>30</v>
      </c>
      <c r="BW12" s="6">
        <v>58</v>
      </c>
    </row>
    <row r="13" spans="1:75">
      <c r="A13">
        <v>130</v>
      </c>
      <c r="B13" t="s">
        <v>1176</v>
      </c>
      <c r="C13">
        <v>2</v>
      </c>
      <c r="D13">
        <v>2</v>
      </c>
      <c r="E13">
        <v>55</v>
      </c>
      <c r="F13">
        <v>67</v>
      </c>
      <c r="G13">
        <v>145</v>
      </c>
      <c r="H13">
        <v>0</v>
      </c>
      <c r="I13">
        <v>3</v>
      </c>
      <c r="K13" t="s">
        <v>259</v>
      </c>
      <c r="L13">
        <v>8</v>
      </c>
      <c r="M13">
        <v>0</v>
      </c>
      <c r="O13">
        <v>0</v>
      </c>
      <c r="P13">
        <v>1</v>
      </c>
      <c r="Q13">
        <v>0</v>
      </c>
      <c r="R13">
        <v>0</v>
      </c>
      <c r="S13">
        <v>0</v>
      </c>
      <c r="T13">
        <v>0</v>
      </c>
      <c r="U13">
        <v>0</v>
      </c>
      <c r="V13">
        <v>0</v>
      </c>
      <c r="W13">
        <v>0</v>
      </c>
      <c r="X13">
        <v>0</v>
      </c>
      <c r="Y13">
        <v>0</v>
      </c>
      <c r="Z13" t="s">
        <v>208</v>
      </c>
      <c r="AA13" s="6">
        <v>55</v>
      </c>
      <c r="AB13">
        <v>14</v>
      </c>
      <c r="AC13">
        <v>3</v>
      </c>
      <c r="AD13">
        <v>1</v>
      </c>
      <c r="AH13" s="2">
        <v>45464</v>
      </c>
      <c r="AL13">
        <v>28</v>
      </c>
      <c r="AM13">
        <v>7</v>
      </c>
      <c r="AN13">
        <v>1</v>
      </c>
      <c r="AO13" s="6">
        <v>8</v>
      </c>
      <c r="AP13" s="6">
        <v>10</v>
      </c>
      <c r="AQ13" s="6">
        <v>15</v>
      </c>
      <c r="AR13" s="6">
        <v>33</v>
      </c>
      <c r="AS13" s="6">
        <v>23</v>
      </c>
      <c r="AT13" s="6">
        <v>20</v>
      </c>
      <c r="AU13" s="6">
        <v>15</v>
      </c>
      <c r="AV13" s="6">
        <v>13</v>
      </c>
      <c r="AW13" s="6">
        <v>39</v>
      </c>
      <c r="AX13" s="6">
        <v>7</v>
      </c>
      <c r="AY13" s="6">
        <v>12</v>
      </c>
      <c r="AZ13" s="6">
        <v>15</v>
      </c>
      <c r="BA13" s="6">
        <v>5</v>
      </c>
      <c r="BB13" s="6">
        <v>2</v>
      </c>
      <c r="BC13" s="6">
        <v>0</v>
      </c>
      <c r="BD13" s="6">
        <v>3</v>
      </c>
      <c r="BE13" s="6">
        <v>56.6</v>
      </c>
      <c r="BF13" s="6">
        <v>3</v>
      </c>
      <c r="BG13" s="6">
        <v>2</v>
      </c>
      <c r="BH13" s="6">
        <v>27</v>
      </c>
      <c r="BI13" s="6">
        <v>16</v>
      </c>
      <c r="BJ13" s="6">
        <v>0</v>
      </c>
      <c r="BK13" s="6">
        <v>6</v>
      </c>
      <c r="BL13" s="6">
        <v>5</v>
      </c>
      <c r="BM13" s="6">
        <v>11</v>
      </c>
      <c r="BN13" s="6">
        <v>2</v>
      </c>
      <c r="BO13" s="6">
        <v>1.7142857142857142</v>
      </c>
      <c r="BP13" s="6">
        <v>3</v>
      </c>
      <c r="BQ13" s="6">
        <v>2</v>
      </c>
      <c r="BR13" s="6">
        <v>0</v>
      </c>
      <c r="BS13" s="6">
        <v>6</v>
      </c>
      <c r="BT13" s="6">
        <v>4</v>
      </c>
      <c r="BU13" s="6">
        <v>1</v>
      </c>
      <c r="BV13" s="6">
        <v>14</v>
      </c>
      <c r="BW13" s="6">
        <v>32</v>
      </c>
    </row>
    <row r="14" spans="1:75">
      <c r="A14">
        <v>151</v>
      </c>
      <c r="B14" t="s">
        <v>1188</v>
      </c>
      <c r="C14">
        <v>2</v>
      </c>
      <c r="D14">
        <v>2</v>
      </c>
      <c r="E14">
        <v>31</v>
      </c>
      <c r="F14">
        <v>63</v>
      </c>
      <c r="G14">
        <v>145</v>
      </c>
      <c r="H14">
        <v>0</v>
      </c>
      <c r="I14">
        <v>3</v>
      </c>
      <c r="K14" t="s">
        <v>349</v>
      </c>
      <c r="L14">
        <v>7</v>
      </c>
      <c r="M14">
        <v>0</v>
      </c>
      <c r="O14">
        <v>0</v>
      </c>
      <c r="P14">
        <v>1</v>
      </c>
      <c r="Q14">
        <v>0</v>
      </c>
      <c r="R14">
        <v>0</v>
      </c>
      <c r="S14">
        <v>0</v>
      </c>
      <c r="T14">
        <v>0</v>
      </c>
      <c r="U14">
        <v>0</v>
      </c>
      <c r="V14">
        <v>0</v>
      </c>
      <c r="W14">
        <v>0</v>
      </c>
      <c r="X14">
        <v>0</v>
      </c>
      <c r="Y14">
        <v>0</v>
      </c>
      <c r="Z14" t="s">
        <v>208</v>
      </c>
      <c r="AA14" s="6">
        <v>38</v>
      </c>
      <c r="AB14">
        <v>12</v>
      </c>
      <c r="AC14">
        <v>2</v>
      </c>
      <c r="AD14">
        <v>1</v>
      </c>
      <c r="AH14" s="2">
        <v>45513</v>
      </c>
      <c r="AL14">
        <v>28</v>
      </c>
      <c r="AM14">
        <v>5</v>
      </c>
      <c r="AN14">
        <v>1</v>
      </c>
      <c r="AO14" s="6">
        <v>14</v>
      </c>
      <c r="AP14" s="6">
        <v>16</v>
      </c>
      <c r="AQ14" s="6">
        <v>20</v>
      </c>
      <c r="AR14" s="6">
        <v>50</v>
      </c>
      <c r="AS14" s="6">
        <v>20</v>
      </c>
      <c r="AT14" s="6">
        <v>19</v>
      </c>
      <c r="AU14" s="6">
        <v>18</v>
      </c>
      <c r="AV14" s="6">
        <v>13</v>
      </c>
      <c r="AW14" s="6">
        <v>42</v>
      </c>
      <c r="AX14" s="6">
        <v>11</v>
      </c>
      <c r="AY14" s="6">
        <v>19</v>
      </c>
      <c r="AZ14" s="6">
        <v>11</v>
      </c>
      <c r="BA14" s="6">
        <v>6</v>
      </c>
      <c r="BB14" s="6">
        <v>2</v>
      </c>
      <c r="BC14" s="6">
        <v>0</v>
      </c>
      <c r="BD14" s="6">
        <v>4</v>
      </c>
      <c r="BE14" s="6">
        <v>63.9</v>
      </c>
      <c r="BF14" s="6">
        <v>3</v>
      </c>
      <c r="BG14" s="6">
        <v>2</v>
      </c>
      <c r="BH14" s="6">
        <v>30</v>
      </c>
      <c r="BI14" s="6">
        <v>15</v>
      </c>
      <c r="BJ14" s="6">
        <v>7</v>
      </c>
      <c r="BK14" s="6">
        <v>1</v>
      </c>
      <c r="BL14" s="6">
        <v>3</v>
      </c>
      <c r="BM14" s="6">
        <v>11</v>
      </c>
      <c r="BN14" s="6">
        <v>5</v>
      </c>
      <c r="BO14" s="6">
        <v>3.7142857142857144</v>
      </c>
      <c r="BP14" s="6">
        <v>4</v>
      </c>
      <c r="BQ14" s="6">
        <v>0</v>
      </c>
      <c r="BR14" s="6">
        <v>2</v>
      </c>
      <c r="BS14" s="6">
        <v>8</v>
      </c>
      <c r="BT14" s="6">
        <v>5</v>
      </c>
      <c r="BU14" s="6">
        <v>8</v>
      </c>
      <c r="BV14" s="6">
        <v>11</v>
      </c>
      <c r="BW14" s="6">
        <v>43</v>
      </c>
    </row>
    <row r="15" spans="1:75">
      <c r="A15">
        <v>127</v>
      </c>
      <c r="B15" t="s">
        <v>1175</v>
      </c>
      <c r="C15">
        <v>2</v>
      </c>
      <c r="D15">
        <v>1</v>
      </c>
      <c r="E15">
        <v>37</v>
      </c>
      <c r="F15">
        <v>64</v>
      </c>
      <c r="G15">
        <v>130</v>
      </c>
      <c r="H15">
        <v>0</v>
      </c>
      <c r="I15">
        <v>3</v>
      </c>
      <c r="K15" t="s">
        <v>253</v>
      </c>
      <c r="L15">
        <v>8</v>
      </c>
      <c r="M15">
        <v>0</v>
      </c>
      <c r="O15">
        <v>0</v>
      </c>
      <c r="P15">
        <v>1</v>
      </c>
      <c r="Q15">
        <v>0</v>
      </c>
      <c r="R15">
        <v>0</v>
      </c>
      <c r="S15">
        <v>0</v>
      </c>
      <c r="T15">
        <v>0</v>
      </c>
      <c r="U15">
        <v>0</v>
      </c>
      <c r="V15">
        <v>0</v>
      </c>
      <c r="W15">
        <v>0</v>
      </c>
      <c r="X15">
        <v>0</v>
      </c>
      <c r="Y15">
        <v>0</v>
      </c>
      <c r="Z15" t="s">
        <v>208</v>
      </c>
      <c r="AA15" s="6">
        <v>44</v>
      </c>
      <c r="AB15">
        <v>12</v>
      </c>
      <c r="AC15">
        <v>2</v>
      </c>
      <c r="AD15">
        <v>2</v>
      </c>
      <c r="AH15" s="2">
        <v>45473</v>
      </c>
      <c r="AL15">
        <v>23</v>
      </c>
      <c r="AM15">
        <v>5</v>
      </c>
      <c r="AN15">
        <v>2</v>
      </c>
      <c r="AO15" s="6">
        <v>13</v>
      </c>
      <c r="AP15" s="6">
        <v>13</v>
      </c>
      <c r="AQ15" s="6">
        <v>19</v>
      </c>
      <c r="AR15" s="6">
        <v>45</v>
      </c>
      <c r="AS15" s="6">
        <v>23</v>
      </c>
      <c r="AT15" s="6">
        <v>29</v>
      </c>
      <c r="AU15" s="6">
        <v>13</v>
      </c>
      <c r="AV15" s="6">
        <v>13</v>
      </c>
      <c r="AW15" s="6">
        <v>35</v>
      </c>
      <c r="AX15" s="6">
        <v>18</v>
      </c>
      <c r="AY15" s="6">
        <v>11</v>
      </c>
      <c r="AZ15" s="6">
        <v>3</v>
      </c>
      <c r="BA15" s="6">
        <v>8</v>
      </c>
      <c r="BB15" s="6">
        <v>2</v>
      </c>
      <c r="BC15" s="6">
        <v>0</v>
      </c>
      <c r="BD15" s="6">
        <v>5</v>
      </c>
      <c r="BE15" s="6">
        <v>67.3</v>
      </c>
      <c r="BF15" s="6">
        <v>3.4</v>
      </c>
      <c r="BG15" s="6">
        <v>2</v>
      </c>
      <c r="BH15" s="6">
        <v>22</v>
      </c>
      <c r="BI15" s="6">
        <v>17</v>
      </c>
      <c r="BJ15" s="6">
        <v>8</v>
      </c>
      <c r="BK15" s="6">
        <v>4</v>
      </c>
      <c r="BL15" s="6">
        <v>4</v>
      </c>
      <c r="BM15" s="6">
        <v>16</v>
      </c>
      <c r="BN15" s="6">
        <v>4.75</v>
      </c>
      <c r="BO15" s="6">
        <v>5.5714285714285712</v>
      </c>
      <c r="BP15" s="6">
        <v>1</v>
      </c>
      <c r="BQ15" s="6">
        <v>0</v>
      </c>
      <c r="BR15" s="6">
        <v>0</v>
      </c>
      <c r="BS15" s="6">
        <v>7</v>
      </c>
      <c r="BT15" s="6">
        <v>0</v>
      </c>
      <c r="BU15" s="6">
        <v>1</v>
      </c>
      <c r="BV15" s="6">
        <v>7</v>
      </c>
      <c r="BW15" s="6">
        <v>41</v>
      </c>
    </row>
    <row r="16" spans="1:75">
      <c r="A16">
        <v>159</v>
      </c>
      <c r="B16" t="s">
        <v>1195</v>
      </c>
      <c r="C16">
        <v>2</v>
      </c>
      <c r="D16">
        <v>2</v>
      </c>
      <c r="E16">
        <v>27</v>
      </c>
      <c r="F16">
        <v>65</v>
      </c>
      <c r="G16">
        <v>150</v>
      </c>
      <c r="H16">
        <v>0</v>
      </c>
      <c r="I16">
        <v>3</v>
      </c>
      <c r="K16" t="s">
        <v>406</v>
      </c>
      <c r="L16">
        <v>8</v>
      </c>
      <c r="M16">
        <v>0</v>
      </c>
      <c r="O16">
        <v>0</v>
      </c>
      <c r="P16">
        <v>1</v>
      </c>
      <c r="Q16">
        <v>1</v>
      </c>
      <c r="R16">
        <v>0</v>
      </c>
      <c r="S16">
        <v>0</v>
      </c>
      <c r="T16">
        <v>0</v>
      </c>
      <c r="U16">
        <v>0</v>
      </c>
      <c r="V16">
        <v>0</v>
      </c>
      <c r="W16">
        <v>0</v>
      </c>
      <c r="X16">
        <v>0</v>
      </c>
      <c r="Y16">
        <v>0</v>
      </c>
      <c r="Z16" t="s">
        <v>208</v>
      </c>
      <c r="AA16" s="6">
        <v>52</v>
      </c>
      <c r="AB16">
        <v>13</v>
      </c>
      <c r="AC16">
        <v>6</v>
      </c>
      <c r="AD16">
        <v>1</v>
      </c>
      <c r="AH16" s="2">
        <v>45529</v>
      </c>
      <c r="AL16">
        <v>29</v>
      </c>
      <c r="AM16">
        <v>5</v>
      </c>
      <c r="AN16">
        <v>2</v>
      </c>
      <c r="AO16" s="6">
        <v>12</v>
      </c>
      <c r="AP16" s="6">
        <v>11</v>
      </c>
      <c r="AQ16" s="6">
        <v>19</v>
      </c>
      <c r="AR16" s="6">
        <v>42</v>
      </c>
      <c r="AS16" s="6">
        <v>25</v>
      </c>
      <c r="AT16" s="6">
        <v>18</v>
      </c>
      <c r="AU16" s="6">
        <v>17</v>
      </c>
      <c r="AV16" s="6">
        <v>14</v>
      </c>
      <c r="AW16" s="6">
        <v>44</v>
      </c>
      <c r="AX16" s="6">
        <v>19</v>
      </c>
      <c r="AY16" s="6">
        <v>15</v>
      </c>
      <c r="AZ16" s="6">
        <v>10</v>
      </c>
      <c r="BA16" s="6">
        <v>5</v>
      </c>
      <c r="BB16" s="6">
        <v>3</v>
      </c>
      <c r="BC16" s="6">
        <v>0</v>
      </c>
      <c r="BD16" s="6">
        <v>4</v>
      </c>
      <c r="BE16" s="6">
        <v>73.900000000000006</v>
      </c>
      <c r="BF16" s="6">
        <v>2.9</v>
      </c>
      <c r="BG16" s="6">
        <v>4</v>
      </c>
      <c r="BH16" s="6">
        <v>27</v>
      </c>
      <c r="BI16" s="6">
        <v>22</v>
      </c>
      <c r="BJ16" s="6">
        <v>12</v>
      </c>
      <c r="BK16" s="6">
        <v>3</v>
      </c>
      <c r="BL16" s="6">
        <v>9</v>
      </c>
      <c r="BM16" s="6">
        <v>24</v>
      </c>
      <c r="BN16" s="6">
        <v>3.5</v>
      </c>
      <c r="BO16" s="6">
        <v>1.8571428571428572</v>
      </c>
      <c r="BP16" s="6">
        <v>4</v>
      </c>
      <c r="BQ16" s="6">
        <v>1</v>
      </c>
      <c r="BR16" s="6">
        <v>0</v>
      </c>
      <c r="BS16" s="6">
        <v>9</v>
      </c>
      <c r="BT16" s="6">
        <v>2</v>
      </c>
      <c r="BU16" s="6">
        <v>4</v>
      </c>
      <c r="BV16" s="6">
        <v>12</v>
      </c>
      <c r="BW16" s="6">
        <v>46</v>
      </c>
    </row>
    <row r="17" spans="1:75">
      <c r="A17">
        <v>147</v>
      </c>
      <c r="B17" t="s">
        <v>1185</v>
      </c>
      <c r="C17">
        <v>2</v>
      </c>
      <c r="D17">
        <v>2</v>
      </c>
      <c r="E17">
        <v>60</v>
      </c>
      <c r="F17">
        <v>64</v>
      </c>
      <c r="G17">
        <v>115.6</v>
      </c>
      <c r="H17">
        <v>0</v>
      </c>
      <c r="I17">
        <v>6</v>
      </c>
      <c r="J17" t="s">
        <v>322</v>
      </c>
      <c r="K17" t="s">
        <v>323</v>
      </c>
      <c r="L17">
        <v>6</v>
      </c>
      <c r="M17">
        <v>0</v>
      </c>
      <c r="O17">
        <v>0</v>
      </c>
      <c r="P17">
        <v>1</v>
      </c>
      <c r="Q17">
        <v>0</v>
      </c>
      <c r="R17">
        <v>0</v>
      </c>
      <c r="S17">
        <v>0</v>
      </c>
      <c r="T17">
        <v>0</v>
      </c>
      <c r="U17">
        <v>0</v>
      </c>
      <c r="V17">
        <v>0</v>
      </c>
      <c r="W17">
        <v>0</v>
      </c>
      <c r="X17">
        <v>0</v>
      </c>
      <c r="Y17">
        <v>0</v>
      </c>
      <c r="Z17" t="s">
        <v>208</v>
      </c>
      <c r="AA17" s="6">
        <v>25</v>
      </c>
      <c r="AB17">
        <v>16</v>
      </c>
      <c r="AC17">
        <v>4</v>
      </c>
      <c r="AD17">
        <v>4</v>
      </c>
      <c r="AH17" s="2">
        <v>43831</v>
      </c>
      <c r="AI17">
        <v>7</v>
      </c>
      <c r="AJ17">
        <v>2</v>
      </c>
      <c r="AL17">
        <v>17</v>
      </c>
      <c r="AM17">
        <v>10</v>
      </c>
      <c r="AN17">
        <v>3</v>
      </c>
      <c r="AO17" s="6">
        <v>13</v>
      </c>
      <c r="AP17" s="6">
        <v>15</v>
      </c>
      <c r="AQ17" s="6">
        <v>18</v>
      </c>
      <c r="AR17" s="6">
        <v>46</v>
      </c>
      <c r="AS17" s="6">
        <v>16</v>
      </c>
      <c r="AT17" s="6">
        <v>17</v>
      </c>
      <c r="AU17" s="6">
        <v>10</v>
      </c>
      <c r="AV17" s="6">
        <v>8</v>
      </c>
      <c r="AW17" s="6">
        <v>25</v>
      </c>
      <c r="AX17" s="6">
        <v>1</v>
      </c>
      <c r="AY17" s="6">
        <v>9</v>
      </c>
      <c r="AZ17" s="6">
        <v>20</v>
      </c>
      <c r="BA17" s="6">
        <v>7</v>
      </c>
      <c r="BB17" s="6">
        <v>0</v>
      </c>
      <c r="BC17" s="6">
        <v>0</v>
      </c>
      <c r="BD17" s="6">
        <v>3</v>
      </c>
      <c r="BE17" s="6">
        <v>64.8</v>
      </c>
      <c r="BF17" s="6">
        <v>3</v>
      </c>
      <c r="BG17" s="6">
        <v>3</v>
      </c>
      <c r="BH17" s="6">
        <v>31</v>
      </c>
      <c r="BI17" s="6">
        <v>12</v>
      </c>
      <c r="BJ17" s="6">
        <v>3</v>
      </c>
      <c r="BK17" s="6">
        <v>1</v>
      </c>
      <c r="BL17" s="6">
        <v>1</v>
      </c>
      <c r="BM17" s="6">
        <v>5</v>
      </c>
      <c r="BN17" s="6">
        <v>3.75</v>
      </c>
      <c r="BO17" s="6">
        <v>3.7142857142857144</v>
      </c>
      <c r="BP17" s="6">
        <v>1</v>
      </c>
      <c r="BQ17" s="6">
        <v>1</v>
      </c>
      <c r="BR17" s="6">
        <v>0</v>
      </c>
      <c r="BS17" s="6">
        <v>6</v>
      </c>
      <c r="BT17" s="6">
        <v>7</v>
      </c>
      <c r="BU17" s="6">
        <v>9</v>
      </c>
      <c r="BV17" s="6">
        <v>6</v>
      </c>
      <c r="BW17" s="6">
        <v>32</v>
      </c>
    </row>
    <row r="18" spans="1:75">
      <c r="A18">
        <v>143</v>
      </c>
      <c r="B18" t="s">
        <v>1181</v>
      </c>
      <c r="C18">
        <v>2</v>
      </c>
      <c r="D18">
        <v>2</v>
      </c>
      <c r="E18">
        <v>41</v>
      </c>
      <c r="F18">
        <v>68</v>
      </c>
      <c r="G18">
        <v>186</v>
      </c>
      <c r="H18">
        <v>0</v>
      </c>
      <c r="I18">
        <v>3</v>
      </c>
      <c r="K18" t="s">
        <v>282</v>
      </c>
      <c r="L18">
        <v>7</v>
      </c>
      <c r="M18">
        <v>0</v>
      </c>
      <c r="O18">
        <v>0</v>
      </c>
      <c r="P18">
        <v>1</v>
      </c>
      <c r="Q18">
        <v>0</v>
      </c>
      <c r="R18">
        <v>0</v>
      </c>
      <c r="S18">
        <v>0</v>
      </c>
      <c r="T18">
        <v>0</v>
      </c>
      <c r="U18">
        <v>0</v>
      </c>
      <c r="V18">
        <v>0</v>
      </c>
      <c r="W18">
        <v>0</v>
      </c>
      <c r="X18">
        <v>0</v>
      </c>
      <c r="Y18">
        <v>0</v>
      </c>
      <c r="Z18" t="s">
        <v>208</v>
      </c>
      <c r="AA18" s="6">
        <v>35</v>
      </c>
      <c r="AB18">
        <v>15</v>
      </c>
      <c r="AC18">
        <v>3</v>
      </c>
      <c r="AD18">
        <v>1</v>
      </c>
      <c r="AH18" s="2">
        <v>45501</v>
      </c>
      <c r="AL18">
        <v>28</v>
      </c>
      <c r="AM18">
        <v>5</v>
      </c>
      <c r="AN18">
        <v>2</v>
      </c>
      <c r="AO18" s="6">
        <v>11</v>
      </c>
      <c r="AP18" s="6">
        <v>12</v>
      </c>
      <c r="AQ18" s="6">
        <v>13</v>
      </c>
      <c r="AR18" s="6">
        <v>36</v>
      </c>
      <c r="AS18" s="6">
        <v>20</v>
      </c>
      <c r="AT18" s="6">
        <v>34</v>
      </c>
      <c r="AU18" s="6">
        <v>16</v>
      </c>
      <c r="AV18" s="6">
        <v>12</v>
      </c>
      <c r="AW18" s="6">
        <v>39</v>
      </c>
      <c r="AX18" s="6">
        <v>7</v>
      </c>
      <c r="AY18" s="6">
        <v>11</v>
      </c>
      <c r="AZ18" s="6">
        <v>2</v>
      </c>
      <c r="BA18" s="6">
        <v>5</v>
      </c>
      <c r="BB18" s="6">
        <v>1</v>
      </c>
      <c r="BC18" s="6">
        <v>0</v>
      </c>
      <c r="BD18" s="6">
        <v>3</v>
      </c>
      <c r="BE18" s="6">
        <v>55</v>
      </c>
      <c r="BF18" s="6">
        <v>3.5</v>
      </c>
      <c r="BG18" s="6">
        <v>3</v>
      </c>
      <c r="BH18" s="6">
        <v>36</v>
      </c>
      <c r="BI18" s="6">
        <v>14</v>
      </c>
      <c r="BJ18" s="6">
        <v>7</v>
      </c>
      <c r="BK18" s="6">
        <v>0</v>
      </c>
      <c r="BL18" s="6">
        <v>3</v>
      </c>
      <c r="BM18" s="6">
        <v>10</v>
      </c>
      <c r="BN18" s="6">
        <v>5.5</v>
      </c>
      <c r="BO18" s="6">
        <v>3.5714285714285716</v>
      </c>
      <c r="BP18" s="6">
        <v>1</v>
      </c>
      <c r="BQ18" s="6">
        <v>0</v>
      </c>
      <c r="BR18" s="6">
        <v>0</v>
      </c>
      <c r="BS18" s="6">
        <v>7</v>
      </c>
      <c r="BT18" s="6">
        <v>4</v>
      </c>
      <c r="BU18" s="6">
        <v>11</v>
      </c>
      <c r="BV18" s="6">
        <v>1</v>
      </c>
      <c r="BW18" s="6">
        <v>31</v>
      </c>
    </row>
    <row r="19" spans="1:75">
      <c r="A19">
        <v>157</v>
      </c>
      <c r="B19" t="s">
        <v>1193</v>
      </c>
      <c r="C19">
        <v>2</v>
      </c>
      <c r="D19">
        <v>2</v>
      </c>
      <c r="E19">
        <v>25</v>
      </c>
      <c r="F19">
        <v>65</v>
      </c>
      <c r="G19">
        <v>125</v>
      </c>
      <c r="H19">
        <v>0</v>
      </c>
      <c r="I19">
        <v>3</v>
      </c>
      <c r="K19" t="s">
        <v>386</v>
      </c>
      <c r="L19">
        <v>8</v>
      </c>
      <c r="M19">
        <v>0</v>
      </c>
      <c r="O19">
        <v>0</v>
      </c>
      <c r="P19">
        <v>0</v>
      </c>
      <c r="Q19">
        <v>1</v>
      </c>
      <c r="R19">
        <v>0</v>
      </c>
      <c r="S19">
        <v>0</v>
      </c>
      <c r="T19">
        <v>0</v>
      </c>
      <c r="U19">
        <v>0</v>
      </c>
      <c r="V19">
        <v>0</v>
      </c>
      <c r="W19">
        <v>0</v>
      </c>
      <c r="X19">
        <v>0</v>
      </c>
      <c r="Y19">
        <v>0</v>
      </c>
      <c r="Z19" t="s">
        <v>208</v>
      </c>
      <c r="AA19" s="6">
        <v>48</v>
      </c>
      <c r="AB19">
        <v>12</v>
      </c>
      <c r="AC19">
        <v>2</v>
      </c>
      <c r="AD19">
        <v>1</v>
      </c>
      <c r="AH19" s="2">
        <v>45527</v>
      </c>
      <c r="AL19">
        <v>23</v>
      </c>
      <c r="AM19">
        <v>5</v>
      </c>
      <c r="AN19">
        <v>1</v>
      </c>
      <c r="AO19" s="6">
        <v>10</v>
      </c>
      <c r="AP19" s="6">
        <v>15</v>
      </c>
      <c r="AQ19" s="6">
        <v>12</v>
      </c>
      <c r="AR19" s="6">
        <v>37</v>
      </c>
      <c r="AS19" s="6">
        <v>15</v>
      </c>
      <c r="AT19" s="6">
        <v>28</v>
      </c>
      <c r="AU19" s="6">
        <v>13</v>
      </c>
      <c r="AV19" s="6">
        <v>11</v>
      </c>
      <c r="AW19" s="6">
        <v>32</v>
      </c>
      <c r="AX19" s="6">
        <v>33</v>
      </c>
      <c r="AY19" s="6">
        <v>13</v>
      </c>
      <c r="AZ19" s="6">
        <v>7</v>
      </c>
      <c r="BA19" s="6">
        <v>7</v>
      </c>
      <c r="BB19" s="6">
        <v>3</v>
      </c>
      <c r="BC19" s="6">
        <v>0</v>
      </c>
      <c r="BD19" s="6">
        <v>4</v>
      </c>
      <c r="BE19" s="6">
        <v>63.9</v>
      </c>
      <c r="BF19" s="6">
        <v>3</v>
      </c>
      <c r="BG19" s="6">
        <v>2</v>
      </c>
      <c r="BH19" s="6">
        <v>14</v>
      </c>
      <c r="BI19" s="6">
        <v>20</v>
      </c>
      <c r="BJ19" s="6">
        <v>6</v>
      </c>
      <c r="BK19" s="6">
        <v>14</v>
      </c>
      <c r="BL19" s="6">
        <v>3</v>
      </c>
      <c r="BM19" s="6">
        <v>23</v>
      </c>
      <c r="BN19" s="6">
        <v>3.75</v>
      </c>
      <c r="BO19" s="6">
        <v>2.2857142857142856</v>
      </c>
      <c r="BP19" s="6">
        <v>3</v>
      </c>
      <c r="BQ19" s="6">
        <v>5</v>
      </c>
      <c r="BR19" s="6">
        <v>3</v>
      </c>
      <c r="BS19" s="6">
        <v>12</v>
      </c>
      <c r="BT19" s="6">
        <v>4</v>
      </c>
      <c r="BU19" s="6">
        <v>4</v>
      </c>
      <c r="BV19" s="6">
        <v>23</v>
      </c>
      <c r="BW19" s="6">
        <v>41</v>
      </c>
    </row>
    <row r="20" spans="1:75">
      <c r="A20">
        <v>144</v>
      </c>
      <c r="B20" t="s">
        <v>1182</v>
      </c>
      <c r="C20">
        <v>2</v>
      </c>
      <c r="D20">
        <v>2</v>
      </c>
      <c r="E20">
        <v>42</v>
      </c>
      <c r="F20">
        <v>64</v>
      </c>
      <c r="G20">
        <v>135</v>
      </c>
      <c r="H20">
        <v>0</v>
      </c>
      <c r="I20">
        <v>3</v>
      </c>
      <c r="K20" t="s">
        <v>294</v>
      </c>
      <c r="L20">
        <v>5</v>
      </c>
      <c r="M20">
        <v>0</v>
      </c>
      <c r="O20">
        <v>0</v>
      </c>
      <c r="P20">
        <v>0</v>
      </c>
      <c r="Q20">
        <v>0</v>
      </c>
      <c r="R20">
        <v>0</v>
      </c>
      <c r="S20">
        <v>0</v>
      </c>
      <c r="T20">
        <v>0</v>
      </c>
      <c r="U20">
        <v>0</v>
      </c>
      <c r="V20">
        <v>0</v>
      </c>
      <c r="W20">
        <v>0</v>
      </c>
      <c r="X20">
        <v>0</v>
      </c>
      <c r="Y20">
        <v>1</v>
      </c>
      <c r="Z20" t="s">
        <v>208</v>
      </c>
      <c r="AA20" s="6">
        <v>42</v>
      </c>
      <c r="AB20">
        <v>13</v>
      </c>
      <c r="AC20">
        <v>3</v>
      </c>
      <c r="AD20">
        <v>1</v>
      </c>
      <c r="AH20" s="2">
        <v>45499</v>
      </c>
      <c r="AL20">
        <v>28</v>
      </c>
      <c r="AM20">
        <v>3</v>
      </c>
      <c r="AN20">
        <v>1</v>
      </c>
      <c r="AO20" s="6">
        <v>7</v>
      </c>
      <c r="AP20" s="6">
        <v>6</v>
      </c>
      <c r="AQ20" s="6">
        <v>18</v>
      </c>
      <c r="AR20" s="6">
        <v>31</v>
      </c>
      <c r="AS20" s="6">
        <v>16</v>
      </c>
      <c r="AT20" s="6">
        <v>30</v>
      </c>
      <c r="AU20" s="6">
        <v>19</v>
      </c>
      <c r="AV20" s="6">
        <v>14</v>
      </c>
      <c r="AW20" s="6">
        <v>43</v>
      </c>
      <c r="AX20" s="6">
        <v>16</v>
      </c>
      <c r="AY20" s="6">
        <v>5</v>
      </c>
      <c r="AZ20" s="6">
        <v>6</v>
      </c>
      <c r="BA20" s="6">
        <v>6</v>
      </c>
      <c r="BB20" s="6">
        <v>3</v>
      </c>
      <c r="BC20" s="6">
        <v>0</v>
      </c>
      <c r="BD20" s="6">
        <v>4</v>
      </c>
      <c r="BE20" s="6">
        <v>63.9</v>
      </c>
      <c r="BF20" s="6">
        <v>3</v>
      </c>
      <c r="BG20" s="6">
        <v>2</v>
      </c>
      <c r="BH20" s="6">
        <v>20</v>
      </c>
      <c r="BI20" s="6">
        <v>15</v>
      </c>
      <c r="BJ20" s="6">
        <v>5</v>
      </c>
      <c r="BK20" s="6">
        <v>2</v>
      </c>
      <c r="BL20" s="6">
        <v>4</v>
      </c>
      <c r="BM20" s="6">
        <v>11</v>
      </c>
      <c r="BN20" s="6">
        <v>6.25</v>
      </c>
      <c r="BO20" s="6">
        <v>5.2857142857142856</v>
      </c>
      <c r="BP20" s="6">
        <v>2</v>
      </c>
      <c r="BQ20" s="6">
        <v>0</v>
      </c>
      <c r="BR20" s="6">
        <v>1</v>
      </c>
      <c r="BS20" s="6">
        <v>14</v>
      </c>
      <c r="BT20" s="6">
        <v>0</v>
      </c>
      <c r="BU20" s="6">
        <v>0</v>
      </c>
      <c r="BV20" s="6">
        <v>17</v>
      </c>
      <c r="BW20" s="6">
        <v>45</v>
      </c>
    </row>
    <row r="21" spans="1:75">
      <c r="A21">
        <v>145</v>
      </c>
      <c r="B21" t="s">
        <v>1183</v>
      </c>
      <c r="C21">
        <v>2</v>
      </c>
      <c r="D21">
        <v>2</v>
      </c>
      <c r="E21">
        <v>53</v>
      </c>
      <c r="F21">
        <v>62</v>
      </c>
      <c r="G21">
        <v>120</v>
      </c>
      <c r="H21">
        <v>0</v>
      </c>
      <c r="I21">
        <v>3</v>
      </c>
      <c r="K21" t="s">
        <v>303</v>
      </c>
      <c r="L21">
        <v>6</v>
      </c>
      <c r="M21">
        <v>0</v>
      </c>
      <c r="O21">
        <v>1</v>
      </c>
      <c r="P21">
        <v>0</v>
      </c>
      <c r="Q21">
        <v>1</v>
      </c>
      <c r="R21">
        <v>0</v>
      </c>
      <c r="S21">
        <v>0</v>
      </c>
      <c r="T21">
        <v>0</v>
      </c>
      <c r="U21">
        <v>0</v>
      </c>
      <c r="V21">
        <v>0</v>
      </c>
      <c r="W21">
        <v>0</v>
      </c>
      <c r="X21">
        <v>0</v>
      </c>
      <c r="Y21">
        <v>0</v>
      </c>
      <c r="Z21" t="s">
        <v>208</v>
      </c>
      <c r="AA21" s="6">
        <v>64</v>
      </c>
      <c r="AB21">
        <v>15</v>
      </c>
      <c r="AC21">
        <v>3</v>
      </c>
      <c r="AD21">
        <v>6</v>
      </c>
      <c r="AF21" t="s">
        <v>304</v>
      </c>
      <c r="AH21" s="2">
        <v>44208</v>
      </c>
      <c r="AI21">
        <v>5</v>
      </c>
      <c r="AJ21">
        <v>1</v>
      </c>
      <c r="AK21">
        <v>4</v>
      </c>
      <c r="AL21">
        <v>28</v>
      </c>
      <c r="AM21">
        <v>5</v>
      </c>
      <c r="AN21">
        <v>1</v>
      </c>
      <c r="AO21" s="6">
        <v>7</v>
      </c>
      <c r="AP21" s="6">
        <v>8</v>
      </c>
      <c r="AQ21" s="6">
        <v>13</v>
      </c>
      <c r="AR21" s="6">
        <v>28</v>
      </c>
      <c r="AS21" s="6">
        <v>28</v>
      </c>
      <c r="AT21" s="6">
        <v>32</v>
      </c>
      <c r="AU21" s="6">
        <v>18</v>
      </c>
      <c r="AV21" s="6">
        <v>15</v>
      </c>
      <c r="AW21" s="6">
        <v>46</v>
      </c>
      <c r="AX21" s="6">
        <v>36</v>
      </c>
      <c r="AY21" s="6">
        <v>11</v>
      </c>
      <c r="AZ21" s="6">
        <v>30</v>
      </c>
      <c r="BA21" s="6">
        <v>6</v>
      </c>
      <c r="BB21" s="6">
        <v>2</v>
      </c>
      <c r="BC21" s="6">
        <v>0</v>
      </c>
      <c r="BD21" s="6">
        <v>4</v>
      </c>
      <c r="BE21" s="6">
        <v>73.900000000000006</v>
      </c>
      <c r="BF21" s="6">
        <v>2.9</v>
      </c>
      <c r="BG21" s="6">
        <v>4</v>
      </c>
      <c r="BH21" s="6">
        <v>13</v>
      </c>
      <c r="BI21" s="6">
        <v>34</v>
      </c>
      <c r="BJ21" s="6">
        <v>8</v>
      </c>
      <c r="BK21" s="6">
        <v>17</v>
      </c>
      <c r="BL21" s="6">
        <v>10</v>
      </c>
      <c r="BM21" s="6">
        <v>35</v>
      </c>
      <c r="BN21" s="6">
        <v>4.75</v>
      </c>
      <c r="BO21" s="6">
        <v>6.5714285714285712</v>
      </c>
      <c r="BP21" s="6">
        <v>9</v>
      </c>
      <c r="BQ21" s="6">
        <v>10</v>
      </c>
      <c r="BR21" s="6">
        <v>2</v>
      </c>
      <c r="BS21" s="6">
        <v>13</v>
      </c>
      <c r="BT21" s="6">
        <v>7</v>
      </c>
      <c r="BU21" s="6">
        <v>1</v>
      </c>
      <c r="BV21" s="6">
        <v>40</v>
      </c>
      <c r="BW21" s="6">
        <v>66</v>
      </c>
    </row>
    <row r="22" spans="1:75">
      <c r="A22">
        <v>146</v>
      </c>
      <c r="B22" t="s">
        <v>1184</v>
      </c>
      <c r="C22">
        <v>2</v>
      </c>
      <c r="D22">
        <v>2</v>
      </c>
      <c r="E22">
        <v>27</v>
      </c>
      <c r="F22">
        <v>68</v>
      </c>
      <c r="G22">
        <v>178</v>
      </c>
      <c r="H22">
        <v>0</v>
      </c>
      <c r="I22">
        <v>3</v>
      </c>
      <c r="K22" t="s">
        <v>316</v>
      </c>
      <c r="L22">
        <v>7</v>
      </c>
      <c r="M22">
        <v>0</v>
      </c>
      <c r="O22">
        <v>0</v>
      </c>
      <c r="P22">
        <v>1</v>
      </c>
      <c r="Q22">
        <v>0</v>
      </c>
      <c r="R22">
        <v>0</v>
      </c>
      <c r="S22">
        <v>0</v>
      </c>
      <c r="T22">
        <v>0</v>
      </c>
      <c r="U22">
        <v>0</v>
      </c>
      <c r="V22">
        <v>0</v>
      </c>
      <c r="W22">
        <v>0</v>
      </c>
      <c r="X22">
        <v>0</v>
      </c>
      <c r="Y22">
        <v>0</v>
      </c>
      <c r="Z22" t="s">
        <v>208</v>
      </c>
      <c r="AA22" s="6">
        <v>50</v>
      </c>
      <c r="AB22">
        <v>12</v>
      </c>
      <c r="AC22">
        <v>2</v>
      </c>
      <c r="AD22">
        <v>1</v>
      </c>
      <c r="AH22" s="2">
        <v>45468</v>
      </c>
      <c r="AL22">
        <v>30</v>
      </c>
      <c r="AM22">
        <v>7</v>
      </c>
      <c r="AN22">
        <v>1</v>
      </c>
      <c r="AO22" s="6">
        <v>9</v>
      </c>
      <c r="AP22" s="6">
        <v>9</v>
      </c>
      <c r="AQ22" s="6">
        <v>14</v>
      </c>
      <c r="AR22" s="6">
        <v>32</v>
      </c>
      <c r="AS22" s="6">
        <v>26</v>
      </c>
      <c r="AT22" s="6">
        <v>18</v>
      </c>
      <c r="AU22" s="6">
        <v>17</v>
      </c>
      <c r="AV22" s="6">
        <v>12</v>
      </c>
      <c r="AW22" s="6">
        <v>40</v>
      </c>
      <c r="AX22" s="6">
        <v>14</v>
      </c>
      <c r="AY22" s="6">
        <v>14</v>
      </c>
      <c r="AZ22" s="6">
        <v>5</v>
      </c>
      <c r="BA22" s="6">
        <v>6</v>
      </c>
      <c r="BB22" s="6">
        <v>3</v>
      </c>
      <c r="BC22" s="6">
        <v>6</v>
      </c>
      <c r="BD22" s="6">
        <v>4</v>
      </c>
      <c r="BE22" s="6">
        <v>63.9</v>
      </c>
      <c r="BF22" s="6">
        <v>3</v>
      </c>
      <c r="BG22" s="6">
        <v>2</v>
      </c>
      <c r="BH22" s="6">
        <v>22</v>
      </c>
      <c r="BI22" s="6">
        <v>18</v>
      </c>
      <c r="BJ22" s="6">
        <v>7</v>
      </c>
      <c r="BK22" s="6">
        <v>4</v>
      </c>
      <c r="BL22" s="6">
        <v>4</v>
      </c>
      <c r="BM22" s="6">
        <v>15</v>
      </c>
      <c r="BN22" s="6">
        <v>5.75</v>
      </c>
      <c r="BO22" s="6">
        <v>5.7142857142857144</v>
      </c>
      <c r="BP22" s="6">
        <v>1</v>
      </c>
      <c r="BQ22" s="6">
        <v>4</v>
      </c>
      <c r="BR22" s="6">
        <v>0</v>
      </c>
      <c r="BS22" s="6">
        <v>17</v>
      </c>
      <c r="BT22" s="6">
        <v>5</v>
      </c>
      <c r="BU22" s="6">
        <v>0</v>
      </c>
      <c r="BV22" s="6">
        <v>27</v>
      </c>
      <c r="BW22" s="6">
        <v>41</v>
      </c>
    </row>
    <row r="23" spans="1:75">
      <c r="A23">
        <v>177</v>
      </c>
      <c r="B23" t="s">
        <v>1196</v>
      </c>
      <c r="C23">
        <v>2</v>
      </c>
      <c r="D23">
        <v>2</v>
      </c>
      <c r="E23">
        <v>40</v>
      </c>
      <c r="F23">
        <v>63</v>
      </c>
      <c r="G23">
        <v>158</v>
      </c>
      <c r="H23">
        <v>0</v>
      </c>
      <c r="I23">
        <v>3</v>
      </c>
      <c r="K23" t="s">
        <v>414</v>
      </c>
      <c r="L23">
        <v>7</v>
      </c>
      <c r="M23">
        <v>0</v>
      </c>
      <c r="O23">
        <v>0</v>
      </c>
      <c r="P23">
        <v>0</v>
      </c>
      <c r="Q23">
        <v>0</v>
      </c>
      <c r="R23">
        <v>0</v>
      </c>
      <c r="S23">
        <v>0</v>
      </c>
      <c r="T23">
        <v>0</v>
      </c>
      <c r="U23">
        <v>0</v>
      </c>
      <c r="V23">
        <v>0</v>
      </c>
      <c r="W23">
        <v>0</v>
      </c>
      <c r="X23">
        <v>0</v>
      </c>
      <c r="Y23">
        <v>1</v>
      </c>
      <c r="Z23">
        <v>2</v>
      </c>
      <c r="AA23" s="6">
        <v>26</v>
      </c>
      <c r="AB23">
        <v>11</v>
      </c>
      <c r="AC23">
        <v>6</v>
      </c>
      <c r="AD23">
        <v>1</v>
      </c>
      <c r="AH23" s="2">
        <v>44992</v>
      </c>
      <c r="AL23">
        <v>38</v>
      </c>
      <c r="AM23">
        <v>3</v>
      </c>
      <c r="AN23">
        <v>1</v>
      </c>
      <c r="AO23" s="6">
        <v>5</v>
      </c>
      <c r="AP23" s="6">
        <v>7</v>
      </c>
      <c r="AQ23" s="6">
        <v>12</v>
      </c>
      <c r="AR23" s="6">
        <v>24</v>
      </c>
      <c r="AS23" s="6">
        <v>18</v>
      </c>
      <c r="AT23" s="6">
        <v>22</v>
      </c>
      <c r="AU23" s="6"/>
      <c r="AV23" s="6"/>
      <c r="AW23" s="6"/>
      <c r="AX23" s="6">
        <v>5</v>
      </c>
      <c r="AY23" s="6">
        <v>2</v>
      </c>
      <c r="AZ23" s="6">
        <v>0.01</v>
      </c>
      <c r="BA23" s="6">
        <v>0</v>
      </c>
      <c r="BB23" s="6">
        <v>0</v>
      </c>
      <c r="BC23" s="6">
        <v>0</v>
      </c>
      <c r="BD23" s="6">
        <v>1</v>
      </c>
      <c r="BE23" s="6">
        <v>36.200000000000003</v>
      </c>
      <c r="BF23" s="6">
        <v>2.6</v>
      </c>
      <c r="BG23" s="6"/>
      <c r="BH23" s="6">
        <v>31</v>
      </c>
      <c r="BI23" s="6">
        <v>10</v>
      </c>
      <c r="BJ23" s="6">
        <v>0</v>
      </c>
      <c r="BK23" s="6">
        <v>0</v>
      </c>
      <c r="BL23" s="6">
        <v>1</v>
      </c>
      <c r="BM23" s="6">
        <v>1</v>
      </c>
      <c r="BN23" s="6"/>
      <c r="BO23" s="6"/>
      <c r="BP23" s="6">
        <v>2</v>
      </c>
      <c r="BQ23" s="6">
        <v>0</v>
      </c>
      <c r="BR23" s="6">
        <v>0</v>
      </c>
      <c r="BS23" s="6">
        <v>2</v>
      </c>
      <c r="BT23" s="6">
        <v>2</v>
      </c>
      <c r="BU23" s="6">
        <v>7</v>
      </c>
      <c r="BV23" s="6">
        <v>-1</v>
      </c>
      <c r="BW23" s="6">
        <v>26</v>
      </c>
    </row>
    <row r="24" spans="1:75">
      <c r="A24">
        <v>179</v>
      </c>
      <c r="B24" t="s">
        <v>1197</v>
      </c>
      <c r="C24">
        <v>2</v>
      </c>
      <c r="D24">
        <v>2</v>
      </c>
      <c r="E24">
        <v>23</v>
      </c>
      <c r="F24">
        <v>62</v>
      </c>
      <c r="G24">
        <v>95</v>
      </c>
      <c r="H24">
        <v>0</v>
      </c>
      <c r="I24">
        <v>2</v>
      </c>
      <c r="K24" t="s">
        <v>383</v>
      </c>
      <c r="L24">
        <v>7</v>
      </c>
      <c r="M24">
        <v>0</v>
      </c>
      <c r="O24">
        <v>0</v>
      </c>
      <c r="P24">
        <v>0</v>
      </c>
      <c r="Q24">
        <v>0</v>
      </c>
      <c r="R24">
        <v>1</v>
      </c>
      <c r="S24">
        <v>0</v>
      </c>
      <c r="T24">
        <v>0</v>
      </c>
      <c r="U24">
        <v>0</v>
      </c>
      <c r="V24">
        <v>0</v>
      </c>
      <c r="W24">
        <v>0</v>
      </c>
      <c r="X24">
        <v>0</v>
      </c>
      <c r="Y24">
        <v>0</v>
      </c>
      <c r="Z24">
        <v>1</v>
      </c>
      <c r="AA24" s="6">
        <v>28</v>
      </c>
      <c r="AB24">
        <v>13</v>
      </c>
      <c r="AC24">
        <v>3</v>
      </c>
      <c r="AD24">
        <v>1</v>
      </c>
      <c r="AH24" s="2">
        <v>45037</v>
      </c>
      <c r="AL24">
        <v>30</v>
      </c>
      <c r="AM24">
        <v>6</v>
      </c>
      <c r="AN24">
        <v>1</v>
      </c>
      <c r="AO24" s="6">
        <v>12</v>
      </c>
      <c r="AP24" s="6">
        <v>12</v>
      </c>
      <c r="AQ24" s="6">
        <v>18</v>
      </c>
      <c r="AR24" s="6">
        <v>42</v>
      </c>
      <c r="AS24" s="6">
        <v>21</v>
      </c>
      <c r="AT24" s="6">
        <v>17</v>
      </c>
      <c r="AU24" s="6"/>
      <c r="AV24" s="6"/>
      <c r="AW24" s="6"/>
      <c r="AX24" s="6">
        <v>0</v>
      </c>
      <c r="AY24" s="6">
        <v>0</v>
      </c>
      <c r="AZ24" s="6"/>
      <c r="BA24" s="6"/>
      <c r="BB24" s="6"/>
      <c r="BC24" s="6">
        <v>0</v>
      </c>
      <c r="BD24" s="6">
        <v>2</v>
      </c>
      <c r="BE24" s="6">
        <v>50.7</v>
      </c>
      <c r="BF24" s="6">
        <v>2.2999999999999998</v>
      </c>
      <c r="BG24" s="6"/>
      <c r="BH24" s="6">
        <v>30</v>
      </c>
      <c r="BI24" s="6">
        <v>11</v>
      </c>
      <c r="BJ24" s="6">
        <v>1</v>
      </c>
      <c r="BK24" s="6">
        <v>1</v>
      </c>
      <c r="BL24" s="6">
        <v>0</v>
      </c>
      <c r="BM24" s="6">
        <v>2</v>
      </c>
      <c r="BN24" s="6"/>
      <c r="BO24" s="6"/>
      <c r="BP24" s="6">
        <v>0</v>
      </c>
      <c r="BQ24" s="6">
        <v>0</v>
      </c>
      <c r="BR24" s="6">
        <v>0</v>
      </c>
      <c r="BS24" s="6">
        <v>0</v>
      </c>
      <c r="BT24" s="6">
        <v>3</v>
      </c>
      <c r="BU24" s="6">
        <v>11</v>
      </c>
      <c r="BV24" s="6">
        <v>-8</v>
      </c>
      <c r="BW24" s="6">
        <v>21</v>
      </c>
    </row>
    <row r="25" spans="1:75">
      <c r="A25">
        <v>182</v>
      </c>
      <c r="B25" t="s">
        <v>1198</v>
      </c>
      <c r="C25">
        <v>2</v>
      </c>
      <c r="D25">
        <v>2</v>
      </c>
      <c r="E25">
        <v>24</v>
      </c>
      <c r="F25">
        <v>65</v>
      </c>
      <c r="G25">
        <v>185</v>
      </c>
      <c r="H25">
        <v>0</v>
      </c>
      <c r="I25">
        <v>3</v>
      </c>
      <c r="K25" t="s">
        <v>419</v>
      </c>
      <c r="L25">
        <v>6</v>
      </c>
      <c r="M25">
        <v>0</v>
      </c>
      <c r="O25">
        <v>0</v>
      </c>
      <c r="P25">
        <v>1</v>
      </c>
      <c r="Q25">
        <v>1</v>
      </c>
      <c r="R25">
        <v>0</v>
      </c>
      <c r="S25">
        <v>0</v>
      </c>
      <c r="T25">
        <v>0</v>
      </c>
      <c r="U25">
        <v>0</v>
      </c>
      <c r="V25">
        <v>0</v>
      </c>
      <c r="W25">
        <v>0</v>
      </c>
      <c r="X25">
        <v>0</v>
      </c>
      <c r="Y25">
        <v>0</v>
      </c>
      <c r="Z25">
        <v>2</v>
      </c>
      <c r="AA25" s="6">
        <v>22</v>
      </c>
      <c r="AB25">
        <v>11</v>
      </c>
      <c r="AC25">
        <v>2</v>
      </c>
      <c r="AD25">
        <v>1</v>
      </c>
      <c r="AH25" s="2">
        <v>44997</v>
      </c>
      <c r="AL25">
        <v>30</v>
      </c>
      <c r="AM25">
        <v>3</v>
      </c>
      <c r="AN25">
        <v>2</v>
      </c>
      <c r="AO25" s="6">
        <v>12</v>
      </c>
      <c r="AP25" s="6">
        <v>14</v>
      </c>
      <c r="AQ25" s="6">
        <v>20</v>
      </c>
      <c r="AR25" s="6">
        <v>46</v>
      </c>
      <c r="AS25" s="6">
        <v>22</v>
      </c>
      <c r="AT25" s="6">
        <v>17</v>
      </c>
      <c r="AU25" s="6"/>
      <c r="AV25" s="6"/>
      <c r="AW25" s="6"/>
      <c r="AX25" s="6">
        <v>3</v>
      </c>
      <c r="AY25" s="6">
        <v>0</v>
      </c>
      <c r="AZ25" s="6"/>
      <c r="BA25" s="6"/>
      <c r="BB25" s="6"/>
      <c r="BC25" s="6">
        <v>0</v>
      </c>
      <c r="BD25" s="6">
        <v>1</v>
      </c>
      <c r="BE25" s="6">
        <v>39.1</v>
      </c>
      <c r="BF25" s="6">
        <v>2.8</v>
      </c>
      <c r="BG25" s="6"/>
      <c r="BH25" s="6">
        <v>36</v>
      </c>
      <c r="BI25" s="6">
        <v>12</v>
      </c>
      <c r="BJ25" s="6">
        <v>1</v>
      </c>
      <c r="BK25" s="6">
        <v>0</v>
      </c>
      <c r="BL25" s="6">
        <v>3</v>
      </c>
      <c r="BM25" s="6">
        <v>4</v>
      </c>
      <c r="BN25" s="6"/>
      <c r="BO25" s="6"/>
      <c r="BP25" s="6">
        <v>0</v>
      </c>
      <c r="BQ25" s="6">
        <v>0</v>
      </c>
      <c r="BR25" s="6">
        <v>0</v>
      </c>
      <c r="BS25" s="6">
        <v>0</v>
      </c>
      <c r="BT25" s="6">
        <v>0</v>
      </c>
      <c r="BU25" s="6">
        <v>10</v>
      </c>
      <c r="BV25" s="6">
        <v>-10</v>
      </c>
      <c r="BW25" s="6">
        <v>21</v>
      </c>
    </row>
    <row r="26" spans="1:75">
      <c r="A26">
        <v>189</v>
      </c>
      <c r="B26" t="s">
        <v>1200</v>
      </c>
      <c r="C26">
        <v>2</v>
      </c>
      <c r="D26">
        <v>2</v>
      </c>
      <c r="E26">
        <v>19</v>
      </c>
      <c r="F26">
        <v>65</v>
      </c>
      <c r="G26">
        <v>145</v>
      </c>
      <c r="H26">
        <v>0</v>
      </c>
      <c r="I26">
        <v>2</v>
      </c>
      <c r="K26" t="s">
        <v>424</v>
      </c>
      <c r="L26">
        <v>4</v>
      </c>
      <c r="M26">
        <v>0</v>
      </c>
      <c r="O26">
        <v>0</v>
      </c>
      <c r="P26">
        <v>0</v>
      </c>
      <c r="Q26">
        <v>0</v>
      </c>
      <c r="R26">
        <v>1</v>
      </c>
      <c r="S26">
        <v>0</v>
      </c>
      <c r="T26">
        <v>0</v>
      </c>
      <c r="U26">
        <v>0</v>
      </c>
      <c r="V26">
        <v>0</v>
      </c>
      <c r="W26">
        <v>0</v>
      </c>
      <c r="X26">
        <v>0</v>
      </c>
      <c r="Y26">
        <v>0</v>
      </c>
      <c r="Z26">
        <v>1</v>
      </c>
      <c r="AA26" s="6">
        <v>45</v>
      </c>
      <c r="AB26" t="s">
        <v>208</v>
      </c>
      <c r="AC26">
        <v>2</v>
      </c>
      <c r="AD26">
        <v>1</v>
      </c>
      <c r="AH26" s="2">
        <v>45041</v>
      </c>
      <c r="AL26">
        <v>28</v>
      </c>
      <c r="AM26" t="s">
        <v>275</v>
      </c>
      <c r="AN26">
        <v>1</v>
      </c>
      <c r="AO26" s="6">
        <v>10</v>
      </c>
      <c r="AP26" s="6">
        <v>12</v>
      </c>
      <c r="AQ26" s="6">
        <v>16</v>
      </c>
      <c r="AR26" s="6">
        <v>38</v>
      </c>
      <c r="AS26" s="6">
        <v>21</v>
      </c>
      <c r="AT26" s="6">
        <v>17</v>
      </c>
      <c r="AU26" s="6">
        <v>16</v>
      </c>
      <c r="AV26" s="6">
        <v>12</v>
      </c>
      <c r="AW26" s="6">
        <v>38</v>
      </c>
      <c r="AX26" s="6">
        <v>21</v>
      </c>
      <c r="AY26" s="6">
        <v>1</v>
      </c>
      <c r="AZ26" s="6">
        <v>0.5</v>
      </c>
      <c r="BA26" s="6">
        <v>2</v>
      </c>
      <c r="BB26" s="6">
        <v>0</v>
      </c>
      <c r="BC26" s="6">
        <v>3</v>
      </c>
      <c r="BD26" s="6">
        <v>3</v>
      </c>
      <c r="BE26" s="6">
        <v>60.9</v>
      </c>
      <c r="BF26" s="6">
        <v>2.2000000000000002</v>
      </c>
      <c r="BG26" s="6"/>
      <c r="BH26" s="6">
        <v>30</v>
      </c>
      <c r="BI26" s="6">
        <v>31</v>
      </c>
      <c r="BJ26" s="6">
        <v>2</v>
      </c>
      <c r="BK26" s="6">
        <v>5</v>
      </c>
      <c r="BL26" s="6">
        <v>9</v>
      </c>
      <c r="BM26" s="6">
        <v>16</v>
      </c>
      <c r="BN26" s="6">
        <v>4</v>
      </c>
      <c r="BO26" s="6">
        <v>0.5714285714285714</v>
      </c>
      <c r="BP26" s="6">
        <v>8</v>
      </c>
      <c r="BQ26" s="6">
        <v>1</v>
      </c>
      <c r="BR26" s="6">
        <v>5</v>
      </c>
      <c r="BS26" s="6">
        <v>7</v>
      </c>
      <c r="BT26" s="6">
        <v>2</v>
      </c>
      <c r="BU26" s="6">
        <v>2</v>
      </c>
      <c r="BV26" s="6">
        <v>21</v>
      </c>
      <c r="BW26" s="6">
        <v>44</v>
      </c>
    </row>
    <row r="27" spans="1:75">
      <c r="A27">
        <v>190</v>
      </c>
      <c r="B27" t="s">
        <v>1201</v>
      </c>
      <c r="C27">
        <v>2</v>
      </c>
      <c r="D27">
        <v>2</v>
      </c>
      <c r="E27">
        <v>22</v>
      </c>
      <c r="F27">
        <v>65</v>
      </c>
      <c r="G27">
        <v>135</v>
      </c>
      <c r="H27">
        <v>1</v>
      </c>
      <c r="I27">
        <v>3</v>
      </c>
      <c r="K27" t="s">
        <v>383</v>
      </c>
      <c r="L27">
        <v>5</v>
      </c>
      <c r="M27" t="s">
        <v>208</v>
      </c>
      <c r="O27">
        <v>0</v>
      </c>
      <c r="P27">
        <v>0</v>
      </c>
      <c r="Q27">
        <v>0</v>
      </c>
      <c r="R27">
        <v>1</v>
      </c>
      <c r="S27">
        <v>0</v>
      </c>
      <c r="T27">
        <v>0</v>
      </c>
      <c r="U27">
        <v>0</v>
      </c>
      <c r="V27">
        <v>0</v>
      </c>
      <c r="W27">
        <v>0</v>
      </c>
      <c r="X27">
        <v>0</v>
      </c>
      <c r="Y27">
        <v>0</v>
      </c>
      <c r="Z27">
        <v>1</v>
      </c>
      <c r="AA27" s="6">
        <v>60</v>
      </c>
      <c r="AB27">
        <v>12</v>
      </c>
      <c r="AC27">
        <v>2</v>
      </c>
      <c r="AD27">
        <v>7</v>
      </c>
      <c r="AG27" t="s">
        <v>427</v>
      </c>
      <c r="AH27" s="2">
        <v>45026</v>
      </c>
      <c r="AI27">
        <v>2</v>
      </c>
      <c r="AJ27">
        <v>2</v>
      </c>
      <c r="AL27">
        <v>25</v>
      </c>
      <c r="AM27">
        <v>5</v>
      </c>
      <c r="AN27">
        <v>1</v>
      </c>
      <c r="AO27" s="6">
        <v>10</v>
      </c>
      <c r="AP27" s="6">
        <v>14</v>
      </c>
      <c r="AQ27" s="6">
        <v>18</v>
      </c>
      <c r="AR27" s="6">
        <v>42</v>
      </c>
      <c r="AS27" s="6">
        <v>26</v>
      </c>
      <c r="AT27" s="6">
        <v>17</v>
      </c>
      <c r="AU27" s="6"/>
      <c r="AV27" s="6"/>
      <c r="AW27" s="6"/>
      <c r="AX27" s="6">
        <v>12</v>
      </c>
      <c r="AY27" s="6">
        <v>0</v>
      </c>
      <c r="AZ27" s="6"/>
      <c r="BA27" s="6"/>
      <c r="BB27" s="6"/>
      <c r="BC27" s="6">
        <v>0</v>
      </c>
      <c r="BD27" s="6">
        <v>2</v>
      </c>
      <c r="BE27" s="6">
        <v>48.5</v>
      </c>
      <c r="BF27" s="6">
        <v>2.2000000000000002</v>
      </c>
      <c r="BG27" s="6"/>
      <c r="BH27" s="6">
        <v>30</v>
      </c>
      <c r="BI27" s="6">
        <v>20</v>
      </c>
      <c r="BJ27" s="6">
        <v>0</v>
      </c>
      <c r="BK27" s="6">
        <v>6</v>
      </c>
      <c r="BL27" s="6">
        <v>1</v>
      </c>
      <c r="BM27" s="6">
        <v>7</v>
      </c>
      <c r="BN27" s="6"/>
      <c r="BO27" s="6"/>
      <c r="BP27" s="6">
        <v>1</v>
      </c>
      <c r="BQ27" s="6">
        <v>0</v>
      </c>
      <c r="BR27" s="6">
        <v>0</v>
      </c>
      <c r="BS27" s="6">
        <v>3</v>
      </c>
      <c r="BT27" s="6">
        <v>0</v>
      </c>
      <c r="BU27" s="6">
        <v>3</v>
      </c>
      <c r="BV27" s="6">
        <v>1</v>
      </c>
      <c r="BW27" s="6">
        <v>47</v>
      </c>
    </row>
    <row r="28" spans="1:75">
      <c r="A28">
        <v>192</v>
      </c>
      <c r="B28" t="s">
        <v>1203</v>
      </c>
      <c r="C28">
        <v>2</v>
      </c>
      <c r="D28">
        <v>2</v>
      </c>
      <c r="E28">
        <v>42</v>
      </c>
      <c r="F28">
        <v>66</v>
      </c>
      <c r="G28">
        <v>142</v>
      </c>
      <c r="H28">
        <v>0</v>
      </c>
      <c r="I28">
        <v>3</v>
      </c>
      <c r="K28" t="s">
        <v>432</v>
      </c>
      <c r="L28">
        <v>7</v>
      </c>
      <c r="M28">
        <v>0</v>
      </c>
      <c r="O28">
        <v>0</v>
      </c>
      <c r="P28">
        <v>0</v>
      </c>
      <c r="Q28">
        <v>0</v>
      </c>
      <c r="R28">
        <v>0</v>
      </c>
      <c r="S28">
        <v>1</v>
      </c>
      <c r="T28">
        <v>0</v>
      </c>
      <c r="U28">
        <v>0</v>
      </c>
      <c r="V28">
        <v>0</v>
      </c>
      <c r="W28">
        <v>0</v>
      </c>
      <c r="X28">
        <v>0</v>
      </c>
      <c r="Y28">
        <v>0</v>
      </c>
      <c r="Z28">
        <v>2</v>
      </c>
      <c r="AA28" s="6">
        <v>28</v>
      </c>
      <c r="AB28">
        <v>12</v>
      </c>
      <c r="AC28">
        <v>2</v>
      </c>
      <c r="AD28">
        <v>1</v>
      </c>
      <c r="AH28" s="2">
        <v>45040</v>
      </c>
      <c r="AL28">
        <v>28</v>
      </c>
      <c r="AM28">
        <v>5</v>
      </c>
      <c r="AN28">
        <v>1</v>
      </c>
      <c r="AO28" s="6">
        <v>5</v>
      </c>
      <c r="AP28" s="6">
        <v>5</v>
      </c>
      <c r="AQ28" s="6">
        <v>15</v>
      </c>
      <c r="AR28" s="6">
        <v>25</v>
      </c>
      <c r="AS28" s="6">
        <v>19</v>
      </c>
      <c r="AT28" s="6">
        <v>23</v>
      </c>
      <c r="AU28" s="6"/>
      <c r="AV28" s="6"/>
      <c r="AW28" s="6"/>
      <c r="AX28" s="6">
        <v>0</v>
      </c>
      <c r="AY28" s="6">
        <v>0</v>
      </c>
      <c r="AZ28" s="6"/>
      <c r="BA28" s="6"/>
      <c r="BB28" s="6"/>
      <c r="BC28" s="6">
        <v>0</v>
      </c>
      <c r="BD28" s="6">
        <v>2</v>
      </c>
      <c r="BE28" s="6">
        <v>52.8</v>
      </c>
      <c r="BF28" s="6">
        <v>2.2000000000000002</v>
      </c>
      <c r="BG28" s="6"/>
      <c r="BH28" s="6">
        <v>30</v>
      </c>
      <c r="BI28" s="6">
        <v>17</v>
      </c>
      <c r="BJ28" s="6">
        <v>1</v>
      </c>
      <c r="BK28" s="6">
        <v>1</v>
      </c>
      <c r="BL28" s="6">
        <v>4</v>
      </c>
      <c r="BM28" s="6">
        <v>6</v>
      </c>
      <c r="BN28" s="6"/>
      <c r="BO28" s="6"/>
      <c r="BP28" s="6">
        <v>4</v>
      </c>
      <c r="BQ28" s="6">
        <v>0</v>
      </c>
      <c r="BR28" s="6">
        <v>3</v>
      </c>
      <c r="BS28" s="6">
        <v>1</v>
      </c>
      <c r="BT28" s="6">
        <v>1</v>
      </c>
      <c r="BU28" s="6">
        <v>5</v>
      </c>
      <c r="BV28" s="6">
        <v>4</v>
      </c>
      <c r="BW28" s="6">
        <v>45</v>
      </c>
    </row>
    <row r="29" spans="1:75">
      <c r="A29">
        <v>193</v>
      </c>
      <c r="B29" t="s">
        <v>1204</v>
      </c>
      <c r="C29">
        <v>2</v>
      </c>
      <c r="D29">
        <v>2</v>
      </c>
      <c r="E29">
        <v>24</v>
      </c>
      <c r="F29">
        <v>63</v>
      </c>
      <c r="G29">
        <v>165</v>
      </c>
      <c r="H29">
        <v>1</v>
      </c>
      <c r="I29">
        <v>3</v>
      </c>
      <c r="K29" t="s">
        <v>383</v>
      </c>
      <c r="L29">
        <v>8</v>
      </c>
      <c r="M29">
        <v>0</v>
      </c>
      <c r="O29">
        <v>0</v>
      </c>
      <c r="P29">
        <v>0</v>
      </c>
      <c r="Q29">
        <v>1</v>
      </c>
      <c r="R29">
        <v>0</v>
      </c>
      <c r="S29">
        <v>0</v>
      </c>
      <c r="T29">
        <v>0</v>
      </c>
      <c r="U29">
        <v>0</v>
      </c>
      <c r="V29">
        <v>0</v>
      </c>
      <c r="W29">
        <v>0</v>
      </c>
      <c r="X29">
        <v>0</v>
      </c>
      <c r="Y29">
        <v>0</v>
      </c>
      <c r="Z29">
        <v>1</v>
      </c>
      <c r="AA29" s="6">
        <v>50</v>
      </c>
      <c r="AB29" t="s">
        <v>208</v>
      </c>
      <c r="AC29">
        <v>2</v>
      </c>
      <c r="AD29">
        <v>2</v>
      </c>
      <c r="AH29" s="2">
        <v>44985</v>
      </c>
      <c r="AL29">
        <v>45</v>
      </c>
      <c r="AM29">
        <v>5</v>
      </c>
      <c r="AN29">
        <v>3</v>
      </c>
      <c r="AO29" s="6">
        <v>12</v>
      </c>
      <c r="AP29" s="6">
        <v>12</v>
      </c>
      <c r="AQ29" s="6">
        <v>18</v>
      </c>
      <c r="AR29" s="6">
        <v>42</v>
      </c>
      <c r="AS29" s="6">
        <v>25</v>
      </c>
      <c r="AT29" s="6">
        <v>17</v>
      </c>
      <c r="AU29" s="6"/>
      <c r="AV29" s="6"/>
      <c r="AW29" s="6"/>
      <c r="AX29" s="6">
        <v>16</v>
      </c>
      <c r="AY29" s="6">
        <v>0</v>
      </c>
      <c r="AZ29" s="6"/>
      <c r="BA29" s="6"/>
      <c r="BB29" s="6"/>
      <c r="BC29" s="6">
        <v>0</v>
      </c>
      <c r="BD29" s="6">
        <v>2</v>
      </c>
      <c r="BE29" s="6">
        <v>47.4</v>
      </c>
      <c r="BF29" s="6">
        <v>2.2999999999999998</v>
      </c>
      <c r="BG29" s="6"/>
      <c r="BH29" s="6">
        <v>31</v>
      </c>
      <c r="BI29" s="6">
        <v>20</v>
      </c>
      <c r="BJ29" s="6">
        <v>5</v>
      </c>
      <c r="BK29" s="6">
        <v>4</v>
      </c>
      <c r="BL29" s="6">
        <v>3</v>
      </c>
      <c r="BM29" s="6">
        <v>12</v>
      </c>
      <c r="BN29" s="6"/>
      <c r="BO29" s="6"/>
      <c r="BP29" s="6">
        <v>0</v>
      </c>
      <c r="BQ29" s="6">
        <v>0</v>
      </c>
      <c r="BR29" s="6">
        <v>0</v>
      </c>
      <c r="BS29" s="6">
        <v>5</v>
      </c>
      <c r="BT29" s="6">
        <v>3</v>
      </c>
      <c r="BU29" s="6">
        <v>6</v>
      </c>
      <c r="BV29" s="6">
        <v>2</v>
      </c>
      <c r="BW29" s="6">
        <v>42</v>
      </c>
    </row>
    <row r="30" spans="1:75">
      <c r="A30">
        <v>195</v>
      </c>
      <c r="B30" t="s">
        <v>1206</v>
      </c>
      <c r="C30">
        <v>2</v>
      </c>
      <c r="D30">
        <v>1</v>
      </c>
      <c r="E30">
        <v>34</v>
      </c>
      <c r="F30">
        <v>64</v>
      </c>
      <c r="G30">
        <v>107</v>
      </c>
      <c r="H30">
        <v>0</v>
      </c>
      <c r="I30">
        <v>3</v>
      </c>
      <c r="K30" t="s">
        <v>439</v>
      </c>
      <c r="L30">
        <v>5</v>
      </c>
      <c r="M30">
        <v>0</v>
      </c>
      <c r="O30">
        <v>0</v>
      </c>
      <c r="P30">
        <v>0</v>
      </c>
      <c r="Q30">
        <v>0</v>
      </c>
      <c r="R30">
        <v>0</v>
      </c>
      <c r="S30">
        <v>0</v>
      </c>
      <c r="T30">
        <v>0</v>
      </c>
      <c r="U30">
        <v>0</v>
      </c>
      <c r="V30">
        <v>0</v>
      </c>
      <c r="W30">
        <v>0</v>
      </c>
      <c r="X30">
        <v>1</v>
      </c>
      <c r="Y30">
        <v>0</v>
      </c>
      <c r="Z30">
        <v>2</v>
      </c>
      <c r="AA30" s="6">
        <v>65</v>
      </c>
      <c r="AB30">
        <v>10</v>
      </c>
      <c r="AC30">
        <v>2</v>
      </c>
      <c r="AD30">
        <v>2</v>
      </c>
      <c r="AH30" s="2">
        <v>44928</v>
      </c>
      <c r="AL30" t="s">
        <v>440</v>
      </c>
      <c r="AM30" t="s">
        <v>441</v>
      </c>
      <c r="AN30">
        <v>3</v>
      </c>
      <c r="AO30" s="6">
        <v>9</v>
      </c>
      <c r="AP30" s="6">
        <v>13</v>
      </c>
      <c r="AQ30" s="6">
        <v>15</v>
      </c>
      <c r="AR30" s="6">
        <v>37</v>
      </c>
      <c r="AS30" s="6">
        <v>26</v>
      </c>
      <c r="AT30" s="6">
        <v>22</v>
      </c>
      <c r="AU30" s="6"/>
      <c r="AV30" s="6"/>
      <c r="AW30" s="6"/>
      <c r="AX30" s="6">
        <v>38</v>
      </c>
      <c r="AY30" s="6">
        <v>0</v>
      </c>
      <c r="AZ30" s="6"/>
      <c r="BA30" s="6"/>
      <c r="BB30" s="6"/>
      <c r="BC30" s="6">
        <v>0</v>
      </c>
      <c r="BD30" s="6">
        <v>5</v>
      </c>
      <c r="BE30" s="6">
        <v>66.099999999999994</v>
      </c>
      <c r="BF30" s="6">
        <v>2.4</v>
      </c>
      <c r="BG30" s="6"/>
      <c r="BH30" s="6">
        <v>17</v>
      </c>
      <c r="BI30" s="6">
        <v>19</v>
      </c>
      <c r="BJ30" s="6">
        <v>0</v>
      </c>
      <c r="BK30" s="6">
        <v>12</v>
      </c>
      <c r="BL30" s="6">
        <v>2</v>
      </c>
      <c r="BM30" s="6">
        <v>14</v>
      </c>
      <c r="BN30" s="6"/>
      <c r="BO30" s="6"/>
      <c r="BP30" s="6">
        <v>0</v>
      </c>
      <c r="BQ30" s="6">
        <v>0</v>
      </c>
      <c r="BR30" s="6">
        <v>1</v>
      </c>
      <c r="BS30" s="6">
        <v>1</v>
      </c>
      <c r="BT30" s="6">
        <v>1</v>
      </c>
      <c r="BU30" s="6">
        <v>0</v>
      </c>
      <c r="BV30" s="6">
        <v>3</v>
      </c>
      <c r="BW30" s="6">
        <v>31</v>
      </c>
    </row>
    <row r="31" spans="1:75">
      <c r="A31">
        <v>199</v>
      </c>
      <c r="B31" t="s">
        <v>1208</v>
      </c>
      <c r="C31">
        <v>2</v>
      </c>
      <c r="D31">
        <v>2</v>
      </c>
      <c r="E31">
        <v>28</v>
      </c>
      <c r="F31">
        <v>64</v>
      </c>
      <c r="G31">
        <v>114</v>
      </c>
      <c r="H31">
        <v>0</v>
      </c>
      <c r="I31">
        <v>3</v>
      </c>
      <c r="K31" t="s">
        <v>383</v>
      </c>
      <c r="L31">
        <v>7</v>
      </c>
      <c r="M31">
        <v>0</v>
      </c>
      <c r="O31">
        <v>0</v>
      </c>
      <c r="P31">
        <v>0</v>
      </c>
      <c r="Q31">
        <v>0</v>
      </c>
      <c r="R31">
        <v>1</v>
      </c>
      <c r="S31">
        <v>0</v>
      </c>
      <c r="T31">
        <v>0</v>
      </c>
      <c r="U31">
        <v>0</v>
      </c>
      <c r="V31">
        <v>0</v>
      </c>
      <c r="W31">
        <v>0</v>
      </c>
      <c r="X31">
        <v>0</v>
      </c>
      <c r="Y31">
        <v>0</v>
      </c>
      <c r="Z31">
        <v>2</v>
      </c>
      <c r="AA31" s="6">
        <v>24</v>
      </c>
      <c r="AB31">
        <v>12</v>
      </c>
      <c r="AC31">
        <v>2</v>
      </c>
      <c r="AD31">
        <v>1</v>
      </c>
      <c r="AH31" s="2">
        <v>45067</v>
      </c>
      <c r="AL31">
        <v>24</v>
      </c>
      <c r="AM31">
        <v>8</v>
      </c>
      <c r="AN31">
        <v>1</v>
      </c>
      <c r="AO31" s="6">
        <v>12</v>
      </c>
      <c r="AP31" s="6">
        <v>7</v>
      </c>
      <c r="AQ31" s="6">
        <v>20</v>
      </c>
      <c r="AR31" s="6">
        <v>39</v>
      </c>
      <c r="AS31" s="6">
        <v>18</v>
      </c>
      <c r="AT31" s="6">
        <v>19</v>
      </c>
      <c r="AU31" s="6"/>
      <c r="AV31" s="6"/>
      <c r="AW31" s="6"/>
      <c r="AX31" s="6">
        <v>0</v>
      </c>
      <c r="AY31" s="6">
        <v>0</v>
      </c>
      <c r="AZ31" s="6"/>
      <c r="BA31" s="6"/>
      <c r="BB31" s="6"/>
      <c r="BC31" s="6">
        <v>0</v>
      </c>
      <c r="BD31" s="6">
        <v>2</v>
      </c>
      <c r="BE31" s="6">
        <v>42.3</v>
      </c>
      <c r="BF31" s="6">
        <v>2.6</v>
      </c>
      <c r="BG31" s="6"/>
      <c r="BH31" s="6">
        <v>38</v>
      </c>
      <c r="BI31" s="6">
        <v>13</v>
      </c>
      <c r="BJ31" s="6">
        <v>1</v>
      </c>
      <c r="BK31" s="6">
        <v>1</v>
      </c>
      <c r="BL31" s="6">
        <v>0</v>
      </c>
      <c r="BM31" s="6">
        <v>2</v>
      </c>
      <c r="BN31" s="6"/>
      <c r="BO31" s="6"/>
      <c r="BP31" s="6">
        <v>2</v>
      </c>
      <c r="BQ31" s="6">
        <v>1</v>
      </c>
      <c r="BR31" s="6">
        <v>1</v>
      </c>
      <c r="BS31" s="6">
        <v>3</v>
      </c>
      <c r="BT31" s="6">
        <v>2</v>
      </c>
      <c r="BU31" s="6">
        <v>10</v>
      </c>
      <c r="BV31" s="6">
        <v>-1</v>
      </c>
      <c r="BW31" s="6">
        <v>21</v>
      </c>
    </row>
    <row r="32" spans="1:75">
      <c r="A32">
        <v>200</v>
      </c>
      <c r="B32" t="s">
        <v>1209</v>
      </c>
      <c r="C32">
        <v>2</v>
      </c>
      <c r="D32">
        <v>2</v>
      </c>
      <c r="E32">
        <v>43</v>
      </c>
      <c r="F32">
        <v>66</v>
      </c>
      <c r="G32">
        <v>192</v>
      </c>
      <c r="H32">
        <v>0</v>
      </c>
      <c r="I32">
        <v>3</v>
      </c>
      <c r="K32" t="s">
        <v>450</v>
      </c>
      <c r="L32">
        <v>5</v>
      </c>
      <c r="M32">
        <v>0</v>
      </c>
      <c r="O32">
        <v>0</v>
      </c>
      <c r="P32">
        <v>1</v>
      </c>
      <c r="Q32">
        <v>0</v>
      </c>
      <c r="R32">
        <v>0</v>
      </c>
      <c r="S32">
        <v>0</v>
      </c>
      <c r="T32">
        <v>0</v>
      </c>
      <c r="U32">
        <v>0</v>
      </c>
      <c r="V32">
        <v>0</v>
      </c>
      <c r="W32">
        <v>0</v>
      </c>
      <c r="X32">
        <v>0</v>
      </c>
      <c r="Y32">
        <v>0</v>
      </c>
      <c r="Z32">
        <v>4</v>
      </c>
      <c r="AA32" s="6">
        <v>28</v>
      </c>
      <c r="AB32">
        <v>11</v>
      </c>
      <c r="AC32">
        <v>2</v>
      </c>
      <c r="AD32">
        <v>9</v>
      </c>
      <c r="AE32" t="s">
        <v>451</v>
      </c>
      <c r="AH32" s="2">
        <v>41030</v>
      </c>
      <c r="AI32">
        <v>3</v>
      </c>
      <c r="AJ32">
        <v>3</v>
      </c>
      <c r="AL32">
        <v>28</v>
      </c>
      <c r="AM32">
        <v>7</v>
      </c>
      <c r="AN32">
        <v>2</v>
      </c>
      <c r="AO32" s="6">
        <v>9</v>
      </c>
      <c r="AP32" s="6">
        <v>10</v>
      </c>
      <c r="AQ32" s="6">
        <v>18</v>
      </c>
      <c r="AR32" s="6">
        <v>37</v>
      </c>
      <c r="AS32" s="6">
        <v>19</v>
      </c>
      <c r="AT32" s="6">
        <v>17</v>
      </c>
      <c r="AU32" s="6"/>
      <c r="AV32" s="6"/>
      <c r="AW32" s="6"/>
      <c r="AX32" s="6">
        <v>2</v>
      </c>
      <c r="AY32" s="6">
        <v>0</v>
      </c>
      <c r="AZ32" s="6"/>
      <c r="BA32" s="6"/>
      <c r="BB32" s="6"/>
      <c r="BC32" s="6">
        <v>0</v>
      </c>
      <c r="BD32" s="6">
        <v>2</v>
      </c>
      <c r="BE32" s="6">
        <v>47.4</v>
      </c>
      <c r="BF32" s="6">
        <v>2.2999999999999998</v>
      </c>
      <c r="BG32" s="6"/>
      <c r="BH32" s="6">
        <v>39</v>
      </c>
      <c r="BI32" s="6">
        <v>15</v>
      </c>
      <c r="BJ32" s="6">
        <v>1</v>
      </c>
      <c r="BK32" s="6">
        <v>0</v>
      </c>
      <c r="BL32" s="6">
        <v>1</v>
      </c>
      <c r="BM32" s="6">
        <v>2</v>
      </c>
      <c r="BN32" s="6"/>
      <c r="BO32" s="6"/>
      <c r="BP32" s="6">
        <v>0</v>
      </c>
      <c r="BQ32" s="6">
        <v>0</v>
      </c>
      <c r="BR32" s="6">
        <v>0</v>
      </c>
      <c r="BS32" s="6">
        <v>0</v>
      </c>
      <c r="BT32" s="6">
        <v>3</v>
      </c>
      <c r="BU32" s="6">
        <v>9</v>
      </c>
      <c r="BV32" s="6">
        <v>-6</v>
      </c>
      <c r="BW32" s="6">
        <v>21</v>
      </c>
    </row>
    <row r="33" spans="1:75">
      <c r="A33">
        <v>201</v>
      </c>
      <c r="B33" t="s">
        <v>1210</v>
      </c>
      <c r="C33">
        <v>2</v>
      </c>
      <c r="D33">
        <v>2</v>
      </c>
      <c r="E33">
        <v>27</v>
      </c>
      <c r="F33">
        <v>66</v>
      </c>
      <c r="G33">
        <v>140</v>
      </c>
      <c r="H33">
        <v>0</v>
      </c>
      <c r="I33">
        <v>3</v>
      </c>
      <c r="K33" t="s">
        <v>453</v>
      </c>
      <c r="L33">
        <v>7</v>
      </c>
      <c r="M33">
        <v>0</v>
      </c>
      <c r="O33">
        <v>0</v>
      </c>
      <c r="P33">
        <v>0</v>
      </c>
      <c r="Q33">
        <v>1</v>
      </c>
      <c r="R33">
        <v>0</v>
      </c>
      <c r="S33">
        <v>0</v>
      </c>
      <c r="T33">
        <v>0</v>
      </c>
      <c r="U33">
        <v>0</v>
      </c>
      <c r="V33">
        <v>0</v>
      </c>
      <c r="W33">
        <v>0</v>
      </c>
      <c r="X33">
        <v>0</v>
      </c>
      <c r="Y33">
        <v>0</v>
      </c>
      <c r="Z33">
        <v>1</v>
      </c>
      <c r="AA33" s="6">
        <v>25</v>
      </c>
      <c r="AB33">
        <v>10</v>
      </c>
      <c r="AC33">
        <v>2</v>
      </c>
      <c r="AD33">
        <v>1</v>
      </c>
      <c r="AH33" s="2">
        <v>45063</v>
      </c>
      <c r="AL33">
        <v>28</v>
      </c>
      <c r="AM33">
        <v>4</v>
      </c>
      <c r="AN33">
        <v>1</v>
      </c>
      <c r="AO33" s="6">
        <v>8</v>
      </c>
      <c r="AP33" s="6">
        <v>7</v>
      </c>
      <c r="AQ33" s="6">
        <v>17</v>
      </c>
      <c r="AR33" s="6">
        <v>32</v>
      </c>
      <c r="AS33" s="6">
        <v>22</v>
      </c>
      <c r="AT33" s="6">
        <v>17</v>
      </c>
      <c r="AU33" s="6"/>
      <c r="AV33" s="6"/>
      <c r="AW33" s="6"/>
      <c r="AX33" s="6">
        <v>1</v>
      </c>
      <c r="AY33" s="6">
        <v>3</v>
      </c>
      <c r="AZ33" s="6">
        <v>4</v>
      </c>
      <c r="BA33" s="6">
        <v>1</v>
      </c>
      <c r="BB33" s="6">
        <v>1</v>
      </c>
      <c r="BC33" s="6">
        <v>5</v>
      </c>
      <c r="BD33" s="6">
        <v>3</v>
      </c>
      <c r="BE33" s="6">
        <v>58.7</v>
      </c>
      <c r="BF33" s="6">
        <v>2.2000000000000002</v>
      </c>
      <c r="BG33" s="6"/>
      <c r="BH33" s="6">
        <v>42</v>
      </c>
      <c r="BI33" s="6">
        <v>15</v>
      </c>
      <c r="BJ33" s="6">
        <v>2</v>
      </c>
      <c r="BK33" s="6">
        <v>2</v>
      </c>
      <c r="BL33" s="6">
        <v>1</v>
      </c>
      <c r="BM33" s="6">
        <v>5</v>
      </c>
      <c r="BN33" s="6">
        <v>2.75</v>
      </c>
      <c r="BO33" s="6">
        <v>4.1428571428571432</v>
      </c>
      <c r="BP33" s="6">
        <v>0</v>
      </c>
      <c r="BQ33" s="6">
        <v>0</v>
      </c>
      <c r="BR33" s="6">
        <v>0</v>
      </c>
      <c r="BS33" s="6">
        <v>9</v>
      </c>
      <c r="BT33" s="6">
        <v>3</v>
      </c>
      <c r="BU33" s="6">
        <v>4</v>
      </c>
      <c r="BV33" s="6">
        <v>8</v>
      </c>
      <c r="BW33" s="6">
        <v>24</v>
      </c>
    </row>
    <row r="34" spans="1:75">
      <c r="A34">
        <v>203</v>
      </c>
      <c r="B34" t="s">
        <v>1212</v>
      </c>
      <c r="C34">
        <v>2</v>
      </c>
      <c r="D34">
        <v>2</v>
      </c>
      <c r="E34">
        <v>46</v>
      </c>
      <c r="F34">
        <v>64</v>
      </c>
      <c r="G34">
        <v>130</v>
      </c>
      <c r="H34">
        <v>0</v>
      </c>
      <c r="I34">
        <v>3</v>
      </c>
      <c r="K34" t="s">
        <v>461</v>
      </c>
      <c r="L34">
        <v>7</v>
      </c>
      <c r="M34">
        <v>0</v>
      </c>
      <c r="O34">
        <v>0</v>
      </c>
      <c r="P34">
        <v>1</v>
      </c>
      <c r="Q34">
        <v>0</v>
      </c>
      <c r="R34">
        <v>0</v>
      </c>
      <c r="S34">
        <v>0</v>
      </c>
      <c r="T34">
        <v>0</v>
      </c>
      <c r="U34">
        <v>0</v>
      </c>
      <c r="V34">
        <v>0</v>
      </c>
      <c r="W34">
        <v>0</v>
      </c>
      <c r="X34">
        <v>0</v>
      </c>
      <c r="Y34">
        <v>0</v>
      </c>
      <c r="Z34">
        <v>2</v>
      </c>
      <c r="AA34" s="6">
        <v>25</v>
      </c>
      <c r="AB34">
        <v>12</v>
      </c>
      <c r="AC34">
        <v>2</v>
      </c>
      <c r="AD34">
        <v>1</v>
      </c>
      <c r="AH34" s="2">
        <v>45056</v>
      </c>
      <c r="AL34">
        <v>28</v>
      </c>
      <c r="AM34" t="s">
        <v>462</v>
      </c>
      <c r="AN34">
        <v>4</v>
      </c>
      <c r="AO34" s="6">
        <v>13</v>
      </c>
      <c r="AP34" s="6">
        <v>12</v>
      </c>
      <c r="AQ34" s="6">
        <v>18</v>
      </c>
      <c r="AR34" s="6">
        <v>43</v>
      </c>
      <c r="AS34" s="6">
        <v>21</v>
      </c>
      <c r="AT34" s="6">
        <v>17</v>
      </c>
      <c r="AU34" s="6"/>
      <c r="AV34" s="6"/>
      <c r="AW34" s="6"/>
      <c r="AX34" s="6">
        <v>0</v>
      </c>
      <c r="AY34" s="6">
        <v>1</v>
      </c>
      <c r="AZ34" s="6"/>
      <c r="BA34" s="6">
        <v>1</v>
      </c>
      <c r="BB34" s="6">
        <v>0</v>
      </c>
      <c r="BC34" s="6">
        <v>0</v>
      </c>
      <c r="BD34" s="6">
        <v>2</v>
      </c>
      <c r="BE34" s="6">
        <v>42.3</v>
      </c>
      <c r="BF34" s="6">
        <v>2.6</v>
      </c>
      <c r="BG34" s="6"/>
      <c r="BH34" s="6">
        <v>45</v>
      </c>
      <c r="BI34" s="6">
        <v>10</v>
      </c>
      <c r="BJ34" s="6">
        <v>0</v>
      </c>
      <c r="BK34" s="6">
        <v>0</v>
      </c>
      <c r="BL34" s="6">
        <v>0</v>
      </c>
      <c r="BM34" s="6">
        <v>0</v>
      </c>
      <c r="BN34" s="6"/>
      <c r="BO34" s="6"/>
      <c r="BP34" s="6">
        <v>0</v>
      </c>
      <c r="BQ34" s="6">
        <v>0</v>
      </c>
      <c r="BR34" s="6">
        <v>0</v>
      </c>
      <c r="BS34" s="6">
        <v>1</v>
      </c>
      <c r="BT34" s="6">
        <v>3</v>
      </c>
      <c r="BU34" s="6">
        <v>15</v>
      </c>
      <c r="BV34" s="6">
        <v>-11</v>
      </c>
      <c r="BW34" s="6">
        <v>21</v>
      </c>
    </row>
    <row r="35" spans="1:75">
      <c r="A35">
        <v>117</v>
      </c>
      <c r="B35" t="s">
        <v>1170</v>
      </c>
      <c r="C35">
        <v>2</v>
      </c>
      <c r="D35">
        <v>2</v>
      </c>
      <c r="E35">
        <v>54</v>
      </c>
      <c r="F35">
        <v>71</v>
      </c>
      <c r="G35">
        <v>210</v>
      </c>
      <c r="H35">
        <v>0</v>
      </c>
      <c r="I35">
        <v>5</v>
      </c>
      <c r="K35" t="s">
        <v>207</v>
      </c>
      <c r="L35">
        <v>8</v>
      </c>
      <c r="M35">
        <v>0</v>
      </c>
      <c r="O35">
        <v>0</v>
      </c>
      <c r="P35">
        <v>1</v>
      </c>
      <c r="Q35">
        <v>0</v>
      </c>
      <c r="R35">
        <v>0</v>
      </c>
      <c r="S35">
        <v>0</v>
      </c>
      <c r="T35">
        <v>0</v>
      </c>
      <c r="U35">
        <v>0</v>
      </c>
      <c r="V35">
        <v>0</v>
      </c>
      <c r="W35">
        <v>0</v>
      </c>
      <c r="X35">
        <v>0</v>
      </c>
      <c r="Y35">
        <v>0</v>
      </c>
      <c r="Z35" t="s">
        <v>208</v>
      </c>
      <c r="AA35" s="6">
        <v>25</v>
      </c>
      <c r="AB35">
        <v>12</v>
      </c>
      <c r="AC35">
        <v>3</v>
      </c>
      <c r="AD35">
        <v>6</v>
      </c>
      <c r="AF35" t="s">
        <v>209</v>
      </c>
      <c r="AH35" s="2">
        <v>41183</v>
      </c>
      <c r="AI35">
        <v>4</v>
      </c>
      <c r="AJ35">
        <v>1</v>
      </c>
      <c r="AK35">
        <v>5</v>
      </c>
      <c r="AL35">
        <v>25</v>
      </c>
      <c r="AM35">
        <v>5</v>
      </c>
      <c r="AN35">
        <v>1</v>
      </c>
      <c r="AO35" s="6">
        <v>10</v>
      </c>
      <c r="AP35" s="6">
        <v>9</v>
      </c>
      <c r="AQ35" s="6">
        <v>19</v>
      </c>
      <c r="AR35" s="6">
        <v>38</v>
      </c>
      <c r="AS35" s="6">
        <v>15</v>
      </c>
      <c r="AT35" s="6">
        <v>17</v>
      </c>
      <c r="AU35" s="6"/>
      <c r="AV35" s="6"/>
      <c r="AW35" s="6"/>
      <c r="AX35" s="6">
        <v>1</v>
      </c>
      <c r="AY35" s="6">
        <v>0</v>
      </c>
      <c r="AZ35" s="6"/>
      <c r="BA35" s="6"/>
      <c r="BB35" s="6"/>
      <c r="BC35" s="6">
        <v>0</v>
      </c>
      <c r="BD35" s="6">
        <v>1</v>
      </c>
      <c r="BE35" s="6">
        <v>45.3</v>
      </c>
      <c r="BF35" s="6">
        <v>3.2</v>
      </c>
      <c r="BG35" s="6">
        <v>2</v>
      </c>
      <c r="BH35" s="6">
        <v>27</v>
      </c>
      <c r="BI35" s="6">
        <v>12</v>
      </c>
      <c r="BJ35" s="6">
        <v>2</v>
      </c>
      <c r="BK35" s="6">
        <v>3</v>
      </c>
      <c r="BL35" s="6">
        <v>1</v>
      </c>
      <c r="BM35" s="6">
        <v>6</v>
      </c>
      <c r="BN35" s="6"/>
      <c r="BO35" s="6"/>
      <c r="BP35" s="6">
        <v>2</v>
      </c>
      <c r="BQ35" s="6">
        <v>4</v>
      </c>
      <c r="BR35" s="6">
        <v>1</v>
      </c>
      <c r="BS35" s="6">
        <v>5</v>
      </c>
      <c r="BT35" s="6">
        <v>2</v>
      </c>
      <c r="BU35" s="6">
        <v>4</v>
      </c>
      <c r="BV35" s="6">
        <v>10</v>
      </c>
      <c r="BW35" s="6">
        <v>25</v>
      </c>
    </row>
    <row r="36" spans="1:75">
      <c r="A36">
        <v>118</v>
      </c>
      <c r="B36" t="s">
        <v>1171</v>
      </c>
      <c r="C36">
        <v>2</v>
      </c>
      <c r="D36">
        <v>1</v>
      </c>
      <c r="E36">
        <v>44</v>
      </c>
      <c r="F36">
        <v>70</v>
      </c>
      <c r="G36">
        <v>186</v>
      </c>
      <c r="H36">
        <v>0</v>
      </c>
      <c r="I36">
        <v>3</v>
      </c>
      <c r="K36" t="s">
        <v>218</v>
      </c>
      <c r="L36">
        <v>7</v>
      </c>
      <c r="M36">
        <v>0</v>
      </c>
      <c r="O36">
        <v>1</v>
      </c>
      <c r="P36">
        <v>0</v>
      </c>
      <c r="Q36">
        <v>0</v>
      </c>
      <c r="R36">
        <v>0</v>
      </c>
      <c r="S36">
        <v>0</v>
      </c>
      <c r="T36">
        <v>0</v>
      </c>
      <c r="U36">
        <v>0</v>
      </c>
      <c r="V36">
        <v>0</v>
      </c>
      <c r="W36">
        <v>0</v>
      </c>
      <c r="X36">
        <v>0</v>
      </c>
      <c r="Y36">
        <v>0</v>
      </c>
      <c r="Z36" t="s">
        <v>208</v>
      </c>
      <c r="AA36" s="6">
        <v>28</v>
      </c>
      <c r="AB36">
        <v>12</v>
      </c>
      <c r="AC36">
        <v>2</v>
      </c>
      <c r="AD36">
        <v>1</v>
      </c>
      <c r="AH36" s="2">
        <v>45457</v>
      </c>
      <c r="AL36">
        <v>42</v>
      </c>
      <c r="AM36">
        <v>4</v>
      </c>
      <c r="AN36">
        <v>3</v>
      </c>
      <c r="AO36" s="6">
        <v>8</v>
      </c>
      <c r="AP36" s="6">
        <v>8</v>
      </c>
      <c r="AQ36" s="6">
        <v>19</v>
      </c>
      <c r="AR36" s="6">
        <v>35</v>
      </c>
      <c r="AS36" s="6">
        <v>21</v>
      </c>
      <c r="AT36" s="6">
        <v>17</v>
      </c>
      <c r="AU36" s="6"/>
      <c r="AV36" s="6"/>
      <c r="AW36" s="6"/>
      <c r="AX36" s="6">
        <v>0</v>
      </c>
      <c r="AY36" s="6">
        <v>0</v>
      </c>
      <c r="AZ36" s="6"/>
      <c r="BA36" s="6"/>
      <c r="BB36" s="6"/>
      <c r="BC36" s="6">
        <v>0</v>
      </c>
      <c r="BD36" s="6">
        <v>2</v>
      </c>
      <c r="BE36" s="6">
        <v>41.9</v>
      </c>
      <c r="BF36" s="6">
        <v>3.6</v>
      </c>
      <c r="BG36" s="6">
        <v>2</v>
      </c>
      <c r="BH36" s="6">
        <v>38</v>
      </c>
      <c r="BI36" s="6">
        <v>12</v>
      </c>
      <c r="BJ36" s="6">
        <v>1</v>
      </c>
      <c r="BK36" s="6">
        <v>0</v>
      </c>
      <c r="BL36" s="6">
        <v>0</v>
      </c>
      <c r="BM36" s="6">
        <v>1</v>
      </c>
      <c r="BN36" s="6"/>
      <c r="BO36" s="6"/>
      <c r="BP36" s="6">
        <v>0</v>
      </c>
      <c r="BQ36" s="6">
        <v>0</v>
      </c>
      <c r="BR36" s="6">
        <v>0</v>
      </c>
      <c r="BS36" s="6">
        <v>1</v>
      </c>
      <c r="BT36" s="6">
        <v>3</v>
      </c>
      <c r="BU36" s="6">
        <v>7</v>
      </c>
      <c r="BV36" s="6">
        <v>-3</v>
      </c>
      <c r="BW36" s="6">
        <v>21</v>
      </c>
    </row>
    <row r="37" spans="1:75">
      <c r="A37">
        <v>131</v>
      </c>
      <c r="B37" t="s">
        <v>1177</v>
      </c>
      <c r="C37">
        <v>2</v>
      </c>
      <c r="D37">
        <v>2</v>
      </c>
      <c r="E37">
        <v>23</v>
      </c>
      <c r="F37">
        <v>65</v>
      </c>
      <c r="G37">
        <v>140</v>
      </c>
      <c r="H37">
        <v>0</v>
      </c>
      <c r="I37">
        <v>3</v>
      </c>
      <c r="K37" t="s">
        <v>266</v>
      </c>
      <c r="L37">
        <v>7</v>
      </c>
      <c r="M37">
        <v>0</v>
      </c>
      <c r="O37">
        <v>0</v>
      </c>
      <c r="P37">
        <v>1</v>
      </c>
      <c r="Q37">
        <v>0</v>
      </c>
      <c r="R37">
        <v>0</v>
      </c>
      <c r="S37">
        <v>0</v>
      </c>
      <c r="T37">
        <v>0</v>
      </c>
      <c r="U37">
        <v>0</v>
      </c>
      <c r="V37">
        <v>0</v>
      </c>
      <c r="W37">
        <v>0</v>
      </c>
      <c r="X37">
        <v>0</v>
      </c>
      <c r="Y37">
        <v>0</v>
      </c>
      <c r="Z37" t="s">
        <v>208</v>
      </c>
      <c r="AA37" s="6">
        <v>37</v>
      </c>
      <c r="AB37">
        <v>13</v>
      </c>
      <c r="AC37">
        <v>3</v>
      </c>
      <c r="AD37">
        <v>1</v>
      </c>
      <c r="AH37" s="2">
        <v>45468</v>
      </c>
      <c r="AL37">
        <v>32</v>
      </c>
      <c r="AM37">
        <v>7</v>
      </c>
      <c r="AN37">
        <v>1</v>
      </c>
      <c r="AO37" s="6">
        <v>13</v>
      </c>
      <c r="AP37" s="6">
        <v>11</v>
      </c>
      <c r="AQ37" s="6">
        <v>16</v>
      </c>
      <c r="AR37" s="6">
        <v>40</v>
      </c>
      <c r="AS37" s="6">
        <v>21</v>
      </c>
      <c r="AT37" s="6">
        <v>17</v>
      </c>
      <c r="AU37" s="6">
        <v>16</v>
      </c>
      <c r="AV37" s="6">
        <v>11</v>
      </c>
      <c r="AW37" s="6">
        <v>37</v>
      </c>
      <c r="AX37" s="6">
        <v>4</v>
      </c>
      <c r="AY37" s="6">
        <v>0</v>
      </c>
      <c r="AZ37" s="6"/>
      <c r="BA37" s="6"/>
      <c r="BB37" s="6"/>
      <c r="BC37" s="6">
        <v>0</v>
      </c>
      <c r="BD37" s="6">
        <v>2</v>
      </c>
      <c r="BE37" s="6">
        <v>53.1</v>
      </c>
      <c r="BF37" s="6">
        <v>3.1</v>
      </c>
      <c r="BG37" s="6">
        <v>2</v>
      </c>
      <c r="BH37" s="6">
        <v>32</v>
      </c>
      <c r="BI37" s="6">
        <v>11</v>
      </c>
      <c r="BJ37" s="6">
        <v>2</v>
      </c>
      <c r="BK37" s="6">
        <v>0</v>
      </c>
      <c r="BL37" s="6">
        <v>0</v>
      </c>
      <c r="BM37" s="6">
        <v>2</v>
      </c>
      <c r="BN37" s="6"/>
      <c r="BO37" s="6"/>
      <c r="BP37" s="6">
        <v>2</v>
      </c>
      <c r="BQ37" s="6">
        <v>0</v>
      </c>
      <c r="BR37" s="6">
        <v>0</v>
      </c>
      <c r="BS37" s="6">
        <v>2</v>
      </c>
      <c r="BT37" s="6">
        <v>1</v>
      </c>
      <c r="BU37" s="6">
        <v>6</v>
      </c>
      <c r="BV37" s="6">
        <v>-1</v>
      </c>
      <c r="BW37" s="6">
        <v>39</v>
      </c>
    </row>
    <row r="38" spans="1:75">
      <c r="A38">
        <v>156</v>
      </c>
      <c r="B38" t="s">
        <v>1192</v>
      </c>
      <c r="C38">
        <v>2</v>
      </c>
      <c r="D38">
        <v>1</v>
      </c>
      <c r="E38">
        <v>25</v>
      </c>
      <c r="F38">
        <v>60</v>
      </c>
      <c r="G38">
        <v>122</v>
      </c>
      <c r="H38">
        <v>0</v>
      </c>
      <c r="I38">
        <v>2</v>
      </c>
      <c r="K38" t="s">
        <v>383</v>
      </c>
      <c r="L38">
        <v>7</v>
      </c>
      <c r="M38">
        <v>0</v>
      </c>
      <c r="O38">
        <v>1</v>
      </c>
      <c r="P38">
        <v>0</v>
      </c>
      <c r="Q38">
        <v>0</v>
      </c>
      <c r="R38">
        <v>1</v>
      </c>
      <c r="S38">
        <v>0</v>
      </c>
      <c r="T38">
        <v>0</v>
      </c>
      <c r="U38">
        <v>0</v>
      </c>
      <c r="V38">
        <v>0</v>
      </c>
      <c r="W38">
        <v>0</v>
      </c>
      <c r="X38">
        <v>0</v>
      </c>
      <c r="Y38">
        <v>0</v>
      </c>
      <c r="Z38" t="s">
        <v>208</v>
      </c>
      <c r="AA38" s="6">
        <v>56</v>
      </c>
      <c r="AB38">
        <v>10</v>
      </c>
      <c r="AC38">
        <v>2</v>
      </c>
      <c r="AD38">
        <v>1</v>
      </c>
      <c r="AH38" s="2">
        <v>45509</v>
      </c>
      <c r="AL38">
        <v>26</v>
      </c>
      <c r="AM38">
        <v>5</v>
      </c>
      <c r="AN38">
        <v>1</v>
      </c>
      <c r="AO38" s="6">
        <v>12</v>
      </c>
      <c r="AP38" s="6">
        <v>15</v>
      </c>
      <c r="AQ38" s="6">
        <v>16</v>
      </c>
      <c r="AR38" s="6">
        <v>43</v>
      </c>
      <c r="AS38" s="6">
        <v>19</v>
      </c>
      <c r="AT38" s="6">
        <v>17</v>
      </c>
      <c r="AU38" s="6"/>
      <c r="AV38" s="6"/>
      <c r="AW38" s="6"/>
      <c r="AX38" s="6">
        <v>29</v>
      </c>
      <c r="AY38" s="6">
        <v>0</v>
      </c>
      <c r="AZ38" s="6"/>
      <c r="BA38" s="6"/>
      <c r="BB38" s="6"/>
      <c r="BC38" s="6">
        <v>0</v>
      </c>
      <c r="BD38" s="6">
        <v>3</v>
      </c>
      <c r="BE38" s="6">
        <v>52.4</v>
      </c>
      <c r="BF38" s="6">
        <v>3.3</v>
      </c>
      <c r="BG38" s="6">
        <v>2</v>
      </c>
      <c r="BH38" s="6">
        <v>22</v>
      </c>
      <c r="BI38" s="6">
        <v>26</v>
      </c>
      <c r="BJ38" s="6">
        <v>3</v>
      </c>
      <c r="BK38" s="6">
        <v>7</v>
      </c>
      <c r="BL38" s="6">
        <v>9</v>
      </c>
      <c r="BM38" s="6">
        <v>19</v>
      </c>
      <c r="BN38" s="6"/>
      <c r="BO38" s="6"/>
      <c r="BP38" s="6">
        <v>7</v>
      </c>
      <c r="BQ38" s="6">
        <v>2</v>
      </c>
      <c r="BR38" s="6">
        <v>4</v>
      </c>
      <c r="BS38" s="6">
        <v>9</v>
      </c>
      <c r="BT38" s="6">
        <v>5</v>
      </c>
      <c r="BU38" s="6">
        <v>3</v>
      </c>
      <c r="BV38" s="6">
        <v>24</v>
      </c>
      <c r="BW38" s="6">
        <v>63</v>
      </c>
    </row>
    <row r="39" spans="1:75">
      <c r="A39">
        <v>121</v>
      </c>
      <c r="B39" t="s">
        <v>1172</v>
      </c>
      <c r="C39">
        <v>2</v>
      </c>
      <c r="D39">
        <v>2</v>
      </c>
      <c r="E39">
        <v>54</v>
      </c>
      <c r="F39">
        <v>67</v>
      </c>
      <c r="G39">
        <v>160</v>
      </c>
      <c r="H39">
        <v>0</v>
      </c>
      <c r="I39">
        <v>3</v>
      </c>
      <c r="K39" t="s">
        <v>223</v>
      </c>
      <c r="L39">
        <v>7</v>
      </c>
      <c r="M39">
        <v>0</v>
      </c>
      <c r="O39">
        <v>0</v>
      </c>
      <c r="P39">
        <v>1</v>
      </c>
      <c r="Q39">
        <v>0</v>
      </c>
      <c r="R39">
        <v>0</v>
      </c>
      <c r="S39">
        <v>0</v>
      </c>
      <c r="T39">
        <v>0</v>
      </c>
      <c r="U39">
        <v>0</v>
      </c>
      <c r="V39">
        <v>0</v>
      </c>
      <c r="W39">
        <v>0</v>
      </c>
      <c r="X39">
        <v>0</v>
      </c>
      <c r="Y39">
        <v>0</v>
      </c>
      <c r="Z39" t="s">
        <v>208</v>
      </c>
      <c r="AA39" s="6">
        <v>41</v>
      </c>
      <c r="AB39">
        <v>16</v>
      </c>
      <c r="AC39">
        <v>4</v>
      </c>
      <c r="AD39">
        <v>4</v>
      </c>
      <c r="AH39" s="2">
        <v>44819</v>
      </c>
      <c r="AI39">
        <v>6</v>
      </c>
      <c r="AJ39">
        <v>1</v>
      </c>
      <c r="AK39">
        <v>4</v>
      </c>
      <c r="AL39">
        <v>28</v>
      </c>
      <c r="AM39">
        <v>3</v>
      </c>
      <c r="AN39">
        <v>1</v>
      </c>
      <c r="AO39" s="6">
        <v>10</v>
      </c>
      <c r="AP39" s="6">
        <v>9</v>
      </c>
      <c r="AQ39" s="6">
        <v>17</v>
      </c>
      <c r="AR39" s="6">
        <v>36</v>
      </c>
      <c r="AS39" s="6">
        <v>23</v>
      </c>
      <c r="AT39" s="6">
        <v>19</v>
      </c>
      <c r="AU39" s="6"/>
      <c r="AV39" s="6"/>
      <c r="AW39" s="6"/>
      <c r="AX39" s="6">
        <v>7</v>
      </c>
      <c r="AY39" s="6">
        <v>1</v>
      </c>
      <c r="AZ39" s="6">
        <v>15</v>
      </c>
      <c r="BA39" s="6">
        <v>3</v>
      </c>
      <c r="BB39" s="6">
        <v>1</v>
      </c>
      <c r="BC39" s="6">
        <v>1</v>
      </c>
      <c r="BD39" s="6">
        <v>1</v>
      </c>
      <c r="BE39" s="6">
        <v>45.3</v>
      </c>
      <c r="BF39" s="6">
        <v>3.2</v>
      </c>
      <c r="BG39" s="6">
        <v>2</v>
      </c>
      <c r="BH39" s="6">
        <v>31</v>
      </c>
      <c r="BI39" s="6">
        <v>14</v>
      </c>
      <c r="BJ39" s="6">
        <v>1</v>
      </c>
      <c r="BK39" s="6">
        <v>2</v>
      </c>
      <c r="BL39" s="6">
        <v>1</v>
      </c>
      <c r="BM39" s="6">
        <v>4</v>
      </c>
      <c r="BN39" s="6"/>
      <c r="BO39" s="6"/>
      <c r="BP39" s="6">
        <v>1</v>
      </c>
      <c r="BQ39" s="6">
        <v>0</v>
      </c>
      <c r="BR39" s="6">
        <v>0</v>
      </c>
      <c r="BS39" s="6">
        <v>3</v>
      </c>
      <c r="BT39" s="6">
        <v>1</v>
      </c>
      <c r="BU39" s="6">
        <v>4</v>
      </c>
      <c r="BV39" s="6">
        <v>1</v>
      </c>
      <c r="BW39" s="6">
        <v>38</v>
      </c>
    </row>
    <row r="40" spans="1:75">
      <c r="A40">
        <v>124</v>
      </c>
      <c r="B40" t="s">
        <v>1174</v>
      </c>
      <c r="C40">
        <v>2</v>
      </c>
      <c r="D40">
        <v>2</v>
      </c>
      <c r="E40">
        <v>39</v>
      </c>
      <c r="F40">
        <v>67</v>
      </c>
      <c r="G40">
        <v>182</v>
      </c>
      <c r="H40">
        <v>0</v>
      </c>
      <c r="I40">
        <v>3</v>
      </c>
      <c r="K40" t="s">
        <v>245</v>
      </c>
      <c r="L40">
        <v>8</v>
      </c>
      <c r="M40">
        <v>0</v>
      </c>
      <c r="O40">
        <v>1</v>
      </c>
      <c r="P40">
        <v>0</v>
      </c>
      <c r="Q40">
        <v>0</v>
      </c>
      <c r="R40">
        <v>0</v>
      </c>
      <c r="S40">
        <v>0</v>
      </c>
      <c r="T40">
        <v>0</v>
      </c>
      <c r="U40">
        <v>0</v>
      </c>
      <c r="V40">
        <v>0</v>
      </c>
      <c r="W40">
        <v>0</v>
      </c>
      <c r="X40">
        <v>0</v>
      </c>
      <c r="Y40">
        <v>0</v>
      </c>
      <c r="Z40" t="s">
        <v>208</v>
      </c>
      <c r="AA40" s="6">
        <v>35</v>
      </c>
      <c r="AB40">
        <v>15</v>
      </c>
      <c r="AC40">
        <v>6</v>
      </c>
      <c r="AD40">
        <v>3</v>
      </c>
      <c r="AH40" s="2">
        <v>45362</v>
      </c>
      <c r="AL40">
        <v>25</v>
      </c>
      <c r="AM40">
        <v>4</v>
      </c>
      <c r="AN40">
        <v>2</v>
      </c>
      <c r="AO40" s="6">
        <v>11</v>
      </c>
      <c r="AP40" s="6">
        <v>15</v>
      </c>
      <c r="AQ40" s="6">
        <v>17</v>
      </c>
      <c r="AR40" s="6">
        <v>43</v>
      </c>
      <c r="AS40" s="6">
        <v>20</v>
      </c>
      <c r="AT40" s="6">
        <v>17</v>
      </c>
      <c r="AU40" s="6"/>
      <c r="AV40" s="6"/>
      <c r="AW40" s="6"/>
      <c r="AX40" s="6">
        <v>0</v>
      </c>
      <c r="AY40" s="6">
        <v>1</v>
      </c>
      <c r="AZ40" s="6">
        <v>0.1</v>
      </c>
      <c r="BA40" s="6">
        <v>0</v>
      </c>
      <c r="BB40" s="6">
        <v>0</v>
      </c>
      <c r="BC40" s="6">
        <v>0</v>
      </c>
      <c r="BD40" s="6">
        <v>2</v>
      </c>
      <c r="BE40" s="6">
        <v>49.2</v>
      </c>
      <c r="BF40" s="6">
        <v>3</v>
      </c>
      <c r="BG40" s="6">
        <v>2</v>
      </c>
      <c r="BH40" s="6">
        <v>38</v>
      </c>
      <c r="BI40" s="6">
        <v>12</v>
      </c>
      <c r="BJ40" s="6">
        <v>0</v>
      </c>
      <c r="BK40" s="6">
        <v>0</v>
      </c>
      <c r="BL40" s="6">
        <v>0</v>
      </c>
      <c r="BM40" s="6">
        <v>0</v>
      </c>
      <c r="BN40" s="6">
        <v>2.75</v>
      </c>
      <c r="BO40" s="6">
        <v>0.14285714285714285</v>
      </c>
      <c r="BP40" s="6">
        <v>0</v>
      </c>
      <c r="BQ40" s="6">
        <v>0</v>
      </c>
      <c r="BR40" s="6">
        <v>0</v>
      </c>
      <c r="BS40" s="6">
        <v>0</v>
      </c>
      <c r="BT40" s="6">
        <v>2</v>
      </c>
      <c r="BU40" s="6">
        <v>13</v>
      </c>
      <c r="BV40" s="6">
        <v>-11</v>
      </c>
      <c r="BW40" s="6">
        <v>27</v>
      </c>
    </row>
    <row r="41" spans="1:75">
      <c r="A41">
        <v>133</v>
      </c>
      <c r="B41" t="s">
        <v>1178</v>
      </c>
      <c r="C41">
        <v>2</v>
      </c>
      <c r="D41">
        <v>2</v>
      </c>
      <c r="E41">
        <v>50</v>
      </c>
      <c r="F41">
        <v>67</v>
      </c>
      <c r="G41">
        <v>152</v>
      </c>
      <c r="H41">
        <v>0</v>
      </c>
      <c r="I41">
        <v>3</v>
      </c>
      <c r="K41" t="s">
        <v>269</v>
      </c>
      <c r="L41">
        <v>7</v>
      </c>
      <c r="M41">
        <v>0</v>
      </c>
      <c r="O41">
        <v>0</v>
      </c>
      <c r="P41">
        <v>1</v>
      </c>
      <c r="Q41">
        <v>0</v>
      </c>
      <c r="R41">
        <v>0</v>
      </c>
      <c r="S41">
        <v>0</v>
      </c>
      <c r="T41">
        <v>0</v>
      </c>
      <c r="U41">
        <v>0</v>
      </c>
      <c r="V41">
        <v>0</v>
      </c>
      <c r="W41">
        <v>0</v>
      </c>
      <c r="X41">
        <v>0</v>
      </c>
      <c r="Y41">
        <v>0</v>
      </c>
      <c r="Z41" t="s">
        <v>208</v>
      </c>
      <c r="AA41" s="6">
        <v>20</v>
      </c>
      <c r="AB41">
        <v>14</v>
      </c>
      <c r="AC41">
        <v>3</v>
      </c>
      <c r="AD41">
        <v>4</v>
      </c>
      <c r="AH41" s="2">
        <v>45424</v>
      </c>
      <c r="AI41">
        <v>6</v>
      </c>
      <c r="AJ41">
        <v>2</v>
      </c>
      <c r="AL41">
        <v>24</v>
      </c>
      <c r="AM41">
        <v>6</v>
      </c>
      <c r="AN41">
        <v>1</v>
      </c>
      <c r="AO41" s="6">
        <v>14</v>
      </c>
      <c r="AP41" s="6">
        <v>15</v>
      </c>
      <c r="AQ41" s="6">
        <v>19</v>
      </c>
      <c r="AR41" s="6">
        <v>48</v>
      </c>
      <c r="AS41" s="6">
        <v>10</v>
      </c>
      <c r="AT41" s="6">
        <v>18</v>
      </c>
      <c r="AU41" s="6"/>
      <c r="AV41" s="6"/>
      <c r="AW41" s="6"/>
      <c r="AX41" s="6">
        <v>0</v>
      </c>
      <c r="AY41" s="6">
        <v>0</v>
      </c>
      <c r="AZ41" s="6"/>
      <c r="BA41" s="6"/>
      <c r="BB41" s="6"/>
      <c r="BC41" s="6">
        <v>0</v>
      </c>
      <c r="BD41" s="6">
        <v>4</v>
      </c>
      <c r="BE41" s="6">
        <v>31.7</v>
      </c>
      <c r="BF41" s="6">
        <v>2.9</v>
      </c>
      <c r="BG41" s="6">
        <v>9</v>
      </c>
      <c r="BH41" s="6">
        <v>49</v>
      </c>
      <c r="BI41" s="6">
        <v>10</v>
      </c>
      <c r="BJ41" s="6">
        <v>0</v>
      </c>
      <c r="BK41" s="6">
        <v>0</v>
      </c>
      <c r="BL41" s="6">
        <v>0</v>
      </c>
      <c r="BM41" s="6">
        <v>0</v>
      </c>
      <c r="BN41" s="6"/>
      <c r="BO41" s="6"/>
      <c r="BP41" s="6">
        <v>0</v>
      </c>
      <c r="BQ41" s="6">
        <v>0</v>
      </c>
      <c r="BR41" s="6">
        <v>0</v>
      </c>
      <c r="BS41" s="6">
        <v>0</v>
      </c>
      <c r="BT41" s="6">
        <v>4</v>
      </c>
      <c r="BU41" s="6">
        <v>19</v>
      </c>
      <c r="BV41" s="6">
        <v>-15</v>
      </c>
      <c r="BW41" s="6">
        <v>21</v>
      </c>
    </row>
    <row r="42" spans="1:75">
      <c r="A42">
        <v>154</v>
      </c>
      <c r="B42" t="s">
        <v>1191</v>
      </c>
      <c r="C42">
        <v>2</v>
      </c>
      <c r="D42">
        <v>2</v>
      </c>
      <c r="E42">
        <v>49</v>
      </c>
      <c r="F42">
        <v>61</v>
      </c>
      <c r="G42">
        <v>107</v>
      </c>
      <c r="H42">
        <v>1</v>
      </c>
      <c r="I42">
        <v>6</v>
      </c>
      <c r="J42" t="s">
        <v>378</v>
      </c>
      <c r="K42" t="s">
        <v>379</v>
      </c>
      <c r="L42">
        <v>8</v>
      </c>
      <c r="M42">
        <v>0</v>
      </c>
      <c r="O42">
        <v>0</v>
      </c>
      <c r="P42">
        <v>1</v>
      </c>
      <c r="Q42">
        <v>0</v>
      </c>
      <c r="R42">
        <v>0</v>
      </c>
      <c r="S42">
        <v>0</v>
      </c>
      <c r="T42">
        <v>0</v>
      </c>
      <c r="U42">
        <v>0</v>
      </c>
      <c r="V42">
        <v>0</v>
      </c>
      <c r="W42">
        <v>0</v>
      </c>
      <c r="X42">
        <v>0</v>
      </c>
      <c r="Y42">
        <v>0</v>
      </c>
      <c r="Z42" t="s">
        <v>208</v>
      </c>
      <c r="AA42" s="6">
        <v>29</v>
      </c>
      <c r="AB42">
        <v>12</v>
      </c>
      <c r="AC42">
        <v>2</v>
      </c>
      <c r="AD42">
        <v>4</v>
      </c>
      <c r="AH42" s="2">
        <v>43892</v>
      </c>
      <c r="AI42">
        <v>5</v>
      </c>
      <c r="AJ42">
        <v>1</v>
      </c>
      <c r="AK42">
        <v>3</v>
      </c>
      <c r="AL42">
        <v>21</v>
      </c>
      <c r="AM42">
        <v>5</v>
      </c>
      <c r="AN42">
        <v>1</v>
      </c>
      <c r="AO42" s="6">
        <v>16</v>
      </c>
      <c r="AP42" s="6">
        <v>16</v>
      </c>
      <c r="AQ42" s="6">
        <v>19</v>
      </c>
      <c r="AR42" s="6">
        <v>51</v>
      </c>
      <c r="AS42" s="6">
        <v>16</v>
      </c>
      <c r="AT42" s="6">
        <v>17</v>
      </c>
      <c r="AU42" s="6"/>
      <c r="AV42" s="6"/>
      <c r="AW42" s="6"/>
      <c r="AX42" s="6">
        <v>1</v>
      </c>
      <c r="AY42" s="6">
        <v>0</v>
      </c>
      <c r="AZ42" s="6"/>
      <c r="BA42" s="6"/>
      <c r="BB42" s="6"/>
      <c r="BC42" s="6">
        <v>0</v>
      </c>
      <c r="BD42" s="6">
        <v>5</v>
      </c>
      <c r="BE42" s="6">
        <v>29</v>
      </c>
      <c r="BF42" s="6">
        <v>3.6</v>
      </c>
      <c r="BG42" s="6">
        <v>9</v>
      </c>
      <c r="BH42" s="6">
        <v>50</v>
      </c>
      <c r="BI42" s="6">
        <v>11</v>
      </c>
      <c r="BJ42" s="6">
        <v>0</v>
      </c>
      <c r="BK42" s="6">
        <v>0</v>
      </c>
      <c r="BL42" s="6">
        <v>0</v>
      </c>
      <c r="BM42" s="6">
        <v>0</v>
      </c>
      <c r="BN42" s="6"/>
      <c r="BO42" s="6"/>
      <c r="BP42" s="6">
        <v>2</v>
      </c>
      <c r="BQ42" s="6">
        <v>0</v>
      </c>
      <c r="BR42" s="6">
        <v>0</v>
      </c>
      <c r="BS42" s="6">
        <v>0</v>
      </c>
      <c r="BT42" s="6">
        <v>3</v>
      </c>
      <c r="BU42" s="6">
        <v>16</v>
      </c>
      <c r="BV42" s="6">
        <v>-11</v>
      </c>
      <c r="BW42" s="6">
        <v>28</v>
      </c>
    </row>
    <row r="43" spans="1:75">
      <c r="A43">
        <v>135</v>
      </c>
      <c r="B43" t="s">
        <v>1180</v>
      </c>
      <c r="C43">
        <v>2</v>
      </c>
      <c r="D43">
        <v>2</v>
      </c>
      <c r="E43">
        <v>35</v>
      </c>
      <c r="F43">
        <v>64</v>
      </c>
      <c r="G43">
        <v>198</v>
      </c>
      <c r="H43">
        <v>0</v>
      </c>
      <c r="I43">
        <v>5</v>
      </c>
      <c r="K43" t="s">
        <v>278</v>
      </c>
      <c r="L43">
        <v>5</v>
      </c>
      <c r="M43">
        <v>0</v>
      </c>
      <c r="O43">
        <v>0</v>
      </c>
      <c r="P43">
        <v>1</v>
      </c>
      <c r="Q43">
        <v>0</v>
      </c>
      <c r="R43">
        <v>0</v>
      </c>
      <c r="S43">
        <v>0</v>
      </c>
      <c r="T43">
        <v>0</v>
      </c>
      <c r="U43">
        <v>0</v>
      </c>
      <c r="V43">
        <v>0</v>
      </c>
      <c r="W43">
        <v>0</v>
      </c>
      <c r="X43">
        <v>0</v>
      </c>
      <c r="Y43">
        <v>0</v>
      </c>
      <c r="Z43" t="s">
        <v>208</v>
      </c>
      <c r="AA43" s="6">
        <v>32</v>
      </c>
      <c r="AB43">
        <v>9</v>
      </c>
      <c r="AC43">
        <v>1</v>
      </c>
      <c r="AD43">
        <v>1</v>
      </c>
      <c r="AH43" s="2">
        <v>45374</v>
      </c>
      <c r="AL43">
        <v>27</v>
      </c>
      <c r="AM43">
        <v>7</v>
      </c>
      <c r="AN43">
        <v>2</v>
      </c>
      <c r="AO43" s="6">
        <v>14</v>
      </c>
      <c r="AP43" s="6">
        <v>15</v>
      </c>
      <c r="AQ43" s="6">
        <v>20</v>
      </c>
      <c r="AR43" s="6">
        <v>49</v>
      </c>
      <c r="AS43" s="6">
        <v>19</v>
      </c>
      <c r="AT43" s="6">
        <v>17</v>
      </c>
      <c r="AU43" s="6"/>
      <c r="AV43" s="6"/>
      <c r="AW43" s="6"/>
      <c r="AX43" s="6">
        <v>8</v>
      </c>
      <c r="AY43" s="6">
        <v>0</v>
      </c>
      <c r="AZ43" s="6"/>
      <c r="BA43" s="6"/>
      <c r="BB43" s="6"/>
      <c r="BC43" s="6">
        <v>0</v>
      </c>
      <c r="BD43" s="6">
        <v>2</v>
      </c>
      <c r="BE43" s="6">
        <v>49.2</v>
      </c>
      <c r="BF43" s="6">
        <v>3</v>
      </c>
      <c r="BG43" s="6">
        <v>2</v>
      </c>
      <c r="BH43" s="6">
        <v>38</v>
      </c>
      <c r="BI43" s="6">
        <v>12</v>
      </c>
      <c r="BJ43" s="6">
        <v>0</v>
      </c>
      <c r="BK43" s="6">
        <v>0</v>
      </c>
      <c r="BL43" s="6">
        <v>0</v>
      </c>
      <c r="BM43" s="6">
        <v>0</v>
      </c>
      <c r="BN43" s="6"/>
      <c r="BO43" s="6"/>
      <c r="BP43" s="6">
        <v>1</v>
      </c>
      <c r="BQ43" s="6">
        <v>0</v>
      </c>
      <c r="BR43" s="6">
        <v>0</v>
      </c>
      <c r="BS43" s="6">
        <v>3</v>
      </c>
      <c r="BT43" s="6">
        <v>5</v>
      </c>
      <c r="BU43" s="6">
        <v>12</v>
      </c>
      <c r="BV43" s="6">
        <v>-3</v>
      </c>
      <c r="BW43" s="6">
        <v>30</v>
      </c>
    </row>
    <row r="44" spans="1:75">
      <c r="A44">
        <v>134</v>
      </c>
      <c r="B44" t="s">
        <v>1179</v>
      </c>
      <c r="C44">
        <v>2</v>
      </c>
      <c r="D44">
        <v>2</v>
      </c>
      <c r="E44">
        <v>50</v>
      </c>
      <c r="F44">
        <v>64</v>
      </c>
      <c r="G44">
        <v>128</v>
      </c>
      <c r="H44">
        <v>0</v>
      </c>
      <c r="I44">
        <v>2</v>
      </c>
      <c r="K44" t="s">
        <v>273</v>
      </c>
      <c r="L44">
        <v>10</v>
      </c>
      <c r="M44">
        <v>0</v>
      </c>
      <c r="O44">
        <v>0</v>
      </c>
      <c r="P44">
        <v>1</v>
      </c>
      <c r="Q44">
        <v>0</v>
      </c>
      <c r="R44">
        <v>0</v>
      </c>
      <c r="S44">
        <v>0</v>
      </c>
      <c r="T44">
        <v>0</v>
      </c>
      <c r="U44">
        <v>0</v>
      </c>
      <c r="V44">
        <v>0</v>
      </c>
      <c r="W44">
        <v>0</v>
      </c>
      <c r="X44">
        <v>0</v>
      </c>
      <c r="Y44">
        <v>0</v>
      </c>
      <c r="Z44" t="s">
        <v>208</v>
      </c>
      <c r="AA44" s="6">
        <v>39</v>
      </c>
      <c r="AB44">
        <v>13</v>
      </c>
      <c r="AC44">
        <v>3</v>
      </c>
      <c r="AD44">
        <v>2</v>
      </c>
      <c r="AH44" s="2">
        <v>45461</v>
      </c>
      <c r="AL44" t="s">
        <v>274</v>
      </c>
      <c r="AM44" t="s">
        <v>275</v>
      </c>
      <c r="AN44">
        <v>1</v>
      </c>
      <c r="AO44" s="6">
        <v>11</v>
      </c>
      <c r="AP44" s="6">
        <v>10</v>
      </c>
      <c r="AQ44" s="6">
        <v>15</v>
      </c>
      <c r="AR44" s="6">
        <v>36</v>
      </c>
      <c r="AS44" s="6">
        <v>22</v>
      </c>
      <c r="AT44" s="6">
        <v>17</v>
      </c>
      <c r="AU44" s="6"/>
      <c r="AV44" s="6"/>
      <c r="AW44" s="6"/>
      <c r="AX44" s="6">
        <v>8</v>
      </c>
      <c r="AY44" s="6">
        <v>0</v>
      </c>
      <c r="AZ44" s="6"/>
      <c r="BA44" s="6"/>
      <c r="BB44" s="6"/>
      <c r="BC44" s="6">
        <v>0</v>
      </c>
      <c r="BD44" s="6">
        <v>2</v>
      </c>
      <c r="BE44" s="6">
        <v>41.9</v>
      </c>
      <c r="BF44" s="6">
        <v>3.6</v>
      </c>
      <c r="BG44" s="6">
        <v>2</v>
      </c>
      <c r="BH44" s="6">
        <v>36</v>
      </c>
      <c r="BI44" s="6">
        <v>11</v>
      </c>
      <c r="BJ44" s="6">
        <v>1</v>
      </c>
      <c r="BK44" s="6">
        <v>0</v>
      </c>
      <c r="BL44" s="6">
        <v>2</v>
      </c>
      <c r="BM44" s="6">
        <v>3</v>
      </c>
      <c r="BN44" s="6"/>
      <c r="BO44" s="6"/>
      <c r="BP44" s="6">
        <v>1</v>
      </c>
      <c r="BQ44" s="6">
        <v>0</v>
      </c>
      <c r="BR44" s="6">
        <v>0</v>
      </c>
      <c r="BS44" s="6">
        <v>2</v>
      </c>
      <c r="BT44" s="6">
        <v>3</v>
      </c>
      <c r="BU44" s="6">
        <v>15</v>
      </c>
      <c r="BV44" s="6">
        <v>-9</v>
      </c>
      <c r="BW44" s="6">
        <v>26</v>
      </c>
    </row>
    <row r="45" spans="1:75">
      <c r="A45">
        <v>150</v>
      </c>
      <c r="B45" t="s">
        <v>1187</v>
      </c>
      <c r="C45">
        <v>2</v>
      </c>
      <c r="D45">
        <v>2</v>
      </c>
      <c r="E45">
        <v>41</v>
      </c>
      <c r="F45">
        <v>69</v>
      </c>
      <c r="G45">
        <v>185</v>
      </c>
      <c r="H45">
        <v>0</v>
      </c>
      <c r="I45">
        <v>5</v>
      </c>
      <c r="K45" t="s">
        <v>344</v>
      </c>
      <c r="L45">
        <v>9</v>
      </c>
      <c r="M45">
        <v>0</v>
      </c>
      <c r="O45">
        <v>0</v>
      </c>
      <c r="P45">
        <v>1</v>
      </c>
      <c r="Q45">
        <v>0</v>
      </c>
      <c r="R45">
        <v>0</v>
      </c>
      <c r="S45">
        <v>0</v>
      </c>
      <c r="T45">
        <v>0</v>
      </c>
      <c r="U45">
        <v>0</v>
      </c>
      <c r="V45">
        <v>0</v>
      </c>
      <c r="W45">
        <v>0</v>
      </c>
      <c r="X45">
        <v>0</v>
      </c>
      <c r="Y45">
        <v>0</v>
      </c>
      <c r="Z45" t="s">
        <v>208</v>
      </c>
      <c r="AA45" s="6">
        <v>23</v>
      </c>
      <c r="AB45">
        <v>12</v>
      </c>
      <c r="AC45">
        <v>6</v>
      </c>
      <c r="AD45">
        <v>1</v>
      </c>
      <c r="AH45" s="2">
        <v>45511</v>
      </c>
      <c r="AL45">
        <v>24</v>
      </c>
      <c r="AM45">
        <v>8</v>
      </c>
      <c r="AN45">
        <v>2</v>
      </c>
      <c r="AO45" s="6">
        <v>10</v>
      </c>
      <c r="AP45" s="6">
        <v>8</v>
      </c>
      <c r="AQ45" s="6">
        <v>20</v>
      </c>
      <c r="AR45" s="6">
        <v>38</v>
      </c>
      <c r="AS45" s="6">
        <v>15</v>
      </c>
      <c r="AT45" s="6">
        <v>27</v>
      </c>
      <c r="AU45" s="6"/>
      <c r="AV45" s="6"/>
      <c r="AW45" s="6"/>
      <c r="AX45" s="6">
        <v>0</v>
      </c>
      <c r="AY45" s="6">
        <v>0</v>
      </c>
      <c r="AZ45" s="6"/>
      <c r="BA45" s="6"/>
      <c r="BB45" s="6"/>
      <c r="BC45" s="6">
        <v>0</v>
      </c>
      <c r="BD45" s="6">
        <v>1</v>
      </c>
      <c r="BE45" s="6">
        <v>34.6</v>
      </c>
      <c r="BF45" s="6">
        <v>5.2</v>
      </c>
      <c r="BG45" s="6">
        <v>2</v>
      </c>
      <c r="BH45" s="6">
        <v>46</v>
      </c>
      <c r="BI45" s="6">
        <v>10</v>
      </c>
      <c r="BJ45" s="6">
        <v>0</v>
      </c>
      <c r="BK45" s="6">
        <v>0</v>
      </c>
      <c r="BL45" s="6">
        <v>0</v>
      </c>
      <c r="BM45" s="6">
        <v>0</v>
      </c>
      <c r="BN45" s="6"/>
      <c r="BO45" s="6"/>
      <c r="BP45" s="6">
        <v>0</v>
      </c>
      <c r="BQ45" s="6">
        <v>0</v>
      </c>
      <c r="BR45" s="6">
        <v>0</v>
      </c>
      <c r="BS45" s="6">
        <v>0</v>
      </c>
      <c r="BT45" s="6">
        <v>4</v>
      </c>
      <c r="BU45" s="6">
        <v>11</v>
      </c>
      <c r="BV45" s="6">
        <v>-7</v>
      </c>
      <c r="BW45" s="6">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Combined_master101624_raw</vt:lpstr>
      <vt:lpstr>Combined_withReverse_BCMapOpExc</vt:lpstr>
      <vt:lpstr>Combined_master101624_clean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Morgan Rosser</dc:creator>
  <cp:lastModifiedBy>Morgan Rosser</cp:lastModifiedBy>
  <dcterms:created xsi:type="dcterms:W3CDTF">2024-12-22T18:32:05Z</dcterms:created>
  <dcterms:modified xsi:type="dcterms:W3CDTF">2026-02-02T19:06:49Z</dcterms:modified>
</cp:coreProperties>
</file>